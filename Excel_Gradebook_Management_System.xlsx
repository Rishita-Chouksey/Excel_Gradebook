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 tabRatio="500" firstSheet="11" activeTab="17"/>
  </bookViews>
  <sheets>
    <sheet name="DASHBOARD" sheetId="1" r:id="rId1"/>
    <sheet name="MARHSHEET" sheetId="2" r:id="rId2"/>
    <sheet name="FINAL SHEET" sheetId="3" r:id="rId3"/>
    <sheet name="STUDENT INFO" sheetId="4" r:id="rId4"/>
    <sheet name="SCHEME" sheetId="5" r:id="rId5"/>
    <sheet name="SUB-1" sheetId="6" r:id="rId6"/>
    <sheet name="SUB- 2" sheetId="7" r:id="rId7"/>
    <sheet name="SUB-3" sheetId="8" r:id="rId8"/>
    <sheet name="SUB-4" sheetId="9" r:id="rId9"/>
    <sheet name="SUB-5" sheetId="10" r:id="rId10"/>
    <sheet name="SUB-6" sheetId="11" r:id="rId11"/>
    <sheet name="SUB-7" sheetId="12" r:id="rId12"/>
    <sheet name="SUB-8" sheetId="13" r:id="rId13"/>
    <sheet name="SUB-9" sheetId="14" r:id="rId14"/>
    <sheet name="SUB-10" sheetId="15" r:id="rId15"/>
    <sheet name="SUB- NEC" sheetId="16" r:id="rId16"/>
    <sheet name="SUB-12" sheetId="17" r:id="rId17"/>
    <sheet name="DATA CHECK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<sst xmlns="http://schemas.openxmlformats.org/spreadsheetml/2006/main" count="1857" uniqueCount="720">
  <si>
    <t>GRADEBOOK PERFORMANCE DASHBOARD</t>
  </si>
  <si>
    <t>B.Tech. Semester I | Mathematics &amp; Computing | 2024 Batch | 100 Students</t>
  </si>
  <si>
    <t>Total Students</t>
  </si>
  <si>
    <t>Passed</t>
  </si>
  <si>
    <t>Failed</t>
  </si>
  <si>
    <t>Overall Pass %</t>
  </si>
  <si>
    <t>Class Average %</t>
  </si>
  <si>
    <t>SUBJECT-WISE PERFORMANCE</t>
  </si>
  <si>
    <t>OVERALL GRADE DISTRIBUTION</t>
  </si>
  <si>
    <t>Subject</t>
  </si>
  <si>
    <t>Avg Marks</t>
  </si>
  <si>
    <t>Max Marks</t>
  </si>
  <si>
    <t>Avg %</t>
  </si>
  <si>
    <t>Grade Band</t>
  </si>
  <si>
    <t>Students</t>
  </si>
  <si>
    <t>A (90-100)</t>
  </si>
  <si>
    <t>B (60-89)</t>
  </si>
  <si>
    <t>C (45-59)</t>
  </si>
  <si>
    <t>D (35-44)</t>
  </si>
  <si>
    <t>F (&lt;35)</t>
  </si>
  <si>
    <t>TOP 10 PERFORMERS</t>
  </si>
  <si>
    <t>Rank</t>
  </si>
  <si>
    <t>Enrollment No.</t>
  </si>
  <si>
    <t>Student Name</t>
  </si>
  <si>
    <t>Total Marks</t>
  </si>
  <si>
    <t>Overall %</t>
  </si>
  <si>
    <t>माधव प्रौद्योगिकी एवं विज्ञान संस्थान, ग्वालियर (म.प्र.), भारत</t>
  </si>
  <si>
    <t>Madhav Institute of Technology &amp; Science DU, Gwalior (M.P.), INDIA</t>
  </si>
  <si>
    <t>Deemed University</t>
  </si>
  <si>
    <t>(Declared under Distinct Category by Ministry of Education, Government of India)</t>
  </si>
  <si>
    <t>NAAC ACCREDITED WITH A++ GRADE</t>
  </si>
  <si>
    <t xml:space="preserve"> MARKSHEET</t>
  </si>
  <si>
    <t xml:space="preserve">STUDENT NAME: </t>
  </si>
  <si>
    <t xml:space="preserve">COURSE: </t>
  </si>
  <si>
    <t>FATHER'S NAME:</t>
  </si>
  <si>
    <t>BRANCH:</t>
  </si>
  <si>
    <t>MOTHER'S NAME:</t>
  </si>
  <si>
    <t>SEMESTER:</t>
  </si>
  <si>
    <t>D.O.B:</t>
  </si>
  <si>
    <t xml:space="preserve">ENROLLMENT NO.: </t>
  </si>
  <si>
    <t>BTMC24O1021</t>
  </si>
  <si>
    <t>S.NO</t>
  </si>
  <si>
    <t>SUBJECT CODE</t>
  </si>
  <si>
    <t>SUBJECT NAME</t>
  </si>
  <si>
    <t>TOTAL</t>
  </si>
  <si>
    <t>OBTAINED</t>
  </si>
  <si>
    <t>TOTAL CREDIT</t>
  </si>
  <si>
    <t>CREDIT</t>
  </si>
  <si>
    <t>GRADE</t>
  </si>
  <si>
    <t>GRADING:</t>
  </si>
  <si>
    <t xml:space="preserve">  A          </t>
  </si>
  <si>
    <t xml:space="preserve"> B               </t>
  </si>
  <si>
    <t xml:space="preserve">C                              </t>
  </si>
  <si>
    <t xml:space="preserve">  D    </t>
  </si>
  <si>
    <t xml:space="preserve">F                </t>
  </si>
  <si>
    <t>100 - 90</t>
  </si>
  <si>
    <t>89-60</t>
  </si>
  <si>
    <t xml:space="preserve">  59-45        </t>
  </si>
  <si>
    <t xml:space="preserve">  44-35</t>
  </si>
  <si>
    <t xml:space="preserve"> BELOW 35</t>
  </si>
  <si>
    <t>Department of Engineering Mathematics &amp; Computing</t>
  </si>
  <si>
    <t>B. Tech. I Semester (MAC)</t>
  </si>
  <si>
    <t>S.No</t>
  </si>
  <si>
    <t>ENROLLMENT NO.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</si>
  <si>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</si>
  <si>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</si>
  <si>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</si>
  <si>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</si>
  <si>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</si>
  <si>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</si>
  <si>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</si>
  <si>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</si>
  <si>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</si>
  <si>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</si>
  <si>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</si>
  <si>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Total</t>
  </si>
  <si>
    <t>Pass %</t>
  </si>
  <si>
    <t>Result</t>
  </si>
  <si>
    <t>%</t>
  </si>
  <si>
    <t>PASS/FAIL</t>
  </si>
  <si>
    <t xml:space="preserve">NUMBER OF STUDENTS THAT PASSED : </t>
  </si>
  <si>
    <t xml:space="preserve">NUMBER OF STUDENTS THAT FAILED : </t>
  </si>
  <si>
    <t>S.NO.</t>
  </si>
  <si>
    <t>EMAIL ADDRESS</t>
  </si>
  <si>
    <t>STUDENT NAME</t>
  </si>
  <si>
    <t>FATHER'S NAME</t>
  </si>
  <si>
    <t>MOTHER'S NAME</t>
  </si>
  <si>
    <t>D.O.B.</t>
  </si>
  <si>
    <t>COURSE</t>
  </si>
  <si>
    <t>BRANCH</t>
  </si>
  <si>
    <t>BTMC24O1001</t>
  </si>
  <si>
    <t>24mc10aa1@mitsgwl.ac.in</t>
  </si>
  <si>
    <t>AASTHA PYASI</t>
  </si>
  <si>
    <t>NARENDRA PYASI</t>
  </si>
  <si>
    <t>ARCHNA PYASI</t>
  </si>
  <si>
    <t>B.Tech.</t>
  </si>
  <si>
    <t>Mathematics and Computing</t>
  </si>
  <si>
    <t>BTMC24O1002</t>
  </si>
  <si>
    <t>24mc10ab2@mitsgwl.ac.in</t>
  </si>
  <si>
    <t>ABHAY PRATAP SINGH YADAV</t>
  </si>
  <si>
    <t>SUKHENDRA SINGH YADAV</t>
  </si>
  <si>
    <t>REKHA YADAV</t>
  </si>
  <si>
    <t>BTMC24O1003</t>
  </si>
  <si>
    <t>24mc10ab3@mitsgwl.ac.in</t>
  </si>
  <si>
    <t>ABHAY SHARMA</t>
  </si>
  <si>
    <t>MR UTTAM NARAYAN SHARMA</t>
  </si>
  <si>
    <t>MRS NEELMA SHARMA</t>
  </si>
  <si>
    <t>BTMC24O1004</t>
  </si>
  <si>
    <t>a9893414501@gmail.com</t>
  </si>
  <si>
    <t>ABHI JAIN</t>
  </si>
  <si>
    <t>ARUN KUMAR JAIN</t>
  </si>
  <si>
    <t>VINITA JAIN</t>
  </si>
  <si>
    <t>BTMC24O1005</t>
  </si>
  <si>
    <t>24mc10ab5@mitsgwl.ac.in</t>
  </si>
  <si>
    <t>ABHI KACHHWAHA</t>
  </si>
  <si>
    <t>VINOD KACHHWAHA</t>
  </si>
  <si>
    <t>MEERA KACHHWAHA</t>
  </si>
  <si>
    <t>BTMC24O1006</t>
  </si>
  <si>
    <t>apal98332@gmail.com</t>
  </si>
  <si>
    <t>ABHISHEK PAL</t>
  </si>
  <si>
    <t>NAVAL SINGH</t>
  </si>
  <si>
    <t>URMILA PAL</t>
  </si>
  <si>
    <t>BTMC24O1007</t>
  </si>
  <si>
    <t>24mc10ab8@mitsgwl.ac.in</t>
  </si>
  <si>
    <t>ABHISHEK YADAV</t>
  </si>
  <si>
    <t>MANOJ YADAV</t>
  </si>
  <si>
    <t>ANITA YADAV</t>
  </si>
  <si>
    <t>BTMC24O1008</t>
  </si>
  <si>
    <t>24mc10ad9@mitsgwl.ac.in</t>
  </si>
  <si>
    <t>ADARSH MISHRA</t>
  </si>
  <si>
    <t>RAKESH MISHRA</t>
  </si>
  <si>
    <t>PRABHA MISHRA</t>
  </si>
  <si>
    <t>BTMC24O1009</t>
  </si>
  <si>
    <t>24mc10ad10@mitsgwl.ac.in</t>
  </si>
  <si>
    <t>ADARSH SONI</t>
  </si>
  <si>
    <t>BHARAT BHUSHAN SONI</t>
  </si>
  <si>
    <t>SUNEETA SONI</t>
  </si>
  <si>
    <t>BTMC24O1010</t>
  </si>
  <si>
    <t>ADWIT SINGH</t>
  </si>
  <si>
    <t>BHARAT SINGH</t>
  </si>
  <si>
    <t>LELIA SINGH</t>
  </si>
  <si>
    <t>BTMC24O1011</t>
  </si>
  <si>
    <t>sonid45678@gmail.com</t>
  </si>
  <si>
    <t>ADITI GUPTA</t>
  </si>
  <si>
    <t>SANJAY GUPTA</t>
  </si>
  <si>
    <t>JULI GUPTA</t>
  </si>
  <si>
    <t>BTMC24O1012</t>
  </si>
  <si>
    <t>24mc10ad12@mitsgwl.ac.in</t>
  </si>
  <si>
    <t>ADITI JAIN</t>
  </si>
  <si>
    <t>PANKAJ JAIN</t>
  </si>
  <si>
    <t>RAKHI JAIN</t>
  </si>
  <si>
    <t>BTMC24O1013</t>
  </si>
  <si>
    <t>24mc10ad13@mitsgwl.ac.in</t>
  </si>
  <si>
    <t>ADITI SHARMA</t>
  </si>
  <si>
    <t>N R SHARMA</t>
  </si>
  <si>
    <t>PRATIMA SHARMA</t>
  </si>
  <si>
    <t>BTMC24O1014</t>
  </si>
  <si>
    <t>24mc10ad14@mitsgwl.ac.in</t>
  </si>
  <si>
    <t>ADITYA SINGH TOMAR</t>
  </si>
  <si>
    <t>GAJENDRA SINGH TOMAR</t>
  </si>
  <si>
    <t>KIRAN TOMAR</t>
  </si>
  <si>
    <t>BTMC24O1015</t>
  </si>
  <si>
    <t>24mc10af16@mitsgwl.ac.in</t>
  </si>
  <si>
    <t>AFREEN FATIMA</t>
  </si>
  <si>
    <t>SYED FAREED UDDIN</t>
  </si>
  <si>
    <t>SHAMA FATIMA</t>
  </si>
  <si>
    <t>BTMC24O1016</t>
  </si>
  <si>
    <t>24mc10aj17@mitsgwl.ac.in</t>
  </si>
  <si>
    <t>AJEET PRATAP SINGH KUSTWAR</t>
  </si>
  <si>
    <t>VIKRAM SINGH</t>
  </si>
  <si>
    <t>PUNIYA BAI</t>
  </si>
  <si>
    <t>BTMC24O1017</t>
  </si>
  <si>
    <t>akarshbansal808@gmail.com</t>
  </si>
  <si>
    <t>AKARSH BANSAL</t>
  </si>
  <si>
    <t>RAGHVENDRA BANSAL</t>
  </si>
  <si>
    <t>SHALINI BANSAL</t>
  </si>
  <si>
    <t>BTMC24O1018</t>
  </si>
  <si>
    <t>24mc10ak19@mitsgwl.ac.in</t>
  </si>
  <si>
    <t>AKMAL KHAN</t>
  </si>
  <si>
    <t>TARAUDDIN KHAN</t>
  </si>
  <si>
    <t>SHABANA BANO</t>
  </si>
  <si>
    <t>BTMC24O1019</t>
  </si>
  <si>
    <t>24mc10am20@mitsgwl.ac.in</t>
  </si>
  <si>
    <t>AMAN YADAV</t>
  </si>
  <si>
    <t>PRAHALAD SINGH YADAV</t>
  </si>
  <si>
    <t>RAJNI DEVI</t>
  </si>
  <si>
    <t>BTMC24O1020</t>
  </si>
  <si>
    <t>24mc10an22@mitsgwl.ac.in</t>
  </si>
  <si>
    <t>ANANTIKA SONI</t>
  </si>
  <si>
    <t>PRADEEP KUMAR SONI</t>
  </si>
  <si>
    <t>ANURADHA SONI</t>
  </si>
  <si>
    <t>24mc10an23@mitsgwl.ac.in</t>
  </si>
  <si>
    <t>ANANYA DUBEY</t>
  </si>
  <si>
    <t>AHSISH DUBEY</t>
  </si>
  <si>
    <t>ARCHNA DUBEY</t>
  </si>
  <si>
    <t>BTMC24O1022</t>
  </si>
  <si>
    <t>24mc10an24@mitsgwl.ac.in</t>
  </si>
  <si>
    <t>ANANYA SHARMA</t>
  </si>
  <si>
    <t>PRABHAT SHARMA</t>
  </si>
  <si>
    <t>SUGANDHA SHARMA</t>
  </si>
  <si>
    <t>BTMC24O1023</t>
  </si>
  <si>
    <t>24mc10an25@mitsgwl.ac.in</t>
  </si>
  <si>
    <t>ANEEKA DWIVEDI</t>
  </si>
  <si>
    <t>MANOJ KUMAR DWIVEDI</t>
  </si>
  <si>
    <t>MANISHA DWIVEDI</t>
  </si>
  <si>
    <t>BTMC24O1024</t>
  </si>
  <si>
    <t>24mc10an26@mitsgwl.ac.in</t>
  </si>
  <si>
    <t>ANSH SHARMA</t>
  </si>
  <si>
    <t>VINAY SHARMA</t>
  </si>
  <si>
    <t>SEEMA SHARMA</t>
  </si>
  <si>
    <t>BTMC24O1025</t>
  </si>
  <si>
    <t>24mc10an27@mitsgwl.ac.in</t>
  </si>
  <si>
    <t>ANSHIKA PARWAR</t>
  </si>
  <si>
    <t>RAHUL KUMAR PARWAR</t>
  </si>
  <si>
    <t>SANDEEPA PARWAR</t>
  </si>
  <si>
    <t>BTMC24O1026</t>
  </si>
  <si>
    <t>24mc10an28@mitsgwl.ac.in</t>
  </si>
  <si>
    <t>ANUJ DANGI</t>
  </si>
  <si>
    <t>DEVISINGH DANGI</t>
  </si>
  <si>
    <t>NEETA DANGI</t>
  </si>
  <si>
    <t>BTMC24O1027</t>
  </si>
  <si>
    <t>24mc10an29@mitsgwl.ac.in</t>
  </si>
  <si>
    <t>ANUSHREE MAZUMDAR</t>
  </si>
  <si>
    <t>BISHWA PRIYA MAZUMDAR</t>
  </si>
  <si>
    <t>RANJEETA MAZUMDAR</t>
  </si>
  <si>
    <t>BTMC24O1028</t>
  </si>
  <si>
    <t>24mc10ar31@mitsgwl.ac.in</t>
  </si>
  <si>
    <t>ARNAV MAHAJAN</t>
  </si>
  <si>
    <t>PANKAJ MAHAJAN</t>
  </si>
  <si>
    <t>POOJA MAHAJAN</t>
  </si>
  <si>
    <t>BTMC24O1029</t>
  </si>
  <si>
    <t>topankajmahajan@gmail.com</t>
  </si>
  <si>
    <t>ARNAV SOLANKI</t>
  </si>
  <si>
    <t>PRAVEEN SOLANKI</t>
  </si>
  <si>
    <t>PREETI SOLANKI</t>
  </si>
  <si>
    <t>BTMC24O1030</t>
  </si>
  <si>
    <t>24mc10ar32@mitsgwl.ac.in</t>
  </si>
  <si>
    <t>ARPIT YADAV</t>
  </si>
  <si>
    <t>VINOD YADAV</t>
  </si>
  <si>
    <t>PREETI YADAV</t>
  </si>
  <si>
    <t>BTMC24O1031</t>
  </si>
  <si>
    <t>24mc10as34@mitsgwl.ac.in</t>
  </si>
  <si>
    <t>ASHISH SINGH RAJAWAT</t>
  </si>
  <si>
    <t>UDAY PRATAP SINGH RAJAWAT</t>
  </si>
  <si>
    <t>PINKI</t>
  </si>
  <si>
    <t>BTMC24O1032</t>
  </si>
  <si>
    <t>mehtaaum117@gmail.com</t>
  </si>
  <si>
    <t>AUM MEHTA</t>
  </si>
  <si>
    <t>SURENDRA MEHTA</t>
  </si>
  <si>
    <t>ABHILASHA MEHTA</t>
  </si>
  <si>
    <t>BTMC24O1033</t>
  </si>
  <si>
    <t>24mc10ay37@mitsgwl.ac.in</t>
  </si>
  <si>
    <t>AYUSH GUPTA</t>
  </si>
  <si>
    <t>OM PRAKASH GUPTA</t>
  </si>
  <si>
    <t>RANI GUPTA</t>
  </si>
  <si>
    <t>BTMC24O1034</t>
  </si>
  <si>
    <t>ayushk25aug@gmail.com</t>
  </si>
  <si>
    <t>AYUSH KUSHWAH</t>
  </si>
  <si>
    <t>MANOJ KUSHWAH</t>
  </si>
  <si>
    <t>RENU KUSHWAH</t>
  </si>
  <si>
    <t>BTMC24O1035</t>
  </si>
  <si>
    <t>24mc10ay40@mitsgwl.ac.in</t>
  </si>
  <si>
    <t>AYUSH TRIPATHI</t>
  </si>
  <si>
    <t>ANIL TRIPATHI</t>
  </si>
  <si>
    <t>REENA TRIPATHI</t>
  </si>
  <si>
    <t>BTMC24O1036</t>
  </si>
  <si>
    <t>seemakhan159.1976@gmail.com</t>
  </si>
  <si>
    <t>DANISH KHAN</t>
  </si>
  <si>
    <t>MOHJJAM KHAN</t>
  </si>
  <si>
    <t>SEEMA KHAN</t>
  </si>
  <si>
    <t>BTMC24O1037</t>
  </si>
  <si>
    <t>24mc10de43@mitsgwl.ac.in</t>
  </si>
  <si>
    <t>DEVANSH RAI</t>
  </si>
  <si>
    <t>KALICHARAN RAI</t>
  </si>
  <si>
    <t>POONAM RAI</t>
  </si>
  <si>
    <t>BTMC24O1038</t>
  </si>
  <si>
    <t>24mc10de44@mitsgwl.ac.in</t>
  </si>
  <si>
    <t>DEVYASH SHAH</t>
  </si>
  <si>
    <t>VIJAY KUMAR SHAH</t>
  </si>
  <si>
    <t>NIVEDITA SHAH</t>
  </si>
  <si>
    <t>BTMC24O1039</t>
  </si>
  <si>
    <t>24mc10dh46@mitsgwl.ac.in</t>
  </si>
  <si>
    <t>DHRUV JAIN</t>
  </si>
  <si>
    <t>GOPAL JAIN</t>
  </si>
  <si>
    <t>RUBI JAIN</t>
  </si>
  <si>
    <t>BTMC24O1040</t>
  </si>
  <si>
    <t>24mc10di47@mitsgwl.ac.in</t>
  </si>
  <si>
    <t>DIVYANI NEMA</t>
  </si>
  <si>
    <t>VIJAY KUMAR NEMA</t>
  </si>
  <si>
    <t>DIPTI NEMA</t>
  </si>
  <si>
    <t>BTMC24O1041</t>
  </si>
  <si>
    <t>24mc10di48@mitsgwl.ac.in</t>
  </si>
  <si>
    <t>DIVYANSH NARWARIA</t>
  </si>
  <si>
    <t>JAGMOHAN SINGH NARWARIA</t>
  </si>
  <si>
    <t>PREMLATA NARWARIA</t>
  </si>
  <si>
    <t>BTMC24O1042</t>
  </si>
  <si>
    <t>dspandey113@gmail.com</t>
  </si>
  <si>
    <t>DIVYANSH PANDEY</t>
  </si>
  <si>
    <t>ANAND PANDEY</t>
  </si>
  <si>
    <t>SUDHA PANDEY</t>
  </si>
  <si>
    <t>BTMC24O1043</t>
  </si>
  <si>
    <t>24mc10ga51@mitsgwl.ac.in</t>
  </si>
  <si>
    <t>GARV VIPIN GULATI</t>
  </si>
  <si>
    <t>VIPIN GULATI</t>
  </si>
  <si>
    <t>NEELAM GULATI</t>
  </si>
  <si>
    <t>BTMC24O1044</t>
  </si>
  <si>
    <t>govindsharma5816@gmail.com</t>
  </si>
  <si>
    <t>GOVIND SHARMA</t>
  </si>
  <si>
    <t>DHARMENDRA KUMAR SHARMA</t>
  </si>
  <si>
    <t>VIMLESH SHARMA</t>
  </si>
  <si>
    <t>BTMC24O1045</t>
  </si>
  <si>
    <t>harshitbking@gmail.com</t>
  </si>
  <si>
    <t>HARSHIT BHATNAGAR</t>
  </si>
  <si>
    <t>SHIV PRAKASH BHATNAGAR</t>
  </si>
  <si>
    <t>NISHA BHATNAGAR</t>
  </si>
  <si>
    <t>BTMC24O1046</t>
  </si>
  <si>
    <t>hsvishu19@gmail.com</t>
  </si>
  <si>
    <t>HARSHIT SHARMA</t>
  </si>
  <si>
    <t>SURENDRA KUMAR SHARMA</t>
  </si>
  <si>
    <t>REKHA SHARMA</t>
  </si>
  <si>
    <t>BTMC24O1047</t>
  </si>
  <si>
    <t>24mc10ha56@mitsgwl.ac.in</t>
  </si>
  <si>
    <t>HARSHITA SONI</t>
  </si>
  <si>
    <t>RAJENDRA KUMAR SONI</t>
  </si>
  <si>
    <t>RANJANA SONI</t>
  </si>
  <si>
    <t>BTMC24O1048</t>
  </si>
  <si>
    <t>24mc10hi57@mitsgwl.ac.in</t>
  </si>
  <si>
    <t>HIMANSHU SHUKLA</t>
  </si>
  <si>
    <t>SUNEEL KUMAR SHUKLA</t>
  </si>
  <si>
    <t>PRATIMA SHUKLA</t>
  </si>
  <si>
    <t>BTMC24O1049</t>
  </si>
  <si>
    <t>goyalbalkrishna6@gmail.com</t>
  </si>
  <si>
    <t>HIRAL GOYAL</t>
  </si>
  <si>
    <t>BALKRISHNA GOYAL</t>
  </si>
  <si>
    <t>PRITI GOYAL</t>
  </si>
  <si>
    <t>BTMC24O1050</t>
  </si>
  <si>
    <t>24mc10is59@mitsgwl.ac.in</t>
  </si>
  <si>
    <t>ISHA JAIN</t>
  </si>
  <si>
    <t>SUNIL JAIN</t>
  </si>
  <si>
    <t>ARCHANA JAIN</t>
  </si>
  <si>
    <t>BTMC24O1051</t>
  </si>
  <si>
    <t>ishikaprajapati427@gmail.com</t>
  </si>
  <si>
    <t>ISHIKA PRAJAPATI</t>
  </si>
  <si>
    <t>HARISH CHANDRA PRAJAPATI</t>
  </si>
  <si>
    <t>RANI PRAJAPATI</t>
  </si>
  <si>
    <t>BTMC24O1052</t>
  </si>
  <si>
    <t>jatinyadav1p@gmail.com</t>
  </si>
  <si>
    <t>JATIN YADAV</t>
  </si>
  <si>
    <t>RAJESH YADAV</t>
  </si>
  <si>
    <t>MITHLESH YADAV</t>
  </si>
  <si>
    <t>BTMC24O1053</t>
  </si>
  <si>
    <t>24mc10ja62@mitsgwl.ac.in</t>
  </si>
  <si>
    <t>JAYDEEP SINGH</t>
  </si>
  <si>
    <t>ARUNENDRA SINGH</t>
  </si>
  <si>
    <t>POONAM SINGH</t>
  </si>
  <si>
    <t>BTMC24O1054</t>
  </si>
  <si>
    <t>jayeshbagdi82@gmail.com</t>
  </si>
  <si>
    <t>JAYESH BAGDI</t>
  </si>
  <si>
    <t>RAJESH BAGDI</t>
  </si>
  <si>
    <t>SANGEETA BAGDI</t>
  </si>
  <si>
    <t>BTMC24O1055</t>
  </si>
  <si>
    <t>24mc10ka64@mitsgwl.ac.in</t>
  </si>
  <si>
    <t>KAISHAV KUMAWAT</t>
  </si>
  <si>
    <t>BALKRISHNA KUMAWAT</t>
  </si>
  <si>
    <t>SEEMA KUMAWAT</t>
  </si>
  <si>
    <t>BTMC24O1056</t>
  </si>
  <si>
    <t>KAISHAV PANDEY</t>
  </si>
  <si>
    <t>KRISHNA PANDEY</t>
  </si>
  <si>
    <t>SITA PANDEY</t>
  </si>
  <si>
    <t>BTMC24O1057</t>
  </si>
  <si>
    <t>24mc10ka65@mitsgwl.ac.in</t>
  </si>
  <si>
    <t>KANCHAN MATHE</t>
  </si>
  <si>
    <t>PRAMOD MATHE</t>
  </si>
  <si>
    <t>SUNITA MATHE</t>
  </si>
  <si>
    <t>BTMC24O1058</t>
  </si>
  <si>
    <t>24mc10ka67@mitsgwl.ac.in</t>
  </si>
  <si>
    <t>KAUSHAL KAURAV</t>
  </si>
  <si>
    <t>SHIROMAN SINGH KAURAV</t>
  </si>
  <si>
    <t>MONIKA KAURAV</t>
  </si>
  <si>
    <t>BTMC24O1059</t>
  </si>
  <si>
    <t>24mc10ka68@mitsgwl.ac.in</t>
  </si>
  <si>
    <t>KAVINDRA THAKUR</t>
  </si>
  <si>
    <t>CHANDAN SINGH THAKUR</t>
  </si>
  <si>
    <t>SUNITA THAKUR</t>
  </si>
  <si>
    <t>BTMC24O1060</t>
  </si>
  <si>
    <t>24mc10ke70@mitsgwl.ac.in</t>
  </si>
  <si>
    <t>KETAN MALVIYA</t>
  </si>
  <si>
    <t>KAILASH MALVIYA</t>
  </si>
  <si>
    <t>REKHA MALVIYA</t>
  </si>
  <si>
    <t>BTMC24O1061</t>
  </si>
  <si>
    <t>24mc10kh71@mitsgwl.ac.in</t>
  </si>
  <si>
    <t>KHUSHI GOYAL</t>
  </si>
  <si>
    <t>DILIP GOYAL</t>
  </si>
  <si>
    <t>MADHU GOYAL</t>
  </si>
  <si>
    <t>BTMC24O1062</t>
  </si>
  <si>
    <t>24mc10kh72@mitsgwl.ac.in</t>
  </si>
  <si>
    <t>KHUSHI MALVIYA</t>
  </si>
  <si>
    <t>MAHENDRA MALVIYA</t>
  </si>
  <si>
    <t>ANITA MALVIYA</t>
  </si>
  <si>
    <t>BTMC24O1063</t>
  </si>
  <si>
    <t>kirrutomar147@gmail.com</t>
  </si>
  <si>
    <t>RAJKUMAR SINGH</t>
  </si>
  <si>
    <t>ANITA TOMAR</t>
  </si>
  <si>
    <t>BTMC24O1064</t>
  </si>
  <si>
    <t>chandrabhanyadav6924@gmail.com</t>
  </si>
  <si>
    <t>KULDEEP YADAV</t>
  </si>
  <si>
    <t>CHANDRABHAN SINGH YADAV</t>
  </si>
  <si>
    <t>RUPALI YADAV</t>
  </si>
  <si>
    <t>BTMC24O1065</t>
  </si>
  <si>
    <t>24mc10ma75@mitsgwl.ac.in</t>
  </si>
  <si>
    <t>MADHAV GUPTA</t>
  </si>
  <si>
    <t>KRISHNA KUMAR GUPTA</t>
  </si>
  <si>
    <t>ARCHANA GUPTA</t>
  </si>
  <si>
    <t>BTMC24O1066</t>
  </si>
  <si>
    <t>24mc10ma76@mitsgwl.ac.in</t>
  </si>
  <si>
    <t>MADHUSUDAN UPADHYAY</t>
  </si>
  <si>
    <t>BRAJKISHOR UPADHYAY</t>
  </si>
  <si>
    <t>REENA UPADHYAY</t>
  </si>
  <si>
    <t>BTMC24O1067</t>
  </si>
  <si>
    <t>MADHU UPADHYAY</t>
  </si>
  <si>
    <t>MONTY UPADHYAY</t>
  </si>
  <si>
    <t>RINKI UPADHYAY</t>
  </si>
  <si>
    <t>BTMC24O1068</t>
  </si>
  <si>
    <t>mahatvaagarwal14@gmail.com</t>
  </si>
  <si>
    <t>MAHATVA AGARWAL</t>
  </si>
  <si>
    <t>ANOOP KUMAR AGARWAL</t>
  </si>
  <si>
    <t>KIRTI AGARWAL</t>
  </si>
  <si>
    <t>BTMC24O1069</t>
  </si>
  <si>
    <t>24mc10mi78@mitsgwl.ac.in</t>
  </si>
  <si>
    <t>MIHIR CHAUDHARY</t>
  </si>
  <si>
    <t>MAHENDRA CHAUDHARY</t>
  </si>
  <si>
    <t>HEMLATA CHAUDHARY</t>
  </si>
  <si>
    <t>BTMC24O1070</t>
  </si>
  <si>
    <t>24mc10mi79@mitsgwl.ac.in</t>
  </si>
  <si>
    <t>MIRNAL TIWARI</t>
  </si>
  <si>
    <t>D.K. TIWARI</t>
  </si>
  <si>
    <t>RENU TIWARI</t>
  </si>
  <si>
    <t>BTMC24O1071</t>
  </si>
  <si>
    <t>MITA GUPTA</t>
  </si>
  <si>
    <t>D.K. GUPTA</t>
  </si>
  <si>
    <t>RITU GUPTA</t>
  </si>
  <si>
    <t>BTMC24O1072</t>
  </si>
  <si>
    <t>24mc10mo80@mitsgwl.ac.in</t>
  </si>
  <si>
    <t>MOHIT MISHRA</t>
  </si>
  <si>
    <t>VIJAY MISHRA</t>
  </si>
  <si>
    <t>SHYAMLATA MISHRA</t>
  </si>
  <si>
    <t>BTMC24O1073</t>
  </si>
  <si>
    <t>24mc10mo81@mitsgwl.ac.in</t>
  </si>
  <si>
    <t>MOHIT PRAJAPATI</t>
  </si>
  <si>
    <t>GYAN SINGH PRAJAPATI</t>
  </si>
  <si>
    <t>KAVITA PRAJAPATI</t>
  </si>
  <si>
    <t>BTMC24O1074</t>
  </si>
  <si>
    <t>24mc10mr82@mitsgwl.ac.in</t>
  </si>
  <si>
    <t>MRADUL SHRIVASTAVA</t>
  </si>
  <si>
    <t>JEETENDRA SHRIVASTAVA</t>
  </si>
  <si>
    <t>ARCHANA SHRIVASTAVA</t>
  </si>
  <si>
    <t>BTMC24O1075</t>
  </si>
  <si>
    <t>24mc10mr83@mitsgwl.ac.in</t>
  </si>
  <si>
    <t>MRITUNJAY SHARMA</t>
  </si>
  <si>
    <t>BHUPENDRA SHARMA</t>
  </si>
  <si>
    <t>VANDANA SHARMA</t>
  </si>
  <si>
    <t>BTMC24O1076</t>
  </si>
  <si>
    <t>24mc10mu84@mitsgwl.ac.in</t>
  </si>
  <si>
    <t>MUSKAN GURJAR</t>
  </si>
  <si>
    <t>SATISH PAL SINGH GURJAR</t>
  </si>
  <si>
    <t>RINKI GURJAR</t>
  </si>
  <si>
    <t>BTMC24O1077</t>
  </si>
  <si>
    <t>24mc10na85@mitsgwl.ac.in</t>
  </si>
  <si>
    <t>NAMAN JAIN</t>
  </si>
  <si>
    <t>CHANDRA SHEKHAR JAIN</t>
  </si>
  <si>
    <t>BTMC24O1078</t>
  </si>
  <si>
    <t>24mc10na86@mitsgwl.ac.in</t>
  </si>
  <si>
    <t>NANDINI RAJPUT</t>
  </si>
  <si>
    <t>RAM KUMAR RAJPUT</t>
  </si>
  <si>
    <t>REKHA RAJPUT</t>
  </si>
  <si>
    <t>BTMC24O1079</t>
  </si>
  <si>
    <t>24mc10na87@mitsgwl.ac.in</t>
  </si>
  <si>
    <t>NAVAL KISHOR SHARMA</t>
  </si>
  <si>
    <t>BALKRISHAN SHARMA</t>
  </si>
  <si>
    <t>SUNITA SHARMA</t>
  </si>
  <si>
    <t>BTMC24O1080</t>
  </si>
  <si>
    <t>24mc10na88@mitsgwl.ac.in</t>
  </si>
  <si>
    <t>NAVEEN MALVIYA</t>
  </si>
  <si>
    <t>GAJENDRA MALVIYA</t>
  </si>
  <si>
    <t>SEEMA MALVIYA</t>
  </si>
  <si>
    <t>BTMC24O1081</t>
  </si>
  <si>
    <t>nmishra9651@gmail.com</t>
  </si>
  <si>
    <t>NIKHIL MISHRA</t>
  </si>
  <si>
    <t>KESH KUMAR MISHRA</t>
  </si>
  <si>
    <t>BABLI MISHRA</t>
  </si>
  <si>
    <t>BTMC24O1082</t>
  </si>
  <si>
    <t>24mc10ni90@mitsgwl.ac.in</t>
  </si>
  <si>
    <t>NIKHIL YADAV</t>
  </si>
  <si>
    <t>GAJENDRA YADAV</t>
  </si>
  <si>
    <t>ASHA YADAV</t>
  </si>
  <si>
    <t>BTMC24O1083</t>
  </si>
  <si>
    <t>24mc10ni91@mitsgwl.ac.in</t>
  </si>
  <si>
    <t>NIRAMAY SHRIVASTAVA</t>
  </si>
  <si>
    <t>ALEKH SHRIVASTAVA</t>
  </si>
  <si>
    <t>SUSUMLATA SHRIVASTAVA</t>
  </si>
  <si>
    <t>BTMC24O1084</t>
  </si>
  <si>
    <t>nishasahni2626@gmail.com</t>
  </si>
  <si>
    <t>NISHA SAHNI</t>
  </si>
  <si>
    <t>MOHAN SAHNI</t>
  </si>
  <si>
    <t>MALA DEVI</t>
  </si>
  <si>
    <t>BTMC24O1085</t>
  </si>
  <si>
    <t>24mc10ni93@mitsgwl.ac.in</t>
  </si>
  <si>
    <t>NITYA JAIN</t>
  </si>
  <si>
    <t>VINEET JAIN</t>
  </si>
  <si>
    <t>MONICA JAIN</t>
  </si>
  <si>
    <t>BTMC24O1086</t>
  </si>
  <si>
    <t>parigupta2319@gmail.com</t>
  </si>
  <si>
    <t>PARI GUPTA</t>
  </si>
  <si>
    <t>MUKESH GUPTA</t>
  </si>
  <si>
    <t>MAYA GUPTA</t>
  </si>
  <si>
    <t>BTMC24O1087</t>
  </si>
  <si>
    <t>24mc10pa95@mitsgwl.ac.in</t>
  </si>
  <si>
    <t>PARUL AGRAWAL</t>
  </si>
  <si>
    <t>VIKASH AGRAWAL</t>
  </si>
  <si>
    <t>SUMAN AGRAWAL</t>
  </si>
  <si>
    <t>BTMC24O1088</t>
  </si>
  <si>
    <t>24mc10pi96@mitsgwl.ac.in</t>
  </si>
  <si>
    <t>PIYUSH VISHWAKARMA</t>
  </si>
  <si>
    <t>PRAKASH VISHWAKARMA</t>
  </si>
  <si>
    <t>ANITA VISHWAKARMA</t>
  </si>
  <si>
    <t>BTMC24O1089</t>
  </si>
  <si>
    <t>24mc10po97@mitsgwl.ac.in</t>
  </si>
  <si>
    <t>POOJA MANVI RAJPUT</t>
  </si>
  <si>
    <t>BIRBAL SINGH RAJPUT</t>
  </si>
  <si>
    <t>SHASHI RAJPUT</t>
  </si>
  <si>
    <t>BTMC24O1090</t>
  </si>
  <si>
    <t>24mc10po98@mitsgwl.ac.in</t>
  </si>
  <si>
    <t>POORVI TOMAR</t>
  </si>
  <si>
    <t>ANIL SINGH TOMAR</t>
  </si>
  <si>
    <t>JYOTI TOMAR</t>
  </si>
  <si>
    <t>BTMC24O1091</t>
  </si>
  <si>
    <t>24mc10pr99@mitsgwl.ac.in</t>
  </si>
  <si>
    <t>PRADYUMN RAGHUWANSHI</t>
  </si>
  <si>
    <t>SATYENDRA RAGHUWANSHI</t>
  </si>
  <si>
    <t>MATI RAGHUWANSHI</t>
  </si>
  <si>
    <t>BTMC24O1092</t>
  </si>
  <si>
    <t>24mc10pr100@mitsgwl.ac.in</t>
  </si>
  <si>
    <t>PRATHMESH CHORGHADE</t>
  </si>
  <si>
    <t>PRADEEP DIWAKAR CHORGHADE</t>
  </si>
  <si>
    <t>PRATIMA CHORGHADE</t>
  </si>
  <si>
    <t>BTMC24O1093</t>
  </si>
  <si>
    <t>24mc10pr101@mitsgwl.ac.in</t>
  </si>
  <si>
    <t>NAMDEO SOLANKI</t>
  </si>
  <si>
    <t>VIDHYA SOLANKI</t>
  </si>
  <si>
    <t>BTMC24O1094</t>
  </si>
  <si>
    <t>24mc10pr102@mitsgwl.ac.in</t>
  </si>
  <si>
    <t>PRIYANSH NAMDEO</t>
  </si>
  <si>
    <t>PARESH NAMDEO</t>
  </si>
  <si>
    <t>SUNITA NAMDEO</t>
  </si>
  <si>
    <t>BTMC24O1095</t>
  </si>
  <si>
    <t>24mc10pr103@mitsgwl.ac.in</t>
  </si>
  <si>
    <t>PRIYANSHU SHUKLA</t>
  </si>
  <si>
    <t>DEEPAK KUMAR SHUKLA</t>
  </si>
  <si>
    <t>MANJU LATA SHUKLA</t>
  </si>
  <si>
    <t>BTMC24O1096</t>
  </si>
  <si>
    <t>24mc10pu104@mitsgwl.ac.in</t>
  </si>
  <si>
    <t>PURUSHOTTAM NAGAR</t>
  </si>
  <si>
    <t>SANTOSH KUMAR NAGAR</t>
  </si>
  <si>
    <t>MENA NAGAR</t>
  </si>
  <si>
    <t>BTMC24O1097</t>
  </si>
  <si>
    <t>24mc10ra105@mitsgwl.ac.in</t>
  </si>
  <si>
    <t>RAGHVENDRA SAHU</t>
  </si>
  <si>
    <t>SHOBHARAM SAHU</t>
  </si>
  <si>
    <t>RAJKUMARI SAHU</t>
  </si>
  <si>
    <t>BTMC24O1098</t>
  </si>
  <si>
    <t>24mc10ri107@mitsgwl.ac.in</t>
  </si>
  <si>
    <t>RIMJHIM HABLANI</t>
  </si>
  <si>
    <t>SANJAY HABLANI</t>
  </si>
  <si>
    <t>KAJAL HABLANI</t>
  </si>
  <si>
    <t>BTMC24O1099</t>
  </si>
  <si>
    <t>rishpandey.30@gmail.com</t>
  </si>
  <si>
    <t>RISHABH PANDEY</t>
  </si>
  <si>
    <t>AMITESH PANDEY</t>
  </si>
  <si>
    <t>KIRTI PANDEY</t>
  </si>
  <si>
    <t>BTMC24O1100</t>
  </si>
  <si>
    <t>24mc1Ori110@mitsgwl.ac.in</t>
  </si>
  <si>
    <t>RISHABH SINGH</t>
  </si>
  <si>
    <t>NAROTTAM SINGH</t>
  </si>
  <si>
    <t>RADHA DEVI</t>
  </si>
  <si>
    <t xml:space="preserve">SCHEME </t>
  </si>
  <si>
    <t xml:space="preserve"> COURSE CODE</t>
  </si>
  <si>
    <t xml:space="preserve">COURSE NAME </t>
  </si>
  <si>
    <t>Maximum Marks Allotted</t>
  </si>
  <si>
    <t>Total Credits</t>
  </si>
  <si>
    <t>THEORY BLOCK</t>
  </si>
  <si>
    <t>Practical Block</t>
  </si>
  <si>
    <t>CONTINOUS  EVALUATION</t>
  </si>
  <si>
    <t>Continuous Evaluation</t>
  </si>
  <si>
    <t>MINOR EVALUATION 1</t>
  </si>
  <si>
    <t>MINOR EVALUATION 2</t>
  </si>
  <si>
    <t>QUIZ/ ASSIGMENT</t>
  </si>
  <si>
    <t>MAJOR EVALUATION</t>
  </si>
  <si>
    <t>Lab Work</t>
  </si>
  <si>
    <t xml:space="preserve">Major 
Evaluation </t>
  </si>
  <si>
    <t>Introduction to Computing</t>
  </si>
  <si>
    <t>-</t>
  </si>
  <si>
    <t>Computer Programming</t>
  </si>
  <si>
    <t xml:space="preserve">Advanced Calculus </t>
  </si>
  <si>
    <t>Digital Logic Design</t>
  </si>
  <si>
    <t>Differential Equations</t>
  </si>
  <si>
    <t>Computer Programming Lab</t>
  </si>
  <si>
    <t>Computing Lab for Data Analysis</t>
  </si>
  <si>
    <t>Semester Proficiency</t>
  </si>
  <si>
    <t>Micro Project-1</t>
  </si>
  <si>
    <t>Language Lab</t>
  </si>
  <si>
    <t>NECXXXX</t>
  </si>
  <si>
    <t xml:space="preserve">Novel Engaging Course </t>
  </si>
  <si>
    <t xml:space="preserve">Universal Human Values &amp; Professional Ethics 
(UHVPE) </t>
  </si>
  <si>
    <t xml:space="preserve">          माधव प्रौद्योगिकी एवं विज्ञान संस्थान, ग्वालियर (म.प्र.), भारत</t>
  </si>
  <si>
    <t xml:space="preserve">            Madhav Institute of Technology &amp; Science DU, Gwalior (M.P.), INDIA</t>
  </si>
  <si>
    <t xml:space="preserve">                Deemed University</t>
  </si>
  <si>
    <t xml:space="preserve">    (Declared under Distinct Category by Ministry of Education, Government of India)</t>
  </si>
  <si>
    <t xml:space="preserve">    NAAC ACCREDITED WITH A++ GRADE</t>
  </si>
  <si>
    <t xml:space="preserve">         Department of Engineering Mathematics &amp; Computing</t>
  </si>
  <si>
    <t xml:space="preserve">              B. Tech. I Semester (MAC)</t>
  </si>
  <si>
    <t>DC</t>
  </si>
  <si>
    <t>INTRODUCTION TO C0MPUTING</t>
  </si>
  <si>
    <t>Minor-1</t>
  </si>
  <si>
    <t>Minor-2</t>
  </si>
  <si>
    <t>Quiz</t>
  </si>
  <si>
    <t>Assignment</t>
  </si>
  <si>
    <t>Quiz+Assignment</t>
  </si>
  <si>
    <t>Major</t>
  </si>
  <si>
    <t>CLASS OVERVIEW</t>
  </si>
  <si>
    <t xml:space="preserve">PASSED </t>
  </si>
  <si>
    <t xml:space="preserve"> FAILED </t>
  </si>
  <si>
    <t>FAIL</t>
  </si>
  <si>
    <t xml:space="preserve">                      माधव प्रौद्योगिकी एवं विज्ञान संस्थान, ग्वालियर (म.प्र.), भारत</t>
  </si>
  <si>
    <t xml:space="preserve">                      Madhav Institute of Technology &amp; Science DU, Gwalior (M.P.), INDIA</t>
  </si>
  <si>
    <t xml:space="preserve">                                  Deemed University</t>
  </si>
  <si>
    <t xml:space="preserve">           (Declared under Distinct Category by Ministry of Education, Government of India)</t>
  </si>
  <si>
    <t xml:space="preserve">                                  Department of Engineering Mathematics &amp; Computing</t>
  </si>
  <si>
    <t xml:space="preserve">                                    B. Tech. I Semester (MAC)</t>
  </si>
  <si>
    <t>ESC</t>
  </si>
  <si>
    <t>COMPUTER PROGRAMMING</t>
  </si>
  <si>
    <t>PASSED</t>
  </si>
  <si>
    <t>FAILED</t>
  </si>
  <si>
    <t xml:space="preserve">        माधव प्रौद्योगिकी एवं विज्ञान संस्थान, ग्वालियर (म.प्र.), भारत</t>
  </si>
  <si>
    <t xml:space="preserve">         Madhav Institute of Technology &amp; Science DU, Gwalior (M.P.), INDIA</t>
  </si>
  <si>
    <t xml:space="preserve">             Deemed University</t>
  </si>
  <si>
    <t xml:space="preserve">   NAAC ACCREDITED WITH A++ GRADE</t>
  </si>
  <si>
    <t xml:space="preserve">       Department of Engineering Mathematics &amp; Computing</t>
  </si>
  <si>
    <t xml:space="preserve">          B. Tech. I Semester (MAC)</t>
  </si>
  <si>
    <t>ADVANCED CALCULAS</t>
  </si>
  <si>
    <t xml:space="preserve"> PASSED : </t>
  </si>
  <si>
    <t xml:space="preserve"> FAILED : </t>
  </si>
  <si>
    <t xml:space="preserve">  माधव प्रौद्योगिकी एवं विज्ञान संस्थान, ग्वालियर (म.प्र.), भारत</t>
  </si>
  <si>
    <t xml:space="preserve">        Department of Engineering Mathematics &amp; Computing</t>
  </si>
  <si>
    <t xml:space="preserve">                 B. Tech. I Semester (MAC)</t>
  </si>
  <si>
    <t>DIGITAL LOGIC DESIGN</t>
  </si>
  <si>
    <t xml:space="preserve">FAILED : </t>
  </si>
  <si>
    <t xml:space="preserve">              माधव प्रौद्योगिकी एवं विज्ञान संस्थान, ग्वालियर (म.प्र.), भारत</t>
  </si>
  <si>
    <t xml:space="preserve">     Madhav Institute of Technology &amp; Science DU, Gwalior (M.P.), INDIA</t>
  </si>
  <si>
    <t xml:space="preserve">                        Deemed University</t>
  </si>
  <si>
    <t xml:space="preserve">              NAAC ACCREDITED WITH A++ GRADE</t>
  </si>
  <si>
    <t xml:space="preserve">                    Department of Engineering Mathematics &amp; Computing</t>
  </si>
  <si>
    <t xml:space="preserve">                          B. Tech. I Semester (MAC)</t>
  </si>
  <si>
    <t>BSC</t>
  </si>
  <si>
    <t>DIFFERENTIAL EQUATIONS</t>
  </si>
  <si>
    <t xml:space="preserve">           माधव प्रौद्योगिकी एवं विज्ञान संस्थान, ग्वालियर (म.प्र.), भारत</t>
  </si>
  <si>
    <t xml:space="preserve">          Madhav Institute of Technology &amp; Science DU, Gwalior (M.P.), INDIA</t>
  </si>
  <si>
    <t xml:space="preserve">                       Deemed University</t>
  </si>
  <si>
    <t xml:space="preserve">        NAAC ACCREDITED WITH A++ GRADE</t>
  </si>
  <si>
    <t xml:space="preserve">                     Department of Engineering Mathematics &amp; Computing</t>
  </si>
  <si>
    <t xml:space="preserve">                           B. Tech. I Semester (MAC)</t>
  </si>
  <si>
    <t>DLC</t>
  </si>
  <si>
    <t>Continuous evaluation</t>
  </si>
  <si>
    <t>Lab Work &amp; Sessional</t>
  </si>
  <si>
    <t xml:space="preserve">PASSED : </t>
  </si>
  <si>
    <t xml:space="preserve">                 माधव प्रौद्योगिकी एवं विज्ञान संस्थान, ग्वालियर (म.प्र.), भारत</t>
  </si>
  <si>
    <t xml:space="preserve">           Madhav Institute of Technology &amp; Science DU, Gwalior (M.P.), INDIA</t>
  </si>
  <si>
    <t xml:space="preserve">       NAAC ACCREDITED WITH A++ GRADE</t>
  </si>
  <si>
    <t xml:space="preserve">                Department of Engineering Mathematics &amp; Computing</t>
  </si>
  <si>
    <t xml:space="preserve">                        B. Tech. I Semester (MAC)</t>
  </si>
  <si>
    <t>Computing lab for data analysis</t>
  </si>
  <si>
    <t xml:space="preserve">                     Deemed University</t>
  </si>
  <si>
    <t xml:space="preserve">          NAAC ACCREDITED WITH A++ GRADE</t>
  </si>
  <si>
    <t xml:space="preserve">                         Department of Engineering Mathematics &amp; Computing</t>
  </si>
  <si>
    <t>SP</t>
  </si>
  <si>
    <t xml:space="preserve"> CLASS OVERVIEW</t>
  </si>
  <si>
    <t xml:space="preserve">            माधव प्रौद्योगिकी एवं विज्ञान संस्थान, ग्वालियर (म.प्र.), भारत</t>
  </si>
  <si>
    <t xml:space="preserve">                    Deemed University</t>
  </si>
  <si>
    <t xml:space="preserve">                       B. Tech. I Semester (MAC)</t>
  </si>
  <si>
    <t>PBL</t>
  </si>
  <si>
    <t>MICRO PROJECT</t>
  </si>
  <si>
    <t xml:space="preserve">                      Department of Engineering Mathematics &amp; Computing</t>
  </si>
  <si>
    <t xml:space="preserve">                         B. Tech. I Semester (MAC)</t>
  </si>
  <si>
    <t>HSMC</t>
  </si>
  <si>
    <t xml:space="preserve">Language lab </t>
  </si>
  <si>
    <t>NECXXXXX</t>
  </si>
  <si>
    <t>NEC</t>
  </si>
  <si>
    <t>Novel engaging course</t>
  </si>
  <si>
    <t>UHVPE</t>
  </si>
  <si>
    <t>DATA INTEGRITY &amp; ERROR-DETECTION CHECK</t>
  </si>
  <si>
    <t>Automated validation across all subject sheets — flags duplicate enrollments, blank entries, out-of-range marks, and cross-sheet mismatches.</t>
  </si>
  <si>
    <t>Subject Sheet</t>
  </si>
  <si>
    <t>Enrolled Records</t>
  </si>
  <si>
    <t>Duplicate Enrollment No.s</t>
  </si>
  <si>
    <t>Blank Mark Entries</t>
  </si>
  <si>
    <t>Out-of-Range Marks</t>
  </si>
  <si>
    <t>Enrollment Not in Master List</t>
  </si>
  <si>
    <t>Status</t>
  </si>
  <si>
    <t>SUB-1</t>
  </si>
  <si>
    <t>SUB- 2</t>
  </si>
  <si>
    <t>SUB-3</t>
  </si>
  <si>
    <t>SUB-4</t>
  </si>
  <si>
    <t>SUB-5</t>
  </si>
  <si>
    <t>SUB-6</t>
  </si>
  <si>
    <t>SUB-7</t>
  </si>
  <si>
    <t>SUB-8</t>
  </si>
  <si>
    <t>SUB-9</t>
  </si>
  <si>
    <t>SUB-10</t>
  </si>
  <si>
    <t>SUB- NEC</t>
  </si>
  <si>
    <t>SUB-12</t>
  </si>
  <si>
    <t>TOTAL ISSUES FOUND ACROSS WORKBOOK: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</si>
</sst>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</numFmts>
  <fonts count="59">
    <font>
      <sz val="11"/>
      <color theme="1"/>
      <name val="Calibri"/>
      <charset val="134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color rgb="FFC00000"/>
      <name val="Arial"/>
      <charset val="1"/>
    </font>
    <font>
      <b/>
      <sz val="20"/>
      <color rgb="FF270B9D"/>
      <name val="Noto Sans"/>
      <charset val="1"/>
    </font>
    <font>
      <b/>
      <sz val="16"/>
      <color rgb="FF270B9D"/>
      <name val="Noto Sans"/>
      <charset val="1"/>
    </font>
    <font>
      <b/>
      <sz val="16"/>
      <color rgb="FFD52720"/>
      <name val="Noto Sans"/>
      <charset val="1"/>
    </font>
    <font>
      <b/>
      <sz val="16"/>
      <color rgb="FF259208"/>
      <name val="Noto Sans"/>
      <charset val="1"/>
    </font>
    <font>
      <sz val="16"/>
      <color theme="1"/>
      <name val="Calibri"/>
      <charset val="134"/>
    </font>
    <font>
      <b/>
      <sz val="14"/>
      <color theme="1"/>
      <name val="Calibri"/>
      <charset val="134"/>
    </font>
    <font>
      <b/>
      <sz val="18"/>
      <color rgb="FF270B9D"/>
      <name val="Noto Sans"/>
      <charset val="1"/>
    </font>
    <font>
      <b/>
      <sz val="14"/>
      <color rgb="FF259208"/>
      <name val="Noto Sans"/>
      <charset val="1"/>
    </font>
    <font>
      <b/>
      <sz val="20"/>
      <color rgb="FF270B9D"/>
      <name val="Noto Sans"/>
      <charset val="134"/>
    </font>
    <font>
      <sz val="10"/>
      <color theme="1"/>
      <name val="Calibri"/>
      <charset val="134"/>
    </font>
    <font>
      <sz val="14"/>
      <color theme="1"/>
      <name val="Calibri"/>
      <charset val="134"/>
    </font>
    <font>
      <b/>
      <sz val="10"/>
      <color rgb="FFFF0000"/>
      <name val="Calibri"/>
      <charset val="134"/>
    </font>
    <font>
      <b/>
      <sz val="22"/>
      <color rgb="FF270B9D"/>
      <name val="Noto Sans"/>
      <charset val="1"/>
    </font>
    <font>
      <b/>
      <sz val="20"/>
      <color rgb="FFD52720"/>
      <name val="Noto Sans"/>
      <charset val="1"/>
    </font>
    <font>
      <b/>
      <sz val="18"/>
      <color rgb="FF259208"/>
      <name val="Noto Sans"/>
      <charset val="1"/>
    </font>
    <font>
      <b/>
      <sz val="18"/>
      <color rgb="FFD52720"/>
      <name val="Noto Sans"/>
      <charset val="1"/>
    </font>
    <font>
      <sz val="18"/>
      <color theme="1"/>
      <name val="Calibri"/>
      <charset val="134"/>
    </font>
    <font>
      <sz val="10"/>
      <color theme="1"/>
      <name val="Arial"/>
      <charset val="134"/>
    </font>
    <font>
      <b/>
      <sz val="14"/>
      <color rgb="FF270B9D"/>
      <name val="Noto Sans"/>
      <charset val="1"/>
    </font>
    <font>
      <b/>
      <sz val="12"/>
      <color rgb="FF270B9D"/>
      <name val="Noto Sans"/>
      <charset val="1"/>
    </font>
    <font>
      <b/>
      <sz val="12"/>
      <color rgb="FFD52720"/>
      <name val="Noto Sans"/>
      <charset val="1"/>
    </font>
    <font>
      <b/>
      <sz val="11"/>
      <color rgb="FF259208"/>
      <name val="Noto Sans"/>
      <charset val="1"/>
    </font>
    <font>
      <b/>
      <sz val="11"/>
      <color rgb="FFD52720"/>
      <name val="Noto Sans"/>
      <charset val="1"/>
    </font>
    <font>
      <sz val="24"/>
      <color theme="1"/>
      <name val="Calibri"/>
      <charset val="134"/>
    </font>
    <font>
      <sz val="11"/>
      <color rgb="FFFFFFFF"/>
      <name val="Calibri"/>
      <charset val="134"/>
    </font>
    <font>
      <b/>
      <sz val="18"/>
      <color rgb="FF1F4E78"/>
      <name val="Arial"/>
      <charset val="1"/>
    </font>
    <font>
      <i/>
      <sz val="10"/>
      <color rgb="FF595959"/>
      <name val="Arial"/>
      <charset val="1"/>
    </font>
    <font>
      <sz val="10"/>
      <color rgb="FF595959"/>
      <name val="Arial"/>
      <charset val="1"/>
    </font>
    <font>
      <b/>
      <sz val="22"/>
      <color rgb="FF1F4E78"/>
      <name val="Arial"/>
      <charset val="1"/>
    </font>
    <font>
      <b/>
      <sz val="13"/>
      <color rgb="FF1F4E7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2F2F2"/>
      </patternFill>
    </fill>
    <fill>
      <patternFill patternType="solid">
        <fgColor theme="9" tint="0.5999"/>
        <bgColor rgb="FFC6EFCE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4" tint="0.3999"/>
        <bgColor rgb="FFA5A5A5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7999"/>
        <bgColor rgb="FFD9E1F2"/>
      </patternFill>
    </fill>
    <fill>
      <patternFill patternType="solid">
        <fgColor theme="5" tint="0.7999"/>
        <bgColor rgb="FFFFF2CC"/>
      </patternFill>
    </fill>
    <fill>
      <patternFill patternType="solid">
        <fgColor rgb="FFFFC6C6"/>
        <bgColor rgb="FFFFC7CE"/>
      </patternFill>
    </fill>
    <fill>
      <patternFill patternType="solid">
        <fgColor rgb="FFCBC2F8"/>
        <bgColor rgb="FFCCCCCC"/>
      </patternFill>
    </fill>
    <fill>
      <patternFill patternType="solid">
        <fgColor theme="5" tint="0.5999"/>
        <bgColor rgb="FFFFC6C6"/>
      </patternFill>
    </fill>
    <fill>
      <patternFill patternType="solid">
        <fgColor theme="8" tint="0.7999"/>
        <bgColor rgb="FFDAE3F3"/>
      </patternFill>
    </fill>
    <fill>
      <patternFill patternType="solid">
        <fgColor rgb="FFFFCE3C"/>
        <bgColor rgb="FFFFC000"/>
      </patternFill>
    </fill>
    <fill>
      <patternFill patternType="solid">
        <fgColor rgb="FFF06262"/>
        <bgColor rgb="FFED7D31"/>
      </patternFill>
    </fill>
    <fill>
      <patternFill patternType="solid">
        <fgColor rgb="FFD9E1F2"/>
        <bgColor rgb="FFDAE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medium">
        <color rgb="FFCCCCCC"/>
      </bottom>
      <diagonal/>
    </border>
    <border>
      <left/>
      <right style="medium">
        <color rgb="FFCCCCCC"/>
      </right>
      <top style="thin">
        <color auto="1"/>
      </top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thin">
        <color auto="1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rgb="FFCCCCCC"/>
      </top>
      <bottom style="medium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8" fillId="0" borderId="0" applyBorder="0" applyAlignment="0" applyProtection="0"/>
    <xf numFmtId="177" fontId="38" fillId="0" borderId="0" applyBorder="0" applyAlignment="0" applyProtection="0"/>
    <xf numFmtId="9" fontId="38" fillId="0" borderId="0" applyBorder="0" applyAlignment="0" applyProtection="0"/>
    <xf numFmtId="178" fontId="38" fillId="0" borderId="0" applyBorder="0" applyAlignment="0" applyProtection="0"/>
    <xf numFmtId="179" fontId="38" fillId="0" borderId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8" borderId="4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5" applyNumberFormat="0" applyFill="0" applyAlignment="0" applyProtection="0">
      <alignment vertical="center"/>
    </xf>
    <xf numFmtId="0" fontId="47" fillId="0" borderId="4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9" borderId="47" applyNumberFormat="0" applyAlignment="0" applyProtection="0">
      <alignment vertical="center"/>
    </xf>
    <xf numFmtId="0" fontId="49" fillId="20" borderId="48" applyNumberFormat="0" applyAlignment="0" applyProtection="0">
      <alignment vertical="center"/>
    </xf>
    <xf numFmtId="0" fontId="50" fillId="20" borderId="47" applyNumberFormat="0" applyAlignment="0" applyProtection="0">
      <alignment vertical="center"/>
    </xf>
    <xf numFmtId="0" fontId="51" fillId="21" borderId="49" applyNumberFormat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</cellStyleXfs>
  <cellXfs count="17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Border="1" applyAlignment="1">
      <alignment horizontal="center" wrapText="1"/>
    </xf>
    <xf numFmtId="0" fontId="9" fillId="3" borderId="0" xfId="0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 wrapText="1"/>
    </xf>
    <xf numFmtId="0" fontId="11" fillId="3" borderId="0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13" fillId="0" borderId="0" xfId="0" applyFont="1" applyAlignment="1"/>
    <xf numFmtId="0" fontId="0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3" borderId="0" xfId="0" applyFill="1" applyAlignment="1"/>
    <xf numFmtId="0" fontId="14" fillId="3" borderId="0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0" fillId="0" borderId="2" xfId="0" applyBorder="1" applyAlignment="1"/>
    <xf numFmtId="0" fontId="0" fillId="0" borderId="0" xfId="0" applyFont="1" applyAlignment="1">
      <alignment wrapText="1"/>
    </xf>
    <xf numFmtId="0" fontId="13" fillId="0" borderId="0" xfId="0" applyFont="1" applyBorder="1" applyAlignment="1">
      <alignment horizontal="center"/>
    </xf>
    <xf numFmtId="0" fontId="17" fillId="0" borderId="0" xfId="0" applyFont="1" applyAlignment="1"/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top" wrapText="1"/>
    </xf>
    <xf numFmtId="0" fontId="17" fillId="9" borderId="2" xfId="0" applyFont="1" applyFill="1" applyBorder="1" applyAlignment="1">
      <alignment vertical="top" wrapText="1"/>
    </xf>
    <xf numFmtId="0" fontId="17" fillId="10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wrapText="1"/>
    </xf>
    <xf numFmtId="0" fontId="17" fillId="10" borderId="2" xfId="0" applyFont="1" applyFill="1" applyBorder="1" applyAlignment="1">
      <alignment vertical="center"/>
    </xf>
    <xf numFmtId="0" fontId="17" fillId="10" borderId="2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/>
    <xf numFmtId="0" fontId="17" fillId="9" borderId="2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11" borderId="4" xfId="0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/>
    </xf>
    <xf numFmtId="0" fontId="17" fillId="11" borderId="5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/>
    </xf>
    <xf numFmtId="0" fontId="17" fillId="0" borderId="2" xfId="0" applyFont="1" applyBorder="1" applyAlignment="1">
      <alignment wrapText="1"/>
    </xf>
    <xf numFmtId="0" fontId="17" fillId="10" borderId="2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wrapText="1"/>
    </xf>
    <xf numFmtId="0" fontId="21" fillId="3" borderId="0" xfId="0" applyFont="1" applyFill="1" applyBorder="1" applyAlignment="1">
      <alignment horizontal="center" wrapText="1"/>
    </xf>
    <xf numFmtId="0" fontId="22" fillId="3" borderId="0" xfId="0" applyFont="1" applyFill="1" applyBorder="1" applyAlignment="1">
      <alignment horizontal="center" wrapText="1"/>
    </xf>
    <xf numFmtId="0" fontId="23" fillId="3" borderId="0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0" fontId="0" fillId="3" borderId="3" xfId="0" applyFont="1" applyFill="1" applyBorder="1" applyAlignment="1">
      <alignment horizont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5" borderId="2" xfId="0" applyFont="1" applyFill="1" applyBorder="1" applyAlignment="1">
      <alignment horizont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80" fontId="25" fillId="13" borderId="2" xfId="0" applyNumberFormat="1" applyFont="1" applyFill="1" applyBorder="1" applyAlignment="1">
      <alignment horizontal="center"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25" fillId="4" borderId="16" xfId="0" applyFont="1" applyFill="1" applyBorder="1" applyAlignment="1">
      <alignment horizontal="center" vertical="center" wrapText="1"/>
    </xf>
    <xf numFmtId="0" fontId="25" fillId="4" borderId="17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5" fillId="5" borderId="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25" fillId="12" borderId="19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wrapText="1"/>
    </xf>
    <xf numFmtId="0" fontId="27" fillId="14" borderId="22" xfId="0" applyFont="1" applyFill="1" applyBorder="1" applyAlignment="1">
      <alignment horizontal="center" wrapText="1"/>
    </xf>
    <xf numFmtId="0" fontId="28" fillId="14" borderId="22" xfId="0" applyFont="1" applyFill="1" applyBorder="1" applyAlignment="1">
      <alignment horizontal="center" wrapText="1"/>
    </xf>
    <xf numFmtId="0" fontId="29" fillId="14" borderId="22" xfId="0" applyFont="1" applyFill="1" applyBorder="1" applyAlignment="1">
      <alignment horizontal="center" wrapText="1"/>
    </xf>
    <xf numFmtId="0" fontId="30" fillId="14" borderId="22" xfId="0" applyFont="1" applyFill="1" applyBorder="1" applyAlignment="1">
      <alignment horizontal="center" wrapText="1"/>
    </xf>
    <xf numFmtId="0" fontId="0" fillId="14" borderId="6" xfId="0" applyFont="1" applyFill="1" applyBorder="1" applyAlignment="1">
      <alignment horizontal="center" wrapText="1"/>
    </xf>
    <xf numFmtId="0" fontId="0" fillId="14" borderId="23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3" xfId="0" applyFont="1" applyFill="1" applyBorder="1" applyAlignment="1">
      <alignment horizontal="center" wrapText="1"/>
    </xf>
    <xf numFmtId="0" fontId="0" fillId="14" borderId="25" xfId="0" applyFill="1" applyBorder="1" applyAlignment="1">
      <alignment horizontal="center" wrapText="1"/>
    </xf>
    <xf numFmtId="0" fontId="0" fillId="14" borderId="3" xfId="0" applyFont="1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22" xfId="0" applyFont="1" applyFill="1" applyBorder="1" applyAlignment="1">
      <alignment horizontal="center" wrapText="1"/>
    </xf>
    <xf numFmtId="0" fontId="0" fillId="14" borderId="0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14" borderId="22" xfId="0" applyFont="1" applyFill="1" applyBorder="1" applyAlignment="1">
      <alignment horizontal="center"/>
    </xf>
    <xf numFmtId="0" fontId="0" fillId="14" borderId="24" xfId="0" applyFill="1" applyBorder="1" applyAlignment="1">
      <alignment horizontal="center" wrapText="1"/>
    </xf>
    <xf numFmtId="2" fontId="0" fillId="14" borderId="0" xfId="0" applyNumberFormat="1" applyFill="1" applyAlignment="1">
      <alignment horizontal="center"/>
    </xf>
    <xf numFmtId="180" fontId="0" fillId="14" borderId="0" xfId="0" applyNumberFormat="1" applyFill="1" applyBorder="1" applyAlignment="1">
      <alignment horizontal="center" wrapText="1"/>
    </xf>
    <xf numFmtId="0" fontId="0" fillId="14" borderId="6" xfId="0" applyFont="1" applyFill="1" applyBorder="1" applyAlignment="1">
      <alignment horizontal="center"/>
    </xf>
    <xf numFmtId="0" fontId="0" fillId="14" borderId="8" xfId="0" applyFont="1" applyFill="1" applyBorder="1" applyAlignment="1">
      <alignment horizontal="center" wrapText="1"/>
    </xf>
    <xf numFmtId="0" fontId="0" fillId="14" borderId="8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5" borderId="27" xfId="0" applyFont="1" applyFill="1" applyBorder="1" applyAlignment="1">
      <alignment horizontal="center"/>
    </xf>
    <xf numFmtId="0" fontId="0" fillId="15" borderId="28" xfId="0" applyFont="1" applyFill="1" applyBorder="1" applyAlignment="1">
      <alignment horizontal="center"/>
    </xf>
    <xf numFmtId="0" fontId="0" fillId="15" borderId="29" xfId="0" applyFont="1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0" fillId="14" borderId="33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4" borderId="34" xfId="0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7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0" fillId="11" borderId="28" xfId="0" applyFont="1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4" borderId="37" xfId="0" applyFill="1" applyBorder="1" applyAlignment="1">
      <alignment horizontal="center" wrapText="1"/>
    </xf>
    <xf numFmtId="0" fontId="0" fillId="14" borderId="40" xfId="0" applyFill="1" applyBorder="1" applyAlignment="1">
      <alignment horizontal="center"/>
    </xf>
    <xf numFmtId="0" fontId="31" fillId="3" borderId="41" xfId="0" applyFont="1" applyFill="1" applyBorder="1" applyAlignment="1">
      <alignment horizontal="center"/>
    </xf>
    <xf numFmtId="0" fontId="32" fillId="16" borderId="2" xfId="0" applyFont="1" applyFill="1" applyBorder="1" applyAlignment="1">
      <alignment horizontal="center" vertical="center"/>
    </xf>
    <xf numFmtId="0" fontId="32" fillId="16" borderId="25" xfId="0" applyFont="1" applyFill="1" applyBorder="1" applyAlignment="1">
      <alignment horizontal="center"/>
    </xf>
    <xf numFmtId="0" fontId="32" fillId="16" borderId="25" xfId="0" applyFont="1" applyFill="1" applyBorder="1" applyAlignment="1">
      <alignment horizontal="center" wrapText="1"/>
    </xf>
    <xf numFmtId="0" fontId="32" fillId="16" borderId="26" xfId="0" applyFont="1" applyFill="1" applyBorder="1" applyAlignment="1">
      <alignment horizontal="center" wrapText="1"/>
    </xf>
    <xf numFmtId="0" fontId="32" fillId="16" borderId="8" xfId="0" applyFont="1" applyFill="1" applyBorder="1" applyAlignment="1">
      <alignment horizontal="center"/>
    </xf>
    <xf numFmtId="0" fontId="32" fillId="16" borderId="9" xfId="0" applyFont="1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0" fillId="14" borderId="25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10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0" fillId="0" borderId="32" xfId="0" applyBorder="1" applyAlignment="1"/>
    <xf numFmtId="0" fontId="0" fillId="0" borderId="18" xfId="0" applyBorder="1" applyAlignment="1"/>
    <xf numFmtId="0" fontId="0" fillId="0" borderId="43" xfId="0" applyBorder="1" applyAlignment="1"/>
    <xf numFmtId="0" fontId="0" fillId="0" borderId="40" xfId="0" applyBorder="1" applyAlignment="1"/>
    <xf numFmtId="0" fontId="33" fillId="0" borderId="0" xfId="0" applyFont="1" applyAlignment="1"/>
    <xf numFmtId="0" fontId="34" fillId="0" borderId="0" xfId="0" applyFont="1" applyAlignment="1"/>
    <xf numFmtId="0" fontId="35" fillId="17" borderId="1" xfId="0" applyFont="1" applyFill="1" applyBorder="1" applyAlignment="1">
      <alignment horizontal="center"/>
    </xf>
    <xf numFmtId="0" fontId="36" fillId="17" borderId="1" xfId="0" applyFont="1" applyFill="1" applyBorder="1" applyAlignment="1">
      <alignment horizontal="center"/>
    </xf>
    <xf numFmtId="0" fontId="37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259208"/>
      <rgbColor rgb="00270B9D"/>
      <rgbColor rgb="00FFC7CE"/>
      <rgbColor rgb="00800080"/>
      <rgbColor rgb="00008080"/>
      <rgbColor rgb="00BFBFBF"/>
      <rgbColor rgb="005B9BD5"/>
      <rgbColor rgb="008FAADC"/>
      <rgbColor rgb="00993366"/>
      <rgbColor rgb="00FFF2CC"/>
      <rgbColor rgb="00DEEBF7"/>
      <rgbColor rgb="00660066"/>
      <rgbColor rgb="00F06262"/>
      <rgbColor rgb="000066CC"/>
      <rgbColor rgb="00CBC2F8"/>
      <rgbColor rgb="00000080"/>
      <rgbColor rgb="00FF00FF"/>
      <rgbColor rgb="00FBE5D6"/>
      <rgbColor rgb="0000FFFF"/>
      <rgbColor rgb="00800080"/>
      <rgbColor rgb="00C00000"/>
      <rgbColor rgb="00008080"/>
      <rgbColor rgb="000000FF"/>
      <rgbColor rgb="0000CCFF"/>
      <rgbColor rgb="00DAE3F3"/>
      <rgbColor rgb="00C6EFCE"/>
      <rgbColor rgb="00FFE699"/>
      <rgbColor rgb="00CCCCCC"/>
      <rgbColor rgb="00F4B183"/>
      <rgbColor rgb="00B3B3B3"/>
      <rgbColor rgb="00F8CBAD"/>
      <rgbColor rgb="004472C4"/>
      <rgbColor rgb="00D9D9D9"/>
      <rgbColor rgb="00C5E0B4"/>
      <rgbColor rgb="00FFC000"/>
      <rgbColor rgb="00FFC6C6"/>
      <rgbColor rgb="00ED7D31"/>
      <rgbColor rgb="00595959"/>
      <rgbColor rgb="00A5A5A5"/>
      <rgbColor rgb="00003366"/>
      <rgbColor rgb="00D9E1F2"/>
      <rgbColor rgb="00003300"/>
      <rgbColor rgb="00333300"/>
      <rgbColor rgb="00D5272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Average Marks by Subject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Avg Marks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DASHBOARD!$B$12:$B$22</c:f>
              <c:strCache>
                <c:ptCount val="11"/>
                <c:pt idx="0">
                  <c:v>Introduction to Computing</c:v>
                </c:pt>
                <c:pt idx="1">
                  <c:v>Computer Programming</c:v>
                </c:pt>
                <c:pt idx="2">
                  <c:v>Advanced Calculus </c:v>
                </c:pt>
                <c:pt idx="3">
                  <c:v>Digital Logic Design</c:v>
                </c:pt>
                <c:pt idx="4">
                  <c:v>Differential Equations</c:v>
                </c:pt>
                <c:pt idx="5">
                  <c:v>Computer Programming Lab</c:v>
                </c:pt>
                <c:pt idx="6">
                  <c:v>Computing Lab for Data Analysis</c:v>
                </c:pt>
                <c:pt idx="7">
                  <c:v>Semester Proficiency</c:v>
                </c:pt>
                <c:pt idx="8">
                  <c:v>Micro Project-1</c:v>
                </c:pt>
                <c:pt idx="9">
                  <c:v>Language Lab</c:v>
                </c:pt>
                <c:pt idx="10">
                  <c:v>Novel Engaging Course </c:v>
                </c:pt>
              </c:strCache>
            </c:strRef>
          </c:cat>
          <c:val>
            <c:numRef>
              <c:f>DASHBOARD!$C$12:$C$22</c:f>
              <c:numCache>
                <c:formatCode>General</c:formatCode>
                <c:ptCount val="11"/>
                <c:pt idx="0">
                  <c:v>48.1</c:v>
                </c:pt>
                <c:pt idx="1">
                  <c:v>48.9</c:v>
                </c:pt>
                <c:pt idx="2">
                  <c:v>50.3</c:v>
                </c:pt>
                <c:pt idx="3">
                  <c:v>50.8</c:v>
                </c:pt>
                <c:pt idx="4">
                  <c:v>50.2</c:v>
                </c:pt>
                <c:pt idx="5">
                  <c:v>52.2</c:v>
                </c:pt>
                <c:pt idx="6">
                  <c:v>52.4</c:v>
                </c:pt>
                <c:pt idx="7">
                  <c:v>23.4</c:v>
                </c:pt>
                <c:pt idx="8">
                  <c:v>47.7</c:v>
                </c:pt>
                <c:pt idx="9">
                  <c:v>49.3</c:v>
                </c:pt>
                <c:pt idx="10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2053235"/>
        <c:axId val="66105802"/>
      </c:barChart>
      <c:catAx>
        <c:axId val="520532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Subject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105802"/>
        <c:crosses val="autoZero"/>
        <c:auto val="1"/>
        <c:lblAlgn val="ctr"/>
        <c:lblOffset val="100"/>
        <c:noMultiLvlLbl val="0"/>
      </c:catAx>
      <c:valAx>
        <c:axId val="66105802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Average Marks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2053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26c194-c388-4f87-9e6a-67b2a11b683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Grade Distribution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DASHBOARD!$J$11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5B9BD5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DASHBOARD!$I$12:$I$16</c:f>
              <c:strCache>
                <c:ptCount val="5"/>
                <c:pt idx="0">
                  <c:v>A (90-100)</c:v>
                </c:pt>
                <c:pt idx="1">
                  <c:v>B (60-89)</c:v>
                </c:pt>
                <c:pt idx="2">
                  <c:v>C (45-59)</c:v>
                </c:pt>
                <c:pt idx="3">
                  <c:v>D (35-44)</c:v>
                </c:pt>
                <c:pt idx="4">
                  <c:v>F (&lt;35)</c:v>
                </c:pt>
              </c:strCache>
            </c:strRef>
          </c:cat>
          <c:val>
            <c:numRef>
              <c:f>DASHBOARD!$J$12:$J$16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67</c:v>
                </c:pt>
                <c:pt idx="3">
                  <c:v>24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3ea9b6-8f67-44cd-a68b-6e019793e9a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9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'SUB-1'!$P$17:$P$18</c:f>
              <c:strCache>
                <c:ptCount val="2"/>
                <c:pt idx="0">
                  <c:v>PASSED </c:v>
                </c:pt>
                <c:pt idx="1">
                  <c:v> FAILED </c:v>
                </c:pt>
              </c:strCache>
            </c:strRef>
          </c:cat>
          <c:val>
            <c:numRef>
              <c:f>'SUB-1'!$Q$17:$Q$18</c:f>
              <c:numCache>
                <c:formatCode>General</c:formatCode>
                <c:ptCount val="2"/>
                <c:pt idx="0">
                  <c:v>78</c:v>
                </c:pt>
                <c:pt idx="1">
                  <c:v>22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e8f13d-30cd-48d7-af62-38d4e5653ac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3"/>
          <c:dPt>
            <c:idx val="0"/>
            <c:bubble3D val="0"/>
            <c:explosion val="3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8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'SUB- 2'!$O$16:$O$17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'SUB- 2'!$P$16:$P$17</c:f>
              <c:numCache>
                <c:formatCode>General</c:formatCode>
                <c:ptCount val="2"/>
                <c:pt idx="0">
                  <c:v>86</c:v>
                </c:pt>
                <c:pt idx="1">
                  <c:v>14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6a2705-256f-4792-b583-03b430678fb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7"/>
          <c:dPt>
            <c:idx val="0"/>
            <c:bubble3D val="0"/>
            <c:explosion val="7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7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'SUB-3'!$P$17:$P$18</c:f>
              <c:strCache>
                <c:ptCount val="2"/>
                <c:pt idx="0">
                  <c:v> PASSED : </c:v>
                </c:pt>
                <c:pt idx="1">
                  <c:v> FAILED : </c:v>
                </c:pt>
              </c:strCache>
            </c:strRef>
          </c:cat>
          <c:val>
            <c:numRef>
              <c:f>'SUB-3'!$Q$17:$Q$18</c:f>
              <c:numCache>
                <c:formatCode>General</c:formatCode>
                <c:ptCount val="2"/>
                <c:pt idx="0">
                  <c:v>89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e72c29-728d-4bd4-b58d-aff51956d20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11"/>
          <c:dPt>
            <c:idx val="0"/>
            <c:bubble3D val="0"/>
            <c:explosion val="11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11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'SUB-4'!$P$16:$P$17</c:f>
              <c:strCache>
                <c:ptCount val="2"/>
                <c:pt idx="0">
                  <c:v> PASSED : </c:v>
                </c:pt>
                <c:pt idx="1">
                  <c:v>FAILED : </c:v>
                </c:pt>
              </c:strCache>
            </c:strRef>
          </c:cat>
          <c:val>
            <c:numRef>
              <c:f>'SUB-4'!$Q$16:$Q$17</c:f>
              <c:numCache>
                <c:formatCode>General</c:formatCode>
                <c:ptCount val="2"/>
                <c:pt idx="0">
                  <c:v>87</c:v>
                </c:pt>
                <c:pt idx="1">
                  <c:v>13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4316a6-5c0a-48a8-b877-3244d72f8cf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10"/>
          <c:dPt>
            <c:idx val="0"/>
            <c:bubble3D val="0"/>
            <c:explosion val="1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1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'SUB-5'!$P$16:$P$17</c:f>
              <c:strCache>
                <c:ptCount val="2"/>
                <c:pt idx="0">
                  <c:v> PASSED : </c:v>
                </c:pt>
                <c:pt idx="1">
                  <c:v>FAILED : </c:v>
                </c:pt>
              </c:strCache>
            </c:strRef>
          </c:cat>
          <c:val>
            <c:numRef>
              <c:f>'SUB-5'!$Q$16:$Q$17</c:f>
              <c:numCache>
                <c:formatCode>General</c:formatCode>
                <c:ptCount val="2"/>
                <c:pt idx="0">
                  <c:v>81</c:v>
                </c:pt>
                <c:pt idx="1">
                  <c:v>19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39335a-57ee-4a81-97e6-df08cad14b2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9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'SUB-6'!$L$17:$L$18</c:f>
              <c:strCache>
                <c:ptCount val="2"/>
                <c:pt idx="0">
                  <c:v>PASSED : </c:v>
                </c:pt>
                <c:pt idx="1">
                  <c:v> FAILED : </c:v>
                </c:pt>
              </c:strCache>
            </c:strRef>
          </c:cat>
          <c:val>
            <c:numRef>
              <c:f>'SUB-6'!$M$17:$M$18</c:f>
              <c:numCache>
                <c:formatCode>General</c:formatCode>
                <c:ptCount val="2"/>
                <c:pt idx="0">
                  <c:v>78</c:v>
                </c:pt>
                <c:pt idx="1">
                  <c:v>22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b34ae-9958-4c5a-b920-4cc42ca696a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8"/>
          <c:dPt>
            <c:idx val="0"/>
            <c:bubble3D val="0"/>
            <c:explosion val="8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4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40404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'SUB-7'!$L$16:$L$17</c:f>
              <c:strCache>
                <c:ptCount val="2"/>
                <c:pt idx="0">
                  <c:v>PASSED : </c:v>
                </c:pt>
                <c:pt idx="1">
                  <c:v>FAILED : </c:v>
                </c:pt>
              </c:strCache>
            </c:strRef>
          </c:cat>
          <c:val>
            <c:numRef>
              <c:f>'SUB-7'!$M$16:$M$17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272b7a-4ebd-4173-8a71-70b560f3d99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1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'SUB-8'!$L$16:$L$17</c:f>
              <c:strCache>
                <c:ptCount val="2"/>
                <c:pt idx="0">
                  <c:v> PASSED : </c:v>
                </c:pt>
                <c:pt idx="1">
                  <c:v>FAILED : </c:v>
                </c:pt>
              </c:strCache>
            </c:strRef>
          </c:cat>
          <c:val>
            <c:numRef>
              <c:f>'SUB-8'!$M$16:$M$17</c:f>
              <c:numCache>
                <c:formatCode>General</c:formatCode>
                <c:ptCount val="2"/>
                <c:pt idx="0">
                  <c:v>67</c:v>
                </c:pt>
                <c:pt idx="1">
                  <c:v>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d5e778-b618-4ffc-abc0-6a5ce6fb79d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2"/>
          <c:dPt>
            <c:idx val="0"/>
            <c:bubble3D val="0"/>
            <c:explosion val="2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1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'SUB-9'!$L$16:$L$17</c:f>
              <c:strCache>
                <c:ptCount val="2"/>
                <c:pt idx="0">
                  <c:v>PASSED : </c:v>
                </c:pt>
                <c:pt idx="1">
                  <c:v>FAILED : </c:v>
                </c:pt>
              </c:strCache>
            </c:strRef>
          </c:cat>
          <c:val>
            <c:numRef>
              <c:f>'SUB-9'!$M$16:$M$17</c:f>
              <c:numCache>
                <c:formatCode>General</c:formatCode>
                <c:ptCount val="2"/>
                <c:pt idx="0">
                  <c:v>67</c:v>
                </c:pt>
                <c:pt idx="1">
                  <c:v>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2cab30-ac5a-4bdd-adac-37763fa36d3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5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'SUB-10'!$L$16:$L$17</c:f>
              <c:strCache>
                <c:ptCount val="2"/>
                <c:pt idx="0">
                  <c:v>PASSED : </c:v>
                </c:pt>
                <c:pt idx="1">
                  <c:v>FAILED : </c:v>
                </c:pt>
              </c:strCache>
            </c:strRef>
          </c:cat>
          <c:val>
            <c:numRef>
              <c:f>'SUB-10'!$M$16:$M$17</c:f>
              <c:numCache>
                <c:formatCode>General</c:formatCode>
                <c:ptCount val="2"/>
                <c:pt idx="0">
                  <c:v>64</c:v>
                </c:pt>
                <c:pt idx="1">
                  <c:v>36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95d76c-bcd6-4e41-87ce-152250aa1d5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explosion val="9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 NEC'!$L$15:$L$16</c:f>
              <c:strCache>
                <c:ptCount val="2"/>
                <c:pt idx="0">
                  <c:v> PASSED : </c:v>
                </c:pt>
                <c:pt idx="1">
                  <c:v> FAILED : </c:v>
                </c:pt>
              </c:strCache>
            </c:strRef>
          </c:cat>
          <c:val>
            <c:numRef>
              <c:f>'SUB- NEC'!$M$15:$M$16</c:f>
              <c:numCache>
                <c:formatCode>General</c:formatCode>
                <c:ptCount val="2"/>
                <c:pt idx="0">
                  <c:v>66</c:v>
                </c:pt>
                <c:pt idx="1">
                  <c:v>34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7daa48-3abf-4591-9b0d-8e3edbd2859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bubble3D val="0"/>
            <c:explosion val="15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spc="-1" baseline="0">
                      <a:solidFill>
                        <a:srgbClr val="595959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'SUB-12'!$P$14:$P$15</c:f>
              <c:strCache>
                <c:ptCount val="2"/>
                <c:pt idx="0">
                  <c:v>PASSED : </c:v>
                </c:pt>
                <c:pt idx="1">
                  <c:v>FAILED : </c:v>
                </c:pt>
              </c:strCache>
            </c:strRef>
          </c:cat>
          <c:val>
            <c:numRef>
              <c:f>'SUB-12'!$Q$14:$Q$15</c:f>
              <c:numCache>
                <c:formatCode>General</c:formatCode>
                <c:ptCount val="2"/>
                <c:pt idx="0">
                  <c:v>89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0cdd80-f6b0-4349-8588-d51ce122ce8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312420</xdr:colOff>
      <xdr:row>16</xdr:row>
      <xdr:rowOff>187960</xdr:rowOff>
    </xdr:from>
    <xdr:to>
      <xdr:col>18</xdr:col>
      <xdr:colOff>389735</xdr:colOff>
      <xdr:row>35</xdr:row>
      <xdr:rowOff>153040</xdr:rowOff>
    </xdr:to>
    <xdr:graphicFrame>
      <xdr:nvGraphicFramePr>
        <xdr:cNvPr id="2" name="Chart 1"/>
        <xdr:cNvGraphicFramePr/>
      </xdr:nvGraphicFramePr>
      <xdr:xfrm>
        <a:off x="8244840" y="3435985"/>
        <a:ext cx="7717155" cy="357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426720</xdr:colOff>
      <xdr:row>36</xdr:row>
      <xdr:rowOff>150495</xdr:rowOff>
    </xdr:from>
    <xdr:to>
      <xdr:col>12</xdr:col>
      <xdr:colOff>572795</xdr:colOff>
      <xdr:row>55</xdr:row>
      <xdr:rowOff>122715</xdr:rowOff>
    </xdr:to>
    <xdr:graphicFrame>
      <xdr:nvGraphicFramePr>
        <xdr:cNvPr id="3" name="Chart 2"/>
        <xdr:cNvGraphicFramePr/>
      </xdr:nvGraphicFramePr>
      <xdr:xfrm>
        <a:off x="8359140" y="7195185"/>
        <a:ext cx="4216400" cy="345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38160</xdr:colOff>
      <xdr:row>0</xdr:row>
      <xdr:rowOff>146160</xdr:rowOff>
    </xdr:from>
    <xdr:to>
      <xdr:col>1</xdr:col>
      <xdr:colOff>536760</xdr:colOff>
      <xdr:row>4</xdr:row>
      <xdr:rowOff>176040</xdr:rowOff>
    </xdr:to>
    <xdr:pic>
      <xdr:nvPicPr>
        <xdr:cNvPr id="2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1"/>
        <a:stretch>
          <a:fillRect/>
        </a:stretch>
      </xdr:blipFill>
      <xdr:spPr>
        <a:xfrm>
          <a:off x="38100" y="146050"/>
          <a:ext cx="953135" cy="8108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825120</xdr:colOff>
      <xdr:row>0</xdr:row>
      <xdr:rowOff>50760</xdr:rowOff>
    </xdr:from>
    <xdr:to>
      <xdr:col>9</xdr:col>
      <xdr:colOff>519840</xdr:colOff>
      <xdr:row>5</xdr:row>
      <xdr:rowOff>126360</xdr:rowOff>
    </xdr:to>
    <xdr:pic>
      <xdr:nvPicPr>
        <xdr:cNvPr id="3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5724525" y="50165"/>
          <a:ext cx="1052830" cy="10375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6840</xdr:colOff>
      <xdr:row>0</xdr:row>
      <xdr:rowOff>109440</xdr:rowOff>
    </xdr:from>
    <xdr:to>
      <xdr:col>5</xdr:col>
      <xdr:colOff>724680</xdr:colOff>
      <xdr:row>8</xdr:row>
      <xdr:rowOff>27000</xdr:rowOff>
    </xdr:to>
    <xdr:pic>
      <xdr:nvPicPr>
        <xdr:cNvPr id="4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1"/>
        <a:stretch>
          <a:fillRect/>
        </a:stretch>
      </xdr:blipFill>
      <xdr:spPr>
        <a:xfrm>
          <a:off x="2306955" y="109220"/>
          <a:ext cx="1864995" cy="17938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981000</xdr:colOff>
      <xdr:row>0</xdr:row>
      <xdr:rowOff>145440</xdr:rowOff>
    </xdr:from>
    <xdr:to>
      <xdr:col>16</xdr:col>
      <xdr:colOff>96840</xdr:colOff>
      <xdr:row>9</xdr:row>
      <xdr:rowOff>34920</xdr:rowOff>
    </xdr:to>
    <xdr:pic>
      <xdr:nvPicPr>
        <xdr:cNvPr id="5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12585700" y="145415"/>
          <a:ext cx="2089785" cy="203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134640</xdr:colOff>
      <xdr:row>0</xdr:row>
      <xdr:rowOff>0</xdr:rowOff>
    </xdr:from>
    <xdr:to>
      <xdr:col>3</xdr:col>
      <xdr:colOff>457560</xdr:colOff>
      <xdr:row>6</xdr:row>
      <xdr:rowOff>192600</xdr:rowOff>
    </xdr:to>
    <xdr:pic>
      <xdr:nvPicPr>
        <xdr:cNvPr id="6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1"/>
        <a:stretch>
          <a:fillRect/>
        </a:stretch>
      </xdr:blipFill>
      <xdr:spPr>
        <a:xfrm>
          <a:off x="134620" y="0"/>
          <a:ext cx="1986915" cy="163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517320</xdr:colOff>
      <xdr:row>0</xdr:row>
      <xdr:rowOff>0</xdr:rowOff>
    </xdr:from>
    <xdr:to>
      <xdr:col>21</xdr:col>
      <xdr:colOff>0</xdr:colOff>
      <xdr:row>7</xdr:row>
      <xdr:rowOff>120240</xdr:rowOff>
    </xdr:to>
    <xdr:pic>
      <xdr:nvPicPr>
        <xdr:cNvPr id="7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11514455" y="0"/>
          <a:ext cx="2045335" cy="184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396720</xdr:colOff>
      <xdr:row>0</xdr:row>
      <xdr:rowOff>0</xdr:rowOff>
    </xdr:from>
    <xdr:to>
      <xdr:col>5</xdr:col>
      <xdr:colOff>235800</xdr:colOff>
      <xdr:row>7</xdr:row>
      <xdr:rowOff>10440</xdr:rowOff>
    </xdr:to>
    <xdr:pic>
      <xdr:nvPicPr>
        <xdr:cNvPr id="8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1"/>
        <a:stretch>
          <a:fillRect/>
        </a:stretch>
      </xdr:blipFill>
      <xdr:spPr>
        <a:xfrm>
          <a:off x="1630680" y="0"/>
          <a:ext cx="1665605" cy="161988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697320</xdr:colOff>
      <xdr:row>0</xdr:row>
      <xdr:rowOff>0</xdr:rowOff>
    </xdr:from>
    <xdr:to>
      <xdr:col>17</xdr:col>
      <xdr:colOff>354240</xdr:colOff>
      <xdr:row>7</xdr:row>
      <xdr:rowOff>153360</xdr:rowOff>
    </xdr:to>
    <xdr:pic>
      <xdr:nvPicPr>
        <xdr:cNvPr id="9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11518265" y="0"/>
          <a:ext cx="1794510" cy="176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3960</xdr:colOff>
      <xdr:row>18</xdr:row>
      <xdr:rowOff>167760</xdr:rowOff>
    </xdr:from>
    <xdr:to>
      <xdr:col>22</xdr:col>
      <xdr:colOff>272880</xdr:colOff>
      <xdr:row>33</xdr:row>
      <xdr:rowOff>47880</xdr:rowOff>
    </xdr:to>
    <xdr:graphicFrame>
      <xdr:nvGraphicFramePr>
        <xdr:cNvPr id="10" name="Chart 1"/>
        <xdr:cNvGraphicFramePr/>
      </xdr:nvGraphicFramePr>
      <xdr:xfrm>
        <a:off x="12898755" y="3950970"/>
        <a:ext cx="4595495" cy="259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329760</xdr:colOff>
      <xdr:row>0</xdr:row>
      <xdr:rowOff>0</xdr:rowOff>
    </xdr:from>
    <xdr:to>
      <xdr:col>5</xdr:col>
      <xdr:colOff>430920</xdr:colOff>
      <xdr:row>7</xdr:row>
      <xdr:rowOff>54000</xdr:rowOff>
    </xdr:to>
    <xdr:pic>
      <xdr:nvPicPr>
        <xdr:cNvPr id="11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181225" y="0"/>
          <a:ext cx="1696720" cy="162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259560</xdr:colOff>
      <xdr:row>0</xdr:row>
      <xdr:rowOff>0</xdr:rowOff>
    </xdr:from>
    <xdr:to>
      <xdr:col>16</xdr:col>
      <xdr:colOff>533880</xdr:colOff>
      <xdr:row>7</xdr:row>
      <xdr:rowOff>179280</xdr:rowOff>
    </xdr:to>
    <xdr:pic>
      <xdr:nvPicPr>
        <xdr:cNvPr id="12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250420" y="0"/>
          <a:ext cx="1795145" cy="175069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7560</xdr:colOff>
      <xdr:row>17</xdr:row>
      <xdr:rowOff>161640</xdr:rowOff>
    </xdr:from>
    <xdr:to>
      <xdr:col>20</xdr:col>
      <xdr:colOff>594360</xdr:colOff>
      <xdr:row>32</xdr:row>
      <xdr:rowOff>41400</xdr:rowOff>
    </xdr:to>
    <xdr:graphicFrame>
      <xdr:nvGraphicFramePr>
        <xdr:cNvPr id="13" name="Chart 1"/>
        <xdr:cNvGraphicFramePr/>
      </xdr:nvGraphicFramePr>
      <xdr:xfrm>
        <a:off x="13432155" y="3799840"/>
        <a:ext cx="4577080" cy="259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878400</xdr:colOff>
      <xdr:row>0</xdr:row>
      <xdr:rowOff>0</xdr:rowOff>
    </xdr:from>
    <xdr:to>
      <xdr:col>5</xdr:col>
      <xdr:colOff>270720</xdr:colOff>
      <xdr:row>8</xdr:row>
      <xdr:rowOff>36720</xdr:rowOff>
    </xdr:to>
    <xdr:pic>
      <xdr:nvPicPr>
        <xdr:cNvPr id="14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729865" y="0"/>
          <a:ext cx="1873250" cy="18268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674280</xdr:colOff>
      <xdr:row>0</xdr:row>
      <xdr:rowOff>0</xdr:rowOff>
    </xdr:from>
    <xdr:to>
      <xdr:col>16</xdr:col>
      <xdr:colOff>249480</xdr:colOff>
      <xdr:row>8</xdr:row>
      <xdr:rowOff>253440</xdr:rowOff>
    </xdr:to>
    <xdr:pic>
      <xdr:nvPicPr>
        <xdr:cNvPr id="15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3152120" y="0"/>
          <a:ext cx="2042795" cy="204406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11880</xdr:colOff>
      <xdr:row>18</xdr:row>
      <xdr:rowOff>157320</xdr:rowOff>
    </xdr:from>
    <xdr:to>
      <xdr:col>22</xdr:col>
      <xdr:colOff>304560</xdr:colOff>
      <xdr:row>33</xdr:row>
      <xdr:rowOff>37080</xdr:rowOff>
    </xdr:to>
    <xdr:graphicFrame>
      <xdr:nvGraphicFramePr>
        <xdr:cNvPr id="16" name="Chart 1"/>
        <xdr:cNvGraphicFramePr/>
      </xdr:nvGraphicFramePr>
      <xdr:xfrm>
        <a:off x="12906375" y="3978275"/>
        <a:ext cx="4613275" cy="259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115560</xdr:colOff>
      <xdr:row>0</xdr:row>
      <xdr:rowOff>0</xdr:rowOff>
    </xdr:from>
    <xdr:to>
      <xdr:col>5</xdr:col>
      <xdr:colOff>278640</xdr:colOff>
      <xdr:row>7</xdr:row>
      <xdr:rowOff>10080</xdr:rowOff>
    </xdr:to>
    <xdr:pic>
      <xdr:nvPicPr>
        <xdr:cNvPr id="17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1966595" y="0"/>
          <a:ext cx="1758950" cy="16192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69480</xdr:colOff>
      <xdr:row>0</xdr:row>
      <xdr:rowOff>0</xdr:rowOff>
    </xdr:from>
    <xdr:to>
      <xdr:col>16</xdr:col>
      <xdr:colOff>338760</xdr:colOff>
      <xdr:row>7</xdr:row>
      <xdr:rowOff>79560</xdr:rowOff>
    </xdr:to>
    <xdr:pic>
      <xdr:nvPicPr>
        <xdr:cNvPr id="18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060555" y="0"/>
          <a:ext cx="1790065" cy="16891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11880</xdr:colOff>
      <xdr:row>17</xdr:row>
      <xdr:rowOff>165600</xdr:rowOff>
    </xdr:from>
    <xdr:to>
      <xdr:col>22</xdr:col>
      <xdr:colOff>304560</xdr:colOff>
      <xdr:row>32</xdr:row>
      <xdr:rowOff>45360</xdr:rowOff>
    </xdr:to>
    <xdr:graphicFrame>
      <xdr:nvGraphicFramePr>
        <xdr:cNvPr id="19" name="Chart 1"/>
        <xdr:cNvGraphicFramePr/>
      </xdr:nvGraphicFramePr>
      <xdr:xfrm>
        <a:off x="13081000" y="3757930"/>
        <a:ext cx="4613275" cy="259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280440</xdr:colOff>
      <xdr:row>0</xdr:row>
      <xdr:rowOff>0</xdr:rowOff>
    </xdr:from>
    <xdr:to>
      <xdr:col>5</xdr:col>
      <xdr:colOff>824400</xdr:colOff>
      <xdr:row>7</xdr:row>
      <xdr:rowOff>19440</xdr:rowOff>
    </xdr:to>
    <xdr:pic>
      <xdr:nvPicPr>
        <xdr:cNvPr id="20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580640" y="0"/>
          <a:ext cx="1691005" cy="15811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608040</xdr:colOff>
      <xdr:row>0</xdr:row>
      <xdr:rowOff>0</xdr:rowOff>
    </xdr:from>
    <xdr:to>
      <xdr:col>15</xdr:col>
      <xdr:colOff>519120</xdr:colOff>
      <xdr:row>7</xdr:row>
      <xdr:rowOff>162360</xdr:rowOff>
    </xdr:to>
    <xdr:pic>
      <xdr:nvPicPr>
        <xdr:cNvPr id="21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1826875" y="0"/>
          <a:ext cx="1761490" cy="17240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11880</xdr:colOff>
      <xdr:row>17</xdr:row>
      <xdr:rowOff>157680</xdr:rowOff>
    </xdr:from>
    <xdr:to>
      <xdr:col>22</xdr:col>
      <xdr:colOff>304560</xdr:colOff>
      <xdr:row>32</xdr:row>
      <xdr:rowOff>37440</xdr:rowOff>
    </xdr:to>
    <xdr:graphicFrame>
      <xdr:nvGraphicFramePr>
        <xdr:cNvPr id="22" name="Chart 1"/>
        <xdr:cNvGraphicFramePr/>
      </xdr:nvGraphicFramePr>
      <xdr:xfrm>
        <a:off x="12999085" y="3816985"/>
        <a:ext cx="4613275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351360</xdr:colOff>
      <xdr:row>0</xdr:row>
      <xdr:rowOff>360</xdr:rowOff>
    </xdr:from>
    <xdr:to>
      <xdr:col>5</xdr:col>
      <xdr:colOff>434160</xdr:colOff>
      <xdr:row>7</xdr:row>
      <xdr:rowOff>4320</xdr:rowOff>
    </xdr:to>
    <xdr:pic>
      <xdr:nvPicPr>
        <xdr:cNvPr id="23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202815" y="0"/>
          <a:ext cx="1678305" cy="163258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58680</xdr:colOff>
      <xdr:row>0</xdr:row>
      <xdr:rowOff>0</xdr:rowOff>
    </xdr:from>
    <xdr:to>
      <xdr:col>16</xdr:col>
      <xdr:colOff>330480</xdr:colOff>
      <xdr:row>7</xdr:row>
      <xdr:rowOff>136080</xdr:rowOff>
    </xdr:to>
    <xdr:pic>
      <xdr:nvPicPr>
        <xdr:cNvPr id="24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142470" y="0"/>
          <a:ext cx="1792605" cy="176466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27720</xdr:colOff>
      <xdr:row>18</xdr:row>
      <xdr:rowOff>151200</xdr:rowOff>
    </xdr:from>
    <xdr:to>
      <xdr:col>17</xdr:col>
      <xdr:colOff>193320</xdr:colOff>
      <xdr:row>33</xdr:row>
      <xdr:rowOff>30960</xdr:rowOff>
    </xdr:to>
    <xdr:graphicFrame>
      <xdr:nvGraphicFramePr>
        <xdr:cNvPr id="25" name="Chart 1"/>
        <xdr:cNvGraphicFramePr/>
      </xdr:nvGraphicFramePr>
      <xdr:xfrm>
        <a:off x="9963785" y="3972560"/>
        <a:ext cx="454025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324360</xdr:colOff>
      <xdr:row>0</xdr:row>
      <xdr:rowOff>18720</xdr:rowOff>
    </xdr:from>
    <xdr:to>
      <xdr:col>5</xdr:col>
      <xdr:colOff>407160</xdr:colOff>
      <xdr:row>7</xdr:row>
      <xdr:rowOff>19800</xdr:rowOff>
    </xdr:to>
    <xdr:pic>
      <xdr:nvPicPr>
        <xdr:cNvPr id="26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175510" y="18415"/>
          <a:ext cx="1678940" cy="161099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27000</xdr:colOff>
      <xdr:row>0</xdr:row>
      <xdr:rowOff>0</xdr:rowOff>
    </xdr:from>
    <xdr:to>
      <xdr:col>16</xdr:col>
      <xdr:colOff>301320</xdr:colOff>
      <xdr:row>7</xdr:row>
      <xdr:rowOff>144000</xdr:rowOff>
    </xdr:to>
    <xdr:pic>
      <xdr:nvPicPr>
        <xdr:cNvPr id="27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199620" y="0"/>
          <a:ext cx="1795145" cy="17532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719640</xdr:colOff>
      <xdr:row>17</xdr:row>
      <xdr:rowOff>164160</xdr:rowOff>
    </xdr:from>
    <xdr:to>
      <xdr:col>17</xdr:col>
      <xdr:colOff>161280</xdr:colOff>
      <xdr:row>32</xdr:row>
      <xdr:rowOff>30600</xdr:rowOff>
    </xdr:to>
    <xdr:graphicFrame>
      <xdr:nvGraphicFramePr>
        <xdr:cNvPr id="28" name="Chart 1"/>
        <xdr:cNvGraphicFramePr/>
      </xdr:nvGraphicFramePr>
      <xdr:xfrm>
        <a:off x="10079990" y="3804285"/>
        <a:ext cx="4535170" cy="2581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342360</xdr:colOff>
      <xdr:row>0</xdr:row>
      <xdr:rowOff>0</xdr:rowOff>
    </xdr:from>
    <xdr:to>
      <xdr:col>5</xdr:col>
      <xdr:colOff>425160</xdr:colOff>
      <xdr:row>7</xdr:row>
      <xdr:rowOff>2520</xdr:rowOff>
    </xdr:to>
    <xdr:pic>
      <xdr:nvPicPr>
        <xdr:cNvPr id="29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193925" y="0"/>
          <a:ext cx="1678305" cy="1611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887760</xdr:colOff>
      <xdr:row>0</xdr:row>
      <xdr:rowOff>0</xdr:rowOff>
    </xdr:from>
    <xdr:to>
      <xdr:col>16</xdr:col>
      <xdr:colOff>248400</xdr:colOff>
      <xdr:row>7</xdr:row>
      <xdr:rowOff>129240</xdr:rowOff>
    </xdr:to>
    <xdr:pic>
      <xdr:nvPicPr>
        <xdr:cNvPr id="30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257405" y="0"/>
          <a:ext cx="1828165" cy="173863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11880</xdr:colOff>
      <xdr:row>17</xdr:row>
      <xdr:rowOff>159480</xdr:rowOff>
    </xdr:from>
    <xdr:to>
      <xdr:col>17</xdr:col>
      <xdr:colOff>177480</xdr:colOff>
      <xdr:row>32</xdr:row>
      <xdr:rowOff>39240</xdr:rowOff>
    </xdr:to>
    <xdr:graphicFrame>
      <xdr:nvGraphicFramePr>
        <xdr:cNvPr id="31" name="Chart 1"/>
        <xdr:cNvGraphicFramePr/>
      </xdr:nvGraphicFramePr>
      <xdr:xfrm>
        <a:off x="10066020" y="3799840"/>
        <a:ext cx="454025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333360</xdr:colOff>
      <xdr:row>0</xdr:row>
      <xdr:rowOff>42480</xdr:rowOff>
    </xdr:from>
    <xdr:to>
      <xdr:col>5</xdr:col>
      <xdr:colOff>422280</xdr:colOff>
      <xdr:row>7</xdr:row>
      <xdr:rowOff>44640</xdr:rowOff>
    </xdr:to>
    <xdr:pic>
      <xdr:nvPicPr>
        <xdr:cNvPr id="32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184400" y="41910"/>
          <a:ext cx="1685290" cy="161226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949320</xdr:colOff>
      <xdr:row>0</xdr:row>
      <xdr:rowOff>0</xdr:rowOff>
    </xdr:from>
    <xdr:to>
      <xdr:col>16</xdr:col>
      <xdr:colOff>246600</xdr:colOff>
      <xdr:row>7</xdr:row>
      <xdr:rowOff>145080</xdr:rowOff>
    </xdr:to>
    <xdr:pic>
      <xdr:nvPicPr>
        <xdr:cNvPr id="33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291060" y="0"/>
          <a:ext cx="1767205" cy="17545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11880</xdr:colOff>
      <xdr:row>18</xdr:row>
      <xdr:rowOff>1080</xdr:rowOff>
    </xdr:from>
    <xdr:to>
      <xdr:col>17</xdr:col>
      <xdr:colOff>177480</xdr:colOff>
      <xdr:row>32</xdr:row>
      <xdr:rowOff>61560</xdr:rowOff>
    </xdr:to>
    <xdr:graphicFrame>
      <xdr:nvGraphicFramePr>
        <xdr:cNvPr id="34" name="Chart 1"/>
        <xdr:cNvGraphicFramePr/>
      </xdr:nvGraphicFramePr>
      <xdr:xfrm>
        <a:off x="9991725" y="3822065"/>
        <a:ext cx="454025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213120</xdr:colOff>
      <xdr:row>0</xdr:row>
      <xdr:rowOff>0</xdr:rowOff>
    </xdr:from>
    <xdr:to>
      <xdr:col>5</xdr:col>
      <xdr:colOff>306360</xdr:colOff>
      <xdr:row>7</xdr:row>
      <xdr:rowOff>0</xdr:rowOff>
    </xdr:to>
    <xdr:pic>
      <xdr:nvPicPr>
        <xdr:cNvPr id="35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064385" y="0"/>
          <a:ext cx="1689100" cy="16097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89280</xdr:colOff>
      <xdr:row>0</xdr:row>
      <xdr:rowOff>0</xdr:rowOff>
    </xdr:from>
    <xdr:to>
      <xdr:col>16</xdr:col>
      <xdr:colOff>354960</xdr:colOff>
      <xdr:row>7</xdr:row>
      <xdr:rowOff>143280</xdr:rowOff>
    </xdr:to>
    <xdr:pic>
      <xdr:nvPicPr>
        <xdr:cNvPr id="36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305665" y="0"/>
          <a:ext cx="1786255" cy="1752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18</xdr:row>
      <xdr:rowOff>720</xdr:rowOff>
    </xdr:from>
    <xdr:to>
      <xdr:col>17</xdr:col>
      <xdr:colOff>175320</xdr:colOff>
      <xdr:row>32</xdr:row>
      <xdr:rowOff>56160</xdr:rowOff>
    </xdr:to>
    <xdr:graphicFrame>
      <xdr:nvGraphicFramePr>
        <xdr:cNvPr id="37" name="Chart 1"/>
        <xdr:cNvGraphicFramePr/>
      </xdr:nvGraphicFramePr>
      <xdr:xfrm>
        <a:off x="10036175" y="3822065"/>
        <a:ext cx="4549775" cy="2588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237960</xdr:colOff>
      <xdr:row>1</xdr:row>
      <xdr:rowOff>20160</xdr:rowOff>
    </xdr:from>
    <xdr:to>
      <xdr:col>5</xdr:col>
      <xdr:colOff>326880</xdr:colOff>
      <xdr:row>7</xdr:row>
      <xdr:rowOff>208440</xdr:rowOff>
    </xdr:to>
    <xdr:pic>
      <xdr:nvPicPr>
        <xdr:cNvPr id="38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089150" y="200660"/>
          <a:ext cx="1684655" cy="161734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24120</xdr:colOff>
      <xdr:row>0</xdr:row>
      <xdr:rowOff>169200</xdr:rowOff>
    </xdr:from>
    <xdr:to>
      <xdr:col>16</xdr:col>
      <xdr:colOff>289080</xdr:colOff>
      <xdr:row>8</xdr:row>
      <xdr:rowOff>55800</xdr:rowOff>
    </xdr:to>
    <xdr:pic>
      <xdr:nvPicPr>
        <xdr:cNvPr id="39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296140" y="168910"/>
          <a:ext cx="1786255" cy="176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725040</xdr:colOff>
      <xdr:row>17</xdr:row>
      <xdr:rowOff>1080</xdr:rowOff>
    </xdr:from>
    <xdr:to>
      <xdr:col>17</xdr:col>
      <xdr:colOff>152640</xdr:colOff>
      <xdr:row>31</xdr:row>
      <xdr:rowOff>101520</xdr:rowOff>
    </xdr:to>
    <xdr:graphicFrame>
      <xdr:nvGraphicFramePr>
        <xdr:cNvPr id="40" name="Chart 1"/>
        <xdr:cNvGraphicFramePr/>
      </xdr:nvGraphicFramePr>
      <xdr:xfrm>
        <a:off x="9923780" y="3641090"/>
        <a:ext cx="4526915" cy="263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160920</xdr:colOff>
      <xdr:row>0</xdr:row>
      <xdr:rowOff>0</xdr:rowOff>
    </xdr:from>
    <xdr:to>
      <xdr:col>5</xdr:col>
      <xdr:colOff>243720</xdr:colOff>
      <xdr:row>7</xdr:row>
      <xdr:rowOff>2160</xdr:rowOff>
    </xdr:to>
    <xdr:pic>
      <xdr:nvPicPr>
        <xdr:cNvPr id="41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2012315" y="0"/>
          <a:ext cx="1678305" cy="1611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43920</xdr:colOff>
      <xdr:row>0</xdr:row>
      <xdr:rowOff>0</xdr:rowOff>
    </xdr:from>
    <xdr:to>
      <xdr:col>16</xdr:col>
      <xdr:colOff>312840</xdr:colOff>
      <xdr:row>7</xdr:row>
      <xdr:rowOff>141480</xdr:rowOff>
    </xdr:to>
    <xdr:pic>
      <xdr:nvPicPr>
        <xdr:cNvPr id="42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2204065" y="0"/>
          <a:ext cx="1789430" cy="175069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7200</xdr:colOff>
      <xdr:row>15</xdr:row>
      <xdr:rowOff>176760</xdr:rowOff>
    </xdr:from>
    <xdr:to>
      <xdr:col>22</xdr:col>
      <xdr:colOff>330840</xdr:colOff>
      <xdr:row>30</xdr:row>
      <xdr:rowOff>46080</xdr:rowOff>
    </xdr:to>
    <xdr:graphicFrame>
      <xdr:nvGraphicFramePr>
        <xdr:cNvPr id="43" name="Chart 1"/>
        <xdr:cNvGraphicFramePr/>
      </xdr:nvGraphicFramePr>
      <xdr:xfrm>
        <a:off x="11430635" y="3455035"/>
        <a:ext cx="4644390" cy="2583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134640</xdr:colOff>
      <xdr:row>1</xdr:row>
      <xdr:rowOff>27360</xdr:rowOff>
    </xdr:from>
    <xdr:to>
      <xdr:col>4</xdr:col>
      <xdr:colOff>777960</xdr:colOff>
      <xdr:row>7</xdr:row>
      <xdr:rowOff>186840</xdr:rowOff>
    </xdr:to>
    <xdr:pic>
      <xdr:nvPicPr>
        <xdr:cNvPr id="44" name="Picture 1" descr="माधव प्रौद्योगिकी एवं विज्ञान संस्थान, ग्वालियर (म.प्र.), भारत"/>
        <xdr:cNvPicPr/>
      </xdr:nvPicPr>
      <xdr:blipFill>
        <a:blip r:embed="rId2"/>
        <a:stretch>
          <a:fillRect/>
        </a:stretch>
      </xdr:blipFill>
      <xdr:spPr>
        <a:xfrm>
          <a:off x="1369060" y="208280"/>
          <a:ext cx="1709420" cy="15881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482040</xdr:colOff>
      <xdr:row>1</xdr:row>
      <xdr:rowOff>91080</xdr:rowOff>
    </xdr:from>
    <xdr:to>
      <xdr:col>17</xdr:col>
      <xdr:colOff>142200</xdr:colOff>
      <xdr:row>8</xdr:row>
      <xdr:rowOff>126000</xdr:rowOff>
    </xdr:to>
    <xdr:pic>
      <xdr:nvPicPr>
        <xdr:cNvPr id="45" name="Picture 2" descr="माधव प्रौद्योगिकी एवं विज्ञान संस्थान, ग्वालियर (म.प्र.), भारत"/>
        <xdr:cNvPicPr/>
      </xdr:nvPicPr>
      <xdr:blipFill>
        <a:blip r:embed="rId3"/>
        <a:stretch>
          <a:fillRect/>
        </a:stretch>
      </xdr:blipFill>
      <xdr:spPr>
        <a:xfrm>
          <a:off x="11002010" y="271780"/>
          <a:ext cx="1797685" cy="17303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K37"/>
  <sheetViews>
    <sheetView workbookViewId="0">
      <selection activeCell="P46" sqref="P46"/>
    </sheetView>
  </sheetViews>
  <sheetFormatPr defaultColWidth="8.67592592592593" defaultRowHeight="14.4"/>
  <cols>
    <col min="1" max="1" width="3" style="1" customWidth="1"/>
    <col min="2" max="2" width="26.8888888888889" style="1" customWidth="1"/>
    <col min="3" max="3" width="16" style="1" customWidth="1"/>
    <col min="4" max="4" width="31.7777777777778" style="1" customWidth="1"/>
    <col min="5" max="5" width="14" style="1" customWidth="1"/>
    <col min="6" max="7" width="12" style="1" customWidth="1"/>
    <col min="8" max="8" width="14" style="1" customWidth="1"/>
    <col min="9" max="9" width="16" style="1" customWidth="1"/>
    <col min="10" max="10" width="12" style="1" customWidth="1"/>
  </cols>
  <sheetData>
    <row r="2" ht="21.75" customHeight="1" spans="2:11">
      <c r="B2" s="167" t="s">
        <v>0</v>
      </c>
    </row>
    <row r="3" ht="15" customHeight="1" spans="2:11">
      <c r="B3" s="168" t="s">
        <v>1</v>
      </c>
    </row>
    <row r="5" ht="15" customHeight="1" spans="2:11">
      <c r="B5" s="169" t="s">
        <v>2</v>
      </c>
      <c r="C5" s="169"/>
      <c r="D5" s="169" t="s">
        <v>3</v>
      </c>
      <c r="E5" s="169"/>
      <c r="F5" s="169" t="s">
        <v>4</v>
      </c>
      <c r="G5" s="169"/>
      <c r="H5" s="169" t="s">
        <v>5</v>
      </c>
      <c r="I5" s="169"/>
      <c r="J5" s="169" t="s">
        <v>6</v>
      </c>
      <c r="K5" s="169"/>
    </row>
    <row r="6" ht="26.25" customHeight="1" spans="2:11">
      <c r="B6" s="170">
        <f>COUNTA('FINAL SHEET'!E15:E114)</f>
        <v>100</v>
      </c>
      <c r="C6" s="170"/>
      <c r="D6" s="170">
        <f>'FINAL SHEET'!V15</f>
        <v>91</v>
      </c>
      <c r="E6" s="170"/>
      <c r="F6" s="170">
        <f>'FINAL SHEET'!V18</f>
        <v>9</v>
      </c>
      <c r="G6" s="170"/>
      <c r="H6" s="170" t="str">
        <f>ROUND(D6/B6*100,1)&amp;"%"</f>
        <v>91%</v>
      </c>
      <c r="I6" s="170"/>
      <c r="J6" s="170" t="str">
        <f>ROUND(AVERAGE('FINAL SHEET'!R15:R114),1)&amp;"%"</f>
        <v>49.8%</v>
      </c>
      <c r="K6" s="170"/>
    </row>
    <row r="9" ht="15.75" customHeight="1" spans="2:11">
      <c r="B9" s="171" t="s">
        <v>7</v>
      </c>
      <c r="I9" s="171" t="s">
        <v>8</v>
      </c>
    </row>
    <row r="11" ht="15" customHeight="1" spans="2:11">
      <c r="B11" s="172" t="s">
        <v>9</v>
      </c>
      <c r="C11" s="172" t="s">
        <v>10</v>
      </c>
      <c r="D11" s="172" t="s">
        <v>11</v>
      </c>
      <c r="E11" s="172" t="s">
        <v>12</v>
      </c>
      <c r="F11" s="172" t="s">
        <v>3</v>
      </c>
      <c r="G11" s="172" t="s">
        <v>4</v>
      </c>
      <c r="I11" s="172" t="s">
        <v>13</v>
      </c>
      <c r="J11" s="172" t="s">
        <v>14</v>
      </c>
    </row>
    <row r="12" ht="15" customHeight="1" spans="2:11">
      <c r="B12" s="173" t="str">
        <f>SCHEME!F18</f>
        <v>Introduction to Computing</v>
      </c>
      <c r="C12" s="173">
        <f>ROUND(AVERAGE('FINAL SHEET'!F15:F114),1)</f>
        <v>48.1</v>
      </c>
      <c r="D12" s="173">
        <f>SCHEME!M18</f>
        <v>100</v>
      </c>
      <c r="E12" s="173">
        <f t="shared" ref="E12:E22" si="0">ROUND(C12/D12*100,1)</f>
        <v>48.1</v>
      </c>
      <c r="F12" s="173">
        <f>'SUB-1'!Q17</f>
        <v>78</v>
      </c>
      <c r="G12" s="173">
        <f>'SUB-1'!Q18</f>
        <v>22</v>
      </c>
      <c r="I12" s="5" t="s">
        <v>15</v>
      </c>
      <c r="J12" s="173">
        <f>COUNTIFS('FINAL SHEET'!R15:R114,"&gt;=90",'FINAL SHEET'!R15:R114,"&lt;=100")</f>
        <v>1</v>
      </c>
    </row>
    <row r="13" ht="15" customHeight="1" spans="2:11">
      <c r="B13" s="173" t="str">
        <f>SCHEME!F19</f>
        <v>Computer Programming</v>
      </c>
      <c r="C13" s="173">
        <f>ROUND(AVERAGE('FINAL SHEET'!G15:G114),1)</f>
        <v>48.9</v>
      </c>
      <c r="D13" s="173">
        <f>SCHEME!M19</f>
        <v>100</v>
      </c>
      <c r="E13" s="173">
        <f t="shared" si="0"/>
        <v>48.9</v>
      </c>
      <c r="F13" s="173">
        <f>'SUB- 2'!P16</f>
        <v>86</v>
      </c>
      <c r="G13" s="173">
        <f>'SUB- 2'!P17</f>
        <v>14</v>
      </c>
      <c r="I13" s="5" t="s">
        <v>16</v>
      </c>
      <c r="J13" s="173">
        <f>COUNTIFS('FINAL SHEET'!R15:R114,"&gt;=60",'FINAL SHEET'!R15:R114,"&lt;=89")</f>
        <v>6</v>
      </c>
    </row>
    <row r="14" ht="15" customHeight="1" spans="2:11">
      <c r="B14" s="173" t="str">
        <f>SCHEME!F20</f>
        <v>Advanced Calculus </v>
      </c>
      <c r="C14" s="173">
        <f>ROUND(AVERAGE('FINAL SHEET'!H15:H114),1)</f>
        <v>50.3</v>
      </c>
      <c r="D14" s="173">
        <f>SCHEME!M20</f>
        <v>100</v>
      </c>
      <c r="E14" s="173">
        <f t="shared" si="0"/>
        <v>50.3</v>
      </c>
      <c r="F14" s="173">
        <f>'SUB-3'!Q17</f>
        <v>89</v>
      </c>
      <c r="G14" s="173">
        <f>'SUB-3'!Q18</f>
        <v>11</v>
      </c>
      <c r="I14" s="5" t="s">
        <v>17</v>
      </c>
      <c r="J14" s="173">
        <f>COUNTIFS('FINAL SHEET'!R15:R114,"&gt;=45",'FINAL SHEET'!R15:R114,"&lt;=59")</f>
        <v>67</v>
      </c>
    </row>
    <row r="15" ht="15" customHeight="1" spans="2:11">
      <c r="B15" s="173" t="str">
        <f>SCHEME!F21</f>
        <v>Digital Logic Design</v>
      </c>
      <c r="C15" s="173">
        <f>ROUND(AVERAGE('FINAL SHEET'!I15:I114),1)</f>
        <v>50.8</v>
      </c>
      <c r="D15" s="173">
        <f>SCHEME!M21</f>
        <v>100</v>
      </c>
      <c r="E15" s="173">
        <f t="shared" si="0"/>
        <v>50.8</v>
      </c>
      <c r="F15" s="173">
        <f>'SUB-4'!Q16</f>
        <v>87</v>
      </c>
      <c r="G15" s="173">
        <f>'SUB-4'!Q17</f>
        <v>13</v>
      </c>
      <c r="I15" s="5" t="s">
        <v>18</v>
      </c>
      <c r="J15" s="173">
        <f>COUNTIFS('FINAL SHEET'!R15:R114,"&gt;=35",'FINAL SHEET'!R15:R114,"&lt;=44")</f>
        <v>24</v>
      </c>
    </row>
    <row r="16" ht="15" customHeight="1" spans="2:11">
      <c r="B16" s="173" t="str">
        <f>SCHEME!F22</f>
        <v>Differential Equations</v>
      </c>
      <c r="C16" s="173">
        <f>ROUND(AVERAGE('FINAL SHEET'!J15:J114),1)</f>
        <v>50.2</v>
      </c>
      <c r="D16" s="173">
        <f>SCHEME!M22</f>
        <v>100</v>
      </c>
      <c r="E16" s="173">
        <f t="shared" si="0"/>
        <v>50.2</v>
      </c>
      <c r="F16" s="173">
        <f>'SUB-5'!Q16</f>
        <v>81</v>
      </c>
      <c r="G16" s="173">
        <f>'SUB-5'!Q17</f>
        <v>19</v>
      </c>
      <c r="I16" s="5" t="s">
        <v>19</v>
      </c>
      <c r="J16" s="173">
        <f>COUNTIFS('FINAL SHEET'!R15:R114,"&gt;=0",'FINAL SHEET'!R15:R114,"&lt;=34")</f>
        <v>0</v>
      </c>
    </row>
    <row r="17" ht="15" customHeight="1" spans="2:7">
      <c r="B17" s="173" t="str">
        <f>SCHEME!F23</f>
        <v>Computer Programming Lab</v>
      </c>
      <c r="C17" s="173">
        <f>ROUND(AVERAGE('FINAL SHEET'!K15:K114),1)</f>
        <v>52.2</v>
      </c>
      <c r="D17" s="173">
        <f>SCHEME!M23</f>
        <v>100</v>
      </c>
      <c r="E17" s="173">
        <f t="shared" si="0"/>
        <v>52.2</v>
      </c>
      <c r="F17" s="173">
        <f>'SUB-6'!M17</f>
        <v>78</v>
      </c>
      <c r="G17" s="173">
        <f>'SUB-6'!M18</f>
        <v>22</v>
      </c>
    </row>
    <row r="18" ht="15" customHeight="1" spans="2:7">
      <c r="B18" s="173" t="str">
        <f>SCHEME!F24</f>
        <v>Computing Lab for Data Analysis</v>
      </c>
      <c r="C18" s="173">
        <f>ROUND(AVERAGE('FINAL SHEET'!L15:L114),1)</f>
        <v>52.4</v>
      </c>
      <c r="D18" s="173">
        <f>SCHEME!M24</f>
        <v>100</v>
      </c>
      <c r="E18" s="173">
        <f t="shared" si="0"/>
        <v>52.4</v>
      </c>
      <c r="F18" s="173">
        <f>'SUB-7'!M16</f>
        <v>70</v>
      </c>
      <c r="G18" s="173">
        <f>'SUB-7'!M17</f>
        <v>30</v>
      </c>
    </row>
    <row r="19" ht="15" customHeight="1" spans="2:7">
      <c r="B19" s="173" t="str">
        <f>SCHEME!F25</f>
        <v>Semester Proficiency</v>
      </c>
      <c r="C19" s="173">
        <f>ROUND(AVERAGE('FINAL SHEET'!M15:M114),1)</f>
        <v>23.4</v>
      </c>
      <c r="D19" s="173">
        <f>SCHEME!M25</f>
        <v>50</v>
      </c>
      <c r="E19" s="173">
        <f t="shared" si="0"/>
        <v>46.8</v>
      </c>
      <c r="F19" s="173">
        <f>'SUB-8'!M16</f>
        <v>67</v>
      </c>
      <c r="G19" s="173">
        <f>'SUB-8'!M17</f>
        <v>33</v>
      </c>
    </row>
    <row r="20" ht="15" customHeight="1" spans="2:7">
      <c r="B20" s="173" t="str">
        <f>SCHEME!F26</f>
        <v>Micro Project-1</v>
      </c>
      <c r="C20" s="173">
        <f>ROUND(AVERAGE('FINAL SHEET'!N15:N114),1)</f>
        <v>47.7</v>
      </c>
      <c r="D20" s="173">
        <f>SCHEME!M26</f>
        <v>100</v>
      </c>
      <c r="E20" s="173">
        <f t="shared" si="0"/>
        <v>47.7</v>
      </c>
      <c r="F20" s="173">
        <f>'SUB-9'!M16</f>
        <v>67</v>
      </c>
      <c r="G20" s="173">
        <f>'SUB-9'!M17</f>
        <v>33</v>
      </c>
    </row>
    <row r="21" ht="15" customHeight="1" spans="2:7">
      <c r="B21" s="173" t="str">
        <f>SCHEME!F27</f>
        <v>Language Lab</v>
      </c>
      <c r="C21" s="173">
        <f>ROUND(AVERAGE('FINAL SHEET'!O15:O114),1)</f>
        <v>49.3</v>
      </c>
      <c r="D21" s="173">
        <f>SCHEME!M27</f>
        <v>100</v>
      </c>
      <c r="E21" s="173">
        <f t="shared" si="0"/>
        <v>49.3</v>
      </c>
      <c r="F21" s="173">
        <f>'SUB-10'!M16</f>
        <v>64</v>
      </c>
      <c r="G21" s="173">
        <f>'SUB-10'!M17</f>
        <v>36</v>
      </c>
    </row>
    <row r="22" ht="15" customHeight="1" spans="2:7">
      <c r="B22" s="173" t="str">
        <f>SCHEME!F28</f>
        <v>Novel Engaging Course </v>
      </c>
      <c r="C22" s="173">
        <f>ROUND(AVERAGE('FINAL SHEET'!P15:P114),1)</f>
        <v>25</v>
      </c>
      <c r="D22" s="173">
        <f>SCHEME!M28</f>
        <v>50</v>
      </c>
      <c r="E22" s="173">
        <f t="shared" si="0"/>
        <v>50</v>
      </c>
      <c r="F22" s="173">
        <f>'SUB- NEC'!M15</f>
        <v>66</v>
      </c>
      <c r="G22" s="173">
        <f>'SUB- NEC'!M16</f>
        <v>34</v>
      </c>
    </row>
    <row r="25" ht="15.75" customHeight="1" spans="2:7">
      <c r="B25" s="171" t="s">
        <v>20</v>
      </c>
    </row>
    <row r="27" ht="15" customHeight="1" spans="2:7">
      <c r="B27" s="172" t="s">
        <v>21</v>
      </c>
      <c r="C27" s="172" t="s">
        <v>22</v>
      </c>
      <c r="D27" s="172" t="s">
        <v>23</v>
      </c>
      <c r="E27" s="172" t="s">
        <v>24</v>
      </c>
      <c r="F27" s="172" t="s">
        <v>25</v>
      </c>
    </row>
    <row r="28" ht="15" customHeight="1" spans="2:7">
      <c r="B28" s="173">
        <v>1</v>
      </c>
      <c r="C28" s="173" t="str">
        <f>INDEX('FINAL SHEET'!$E$15:$E$114,MATCH(E28,'FINAL SHEET'!$Q$15:$Q$114,0))</f>
        <v>BTMC24O1087</v>
      </c>
      <c r="D28" s="173" t="str">
        <f>IFERROR(VLOOKUP(C28,'STUDENT INFO'!$C$15:$I$114,7,FALSE()),"")</f>
        <v>PARUL AGRAWAL</v>
      </c>
      <c r="E28" s="173">
        <f>LARGE('FINAL SHEET'!$Q$15:$Q$114,1)</f>
        <v>923</v>
      </c>
      <c r="F28" s="173">
        <f t="shared" ref="F28:F37" si="1">ROUND(E28/1000*100,1)</f>
        <v>92.3</v>
      </c>
    </row>
    <row r="29" ht="15" customHeight="1" spans="2:7">
      <c r="B29" s="173">
        <v>2</v>
      </c>
      <c r="C29" s="173" t="str">
        <f>INDEX('FINAL SHEET'!$E$15:$E$114,MATCH(E29,'FINAL SHEET'!$Q$15:$Q$114,0))</f>
        <v>BTMC24O1021</v>
      </c>
      <c r="D29" s="173" t="str">
        <f>IFERROR(VLOOKUP(C29,'STUDENT INFO'!$C$15:$I$114,7,FALSE()),"")</f>
        <v>ANANYA DUBEY</v>
      </c>
      <c r="E29" s="173">
        <f>LARGE('FINAL SHEET'!$Q$15:$Q$114,2)</f>
        <v>827</v>
      </c>
      <c r="F29" s="173">
        <f t="shared" si="1"/>
        <v>82.7</v>
      </c>
    </row>
    <row r="30" ht="15" customHeight="1" spans="2:7">
      <c r="B30" s="173">
        <v>3</v>
      </c>
      <c r="C30" s="173" t="str">
        <f>INDEX('FINAL SHEET'!$E$15:$E$114,MATCH(E30,'FINAL SHEET'!$Q$15:$Q$114,0))</f>
        <v>BTMC24O1088</v>
      </c>
      <c r="D30" s="173" t="str">
        <f>IFERROR(VLOOKUP(C30,'STUDENT INFO'!$C$15:$I$114,7,FALSE()),"")</f>
        <v>PIYUSH VISHWAKARMA</v>
      </c>
      <c r="E30" s="173">
        <f>LARGE('FINAL SHEET'!$Q$15:$Q$114,3)</f>
        <v>826</v>
      </c>
      <c r="F30" s="173">
        <f t="shared" si="1"/>
        <v>82.6</v>
      </c>
    </row>
    <row r="31" ht="15" customHeight="1" spans="2:7">
      <c r="B31" s="173">
        <v>4</v>
      </c>
      <c r="C31" s="173" t="str">
        <f>INDEX('FINAL SHEET'!$E$15:$E$114,MATCH(E31,'FINAL SHEET'!$Q$15:$Q$114,0))</f>
        <v>BTMC24O1016</v>
      </c>
      <c r="D31" s="173" t="str">
        <f>IFERROR(VLOOKUP(C31,'STUDENT INFO'!$C$15:$I$114,7,FALSE()),"")</f>
        <v>AJEET PRATAP SINGH KUSTWAR</v>
      </c>
      <c r="E31" s="173">
        <f>LARGE('FINAL SHEET'!$Q$15:$Q$114,4)</f>
        <v>651</v>
      </c>
      <c r="F31" s="173">
        <f t="shared" si="1"/>
        <v>65.1</v>
      </c>
    </row>
    <row r="32" ht="15" customHeight="1" spans="2:7">
      <c r="B32" s="173">
        <v>5</v>
      </c>
      <c r="C32" s="173" t="str">
        <f>INDEX('FINAL SHEET'!$E$15:$E$114,MATCH(E32,'FINAL SHEET'!$Q$15:$Q$114,0))</f>
        <v>BTMC24O1072</v>
      </c>
      <c r="D32" s="173" t="str">
        <f>IFERROR(VLOOKUP(C32,'STUDENT INFO'!$C$15:$I$114,7,FALSE()),"")</f>
        <v>MOHIT MISHRA</v>
      </c>
      <c r="E32" s="173">
        <f>LARGE('FINAL SHEET'!$Q$15:$Q$114,5)</f>
        <v>606</v>
      </c>
      <c r="F32" s="173">
        <f t="shared" si="1"/>
        <v>60.6</v>
      </c>
    </row>
    <row r="33" ht="15" customHeight="1" spans="2:6">
      <c r="B33" s="173">
        <v>6</v>
      </c>
      <c r="C33" s="173" t="str">
        <f>INDEX('FINAL SHEET'!$E$15:$E$114,MATCH(E33,'FINAL SHEET'!$Q$15:$Q$114,0))</f>
        <v>BTMC24O1095</v>
      </c>
      <c r="D33" s="173" t="str">
        <f>IFERROR(VLOOKUP(C33,'STUDENT INFO'!$C$15:$I$114,7,FALSE()),"")</f>
        <v>PRIYANSHU SHUKLA</v>
      </c>
      <c r="E33" s="173">
        <f>LARGE('FINAL SHEET'!$Q$15:$Q$114,6)</f>
        <v>603</v>
      </c>
      <c r="F33" s="173">
        <f t="shared" si="1"/>
        <v>60.3</v>
      </c>
    </row>
    <row r="34" ht="15" customHeight="1" spans="2:6">
      <c r="B34" s="173">
        <v>7</v>
      </c>
      <c r="C34" s="173" t="str">
        <f>INDEX('FINAL SHEET'!$E$15:$E$114,MATCH(E34,'FINAL SHEET'!$Q$15:$Q$114,0))</f>
        <v>BTMC24O1097</v>
      </c>
      <c r="D34" s="173" t="str">
        <f>IFERROR(VLOOKUP(C34,'STUDENT INFO'!$C$15:$I$114,7,FALSE()),"")</f>
        <v>RAGHVENDRA SAHU</v>
      </c>
      <c r="E34" s="173">
        <f>LARGE('FINAL SHEET'!$Q$15:$Q$114,7)</f>
        <v>602</v>
      </c>
      <c r="F34" s="173">
        <f t="shared" si="1"/>
        <v>60.2</v>
      </c>
    </row>
    <row r="35" ht="15" customHeight="1" spans="2:6">
      <c r="B35" s="173">
        <v>8</v>
      </c>
      <c r="C35" s="173" t="str">
        <f>INDEX('FINAL SHEET'!$E$15:$E$114,MATCH(E35,'FINAL SHEET'!$Q$15:$Q$114,0))</f>
        <v>BTMC24O1046</v>
      </c>
      <c r="D35" s="173" t="str">
        <f>IFERROR(VLOOKUP(C35,'STUDENT INFO'!$C$15:$I$114,7,FALSE()),"")</f>
        <v>HARSHIT SHARMA</v>
      </c>
      <c r="E35" s="173">
        <f>LARGE('FINAL SHEET'!$Q$15:$Q$114,8)</f>
        <v>587</v>
      </c>
      <c r="F35" s="173">
        <f t="shared" si="1"/>
        <v>58.7</v>
      </c>
    </row>
    <row r="36" ht="15" customHeight="1" spans="2:6">
      <c r="B36" s="173">
        <v>9</v>
      </c>
      <c r="C36" s="173" t="str">
        <f>INDEX('FINAL SHEET'!$E$15:$E$114,MATCH(E36,'FINAL SHEET'!$Q$15:$Q$114,0))</f>
        <v>BTMC24O1033</v>
      </c>
      <c r="D36" s="173" t="str">
        <f>IFERROR(VLOOKUP(C36,'STUDENT INFO'!$C$15:$I$114,7,FALSE()),"")</f>
        <v>AYUSH GUPTA</v>
      </c>
      <c r="E36" s="173">
        <f>LARGE('FINAL SHEET'!$Q$15:$Q$114,9)</f>
        <v>585</v>
      </c>
      <c r="F36" s="173">
        <f t="shared" si="1"/>
        <v>58.5</v>
      </c>
    </row>
    <row r="37" ht="15" customHeight="1" spans="2:6">
      <c r="B37" s="173">
        <v>10</v>
      </c>
      <c r="C37" s="173" t="str">
        <f>INDEX('FINAL SHEET'!$E$15:$E$114,MATCH(E37,'FINAL SHEET'!$Q$15:$Q$114,0))</f>
        <v>BTMC24O1037</v>
      </c>
      <c r="D37" s="173" t="str">
        <f>IFERROR(VLOOKUP(C37,'STUDENT INFO'!$C$15:$I$114,7,FALSE()),"")</f>
        <v>DEVANSH RAI</v>
      </c>
      <c r="E37" s="173">
        <f>LARGE('FINAL SHEET'!$Q$15:$Q$114,10)</f>
        <v>583</v>
      </c>
      <c r="F37" s="173">
        <f t="shared" si="1"/>
        <v>58.3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conditionalFormatting sqref="E12:E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425"/>
  <sheetViews>
    <sheetView zoomScale="62" zoomScaleNormal="62" workbookViewId="0">
      <selection activeCell="C10" sqref="C10:E10"/>
    </sheetView>
  </sheetViews>
  <sheetFormatPr defaultColWidth="9" defaultRowHeight="14.4"/>
  <cols>
    <col min="1" max="1" width="6.62962962962963" style="1" customWidth="1"/>
    <col min="2" max="2" width="9.4537037037037" style="1" customWidth="1"/>
    <col min="3" max="3" width="7.17592592592593" style="1" customWidth="1"/>
    <col min="5" max="5" width="18.5462962962963" style="1" customWidth="1"/>
    <col min="6" max="6" width="9.5462962962963" style="1" customWidth="1"/>
    <col min="7" max="7" width="11.0925925925926" style="1" customWidth="1"/>
    <col min="8" max="8" width="12.8055555555556" style="1" customWidth="1"/>
    <col min="9" max="9" width="7" style="1" customWidth="1"/>
    <col min="10" max="10" width="8.5462962962963" style="1" customWidth="1"/>
    <col min="11" max="11" width="3.5462962962963" style="1" customWidth="1"/>
  </cols>
  <sheetData>
    <row r="1" ht="14.25" customHeight="1" spans="1:10">
      <c r="A1" s="29"/>
      <c r="B1" s="29"/>
      <c r="C1" s="29"/>
      <c r="D1" s="29"/>
      <c r="E1" s="29"/>
      <c r="F1" s="29"/>
      <c r="G1" s="29"/>
      <c r="H1" s="29"/>
      <c r="I1" s="29"/>
      <c r="J1" s="29"/>
    </row>
    <row r="2" ht="17.25" customHeight="1" spans="1:10">
      <c r="A2" s="97" t="s">
        <v>26</v>
      </c>
      <c r="B2" s="97"/>
      <c r="C2" s="97"/>
      <c r="D2" s="97"/>
      <c r="E2" s="97"/>
      <c r="F2" s="97"/>
      <c r="G2" s="97"/>
      <c r="H2" s="97"/>
      <c r="I2" s="97"/>
      <c r="J2" s="97"/>
    </row>
    <row r="3" ht="15" customHeight="1" spans="1:10">
      <c r="A3" s="98" t="s">
        <v>27</v>
      </c>
      <c r="B3" s="98"/>
      <c r="C3" s="98"/>
      <c r="D3" s="98"/>
      <c r="E3" s="98"/>
      <c r="F3" s="98"/>
      <c r="G3" s="98"/>
      <c r="H3" s="98"/>
      <c r="I3" s="98"/>
      <c r="J3" s="98"/>
    </row>
    <row r="4" ht="15" customHeight="1" spans="1:10">
      <c r="A4" s="99" t="s">
        <v>28</v>
      </c>
      <c r="B4" s="99"/>
      <c r="C4" s="99"/>
      <c r="D4" s="99"/>
      <c r="E4" s="99"/>
      <c r="F4" s="99"/>
      <c r="G4" s="99"/>
      <c r="H4" s="99"/>
      <c r="I4" s="99"/>
      <c r="J4" s="99"/>
    </row>
    <row r="5" ht="14.25" customHeight="1" spans="1:10">
      <c r="A5" s="100" t="s">
        <v>29</v>
      </c>
      <c r="B5" s="100"/>
      <c r="C5" s="100"/>
      <c r="D5" s="100"/>
      <c r="E5" s="100"/>
      <c r="F5" s="100"/>
      <c r="G5" s="100"/>
      <c r="H5" s="100"/>
      <c r="I5" s="100"/>
      <c r="J5" s="100"/>
    </row>
    <row r="6" ht="14.25" customHeight="1" spans="1:10">
      <c r="A6" s="101" t="s">
        <v>30</v>
      </c>
      <c r="B6" s="101"/>
      <c r="C6" s="101"/>
      <c r="D6" s="101"/>
      <c r="E6" s="101"/>
      <c r="F6" s="101"/>
      <c r="G6" s="101"/>
      <c r="H6" s="101"/>
      <c r="I6" s="101"/>
      <c r="J6" s="101"/>
    </row>
    <row r="7" ht="14.25" customHeight="1" spans="1:10">
      <c r="A7" s="102" t="s">
        <v>31</v>
      </c>
      <c r="B7" s="102"/>
      <c r="C7" s="102"/>
      <c r="D7" s="102"/>
      <c r="E7" s="102"/>
      <c r="F7" s="102"/>
      <c r="G7" s="102"/>
      <c r="H7" s="102"/>
      <c r="I7" s="102"/>
      <c r="J7" s="102"/>
    </row>
    <row r="8" ht="14.25" customHeight="1" spans="1:10">
      <c r="A8" s="103"/>
      <c r="B8" s="104"/>
      <c r="C8" s="104"/>
      <c r="D8" s="104"/>
      <c r="E8" s="104"/>
      <c r="F8" s="104"/>
      <c r="G8" s="104"/>
      <c r="H8" s="104"/>
      <c r="I8" s="104"/>
      <c r="J8" s="105"/>
    </row>
    <row r="9" ht="14.25" customHeight="1" spans="1:10">
      <c r="A9" s="103"/>
      <c r="B9" s="104"/>
      <c r="C9" s="104"/>
      <c r="D9" s="104"/>
      <c r="E9" s="104"/>
      <c r="F9" s="104"/>
      <c r="G9" s="104"/>
      <c r="H9" s="104"/>
      <c r="I9" s="104"/>
      <c r="J9" s="105"/>
    </row>
    <row r="10" ht="14.25" customHeight="1" spans="1:10">
      <c r="A10" s="106" t="s">
        <v>32</v>
      </c>
      <c r="B10" s="106"/>
      <c r="C10" s="107" t="str">
        <f>IFERROR(VLOOKUP($C$15,'STUDENT INFO'!$C$15:$U$114,7,FALSE()),"Not Found")</f>
        <v>ANANYA DUBEY</v>
      </c>
      <c r="D10" s="107"/>
      <c r="E10" s="107"/>
      <c r="F10" s="107"/>
      <c r="G10" s="108" t="s">
        <v>33</v>
      </c>
      <c r="H10" s="107" t="str">
        <f>IFERROR(VLOOKUP($C$15,'STUDENT INFO'!$C$15:$U$114,18,FALSE()),"Not Found")</f>
        <v>B.Tech.</v>
      </c>
      <c r="I10" s="107"/>
      <c r="J10" s="109"/>
    </row>
    <row r="11" ht="14.25" customHeight="1" spans="1:10">
      <c r="A11" s="110" t="s">
        <v>34</v>
      </c>
      <c r="B11" s="110"/>
      <c r="C11" s="111" t="str">
        <f>IFERROR(VLOOKUP($C$15,'STUDENT INFO'!$C$15:$U$114,10,FALSE()),"Not Found")</f>
        <v>AHSISH DUBEY</v>
      </c>
      <c r="D11" s="111"/>
      <c r="E11" s="111"/>
      <c r="F11" s="112"/>
      <c r="G11" s="113" t="s">
        <v>35</v>
      </c>
      <c r="H11" s="114" t="str">
        <f>IFERROR(VLOOKUP($C$15,'STUDENT INFO'!$C$15:$U$114,19,FALSE()),"Not Found")</f>
        <v>Mathematics and Computing</v>
      </c>
      <c r="I11" s="114"/>
      <c r="J11" s="114"/>
    </row>
    <row r="12" ht="14.25" customHeight="1" spans="1:10">
      <c r="A12" s="110" t="s">
        <v>36</v>
      </c>
      <c r="B12" s="110"/>
      <c r="C12" s="111" t="str">
        <f>IFERROR(VLOOKUP($C$15,'STUDENT INFO'!$C$15:$U$114,13,FALSE()),"Not Found")</f>
        <v>ARCHNA DUBEY</v>
      </c>
      <c r="D12" s="111"/>
      <c r="E12" s="111"/>
      <c r="F12" s="112"/>
      <c r="G12" s="113" t="s">
        <v>37</v>
      </c>
      <c r="H12" s="115" t="str">
        <f>ROMAN(1)</f>
        <v>I</v>
      </c>
      <c r="I12" s="112"/>
      <c r="J12" s="105"/>
    </row>
    <row r="13" ht="14.25" customHeight="1" spans="1:10">
      <c r="A13" s="110" t="s">
        <v>38</v>
      </c>
      <c r="B13" s="110"/>
      <c r="C13" s="116">
        <f>IFERROR(VLOOKUP($C$15,'STUDENT INFO'!$C$15:$U$114,16,FALSE()),"Not Found")</f>
        <v>38566</v>
      </c>
      <c r="D13" s="116"/>
      <c r="E13" s="116"/>
      <c r="F13" s="104"/>
      <c r="G13" s="113"/>
      <c r="H13" s="104"/>
      <c r="I13" s="104"/>
      <c r="J13" s="105"/>
    </row>
    <row r="14" ht="14.25" customHeight="1" spans="1:10">
      <c r="A14" s="103"/>
      <c r="B14" s="105"/>
      <c r="C14" s="104"/>
      <c r="D14" s="104"/>
      <c r="E14" s="104"/>
      <c r="F14" s="104"/>
      <c r="G14" s="113"/>
      <c r="H14" s="104"/>
      <c r="I14" s="104"/>
      <c r="J14" s="105"/>
    </row>
    <row r="15" ht="14.25" customHeight="1" spans="1:10">
      <c r="A15" s="117" t="s">
        <v>39</v>
      </c>
      <c r="B15" s="117"/>
      <c r="C15" s="118" t="s">
        <v>40</v>
      </c>
      <c r="D15" s="118"/>
      <c r="E15" s="118"/>
      <c r="F15" s="119"/>
      <c r="G15" s="120"/>
      <c r="H15" s="119"/>
      <c r="I15" s="119"/>
      <c r="J15" s="121"/>
    </row>
    <row r="16" ht="14.25" customHeight="1" spans="1:10">
      <c r="A16" s="103"/>
      <c r="B16" s="104"/>
      <c r="C16" s="104"/>
      <c r="D16" s="104"/>
      <c r="E16" s="104"/>
      <c r="F16" s="104"/>
      <c r="G16" s="104"/>
      <c r="H16" s="104"/>
      <c r="I16" s="104"/>
      <c r="J16" s="105"/>
    </row>
    <row r="17" ht="14.25" customHeight="1" spans="1:17">
      <c r="A17" s="103"/>
      <c r="B17" s="104"/>
      <c r="C17" s="104"/>
      <c r="D17" s="104"/>
      <c r="E17" s="104"/>
      <c r="F17" s="104"/>
      <c r="G17" s="104"/>
      <c r="H17" s="104"/>
      <c r="I17" s="104"/>
      <c r="J17" s="105"/>
    </row>
    <row r="18" ht="15" customHeight="1" spans="1:17">
      <c r="A18" s="103"/>
      <c r="B18" s="104"/>
      <c r="C18" s="104"/>
      <c r="D18" s="104"/>
      <c r="E18" s="104"/>
      <c r="F18" s="104"/>
      <c r="G18" s="104"/>
      <c r="H18" s="104"/>
      <c r="I18" s="104"/>
      <c r="J18" s="105"/>
    </row>
    <row r="19" ht="15" customHeight="1" spans="1:17">
      <c r="A19" s="122" t="s">
        <v>41</v>
      </c>
      <c r="B19" s="123" t="s">
        <v>42</v>
      </c>
      <c r="C19" s="123"/>
      <c r="D19" s="123" t="s">
        <v>43</v>
      </c>
      <c r="E19" s="123"/>
      <c r="F19" s="123" t="s">
        <v>44</v>
      </c>
      <c r="G19" s="123" t="s">
        <v>45</v>
      </c>
      <c r="H19" s="123" t="s">
        <v>46</v>
      </c>
      <c r="I19" s="123" t="s">
        <v>47</v>
      </c>
      <c r="J19" s="124" t="s">
        <v>48</v>
      </c>
    </row>
    <row r="20" ht="14.25" customHeight="1" spans="1:17">
      <c r="A20" s="125">
        <v>1</v>
      </c>
      <c r="B20" s="126">
        <f>'SUB-1'!E11</f>
        <v>25241101</v>
      </c>
      <c r="C20" s="126"/>
      <c r="D20" s="126" t="str">
        <f>SCHEME!F18</f>
        <v>Introduction to Computing</v>
      </c>
      <c r="E20" s="126"/>
      <c r="F20" s="126">
        <f>SCHEME!M18</f>
        <v>100</v>
      </c>
      <c r="G20" s="126">
        <f>IFERROR(VLOOKUP($C$15,'FINAL SHEET'!$E$15:$T$114,2,FALSE()),"Not Found")</f>
        <v>67</v>
      </c>
      <c r="H20" s="126">
        <v>3</v>
      </c>
      <c r="I20" s="126">
        <f>IFERROR(VLOOKUP(C15,'SUB-1'!E15:M114,9,FALSE()),"Not Found")</f>
        <v>2</v>
      </c>
      <c r="J20" s="127" t="str">
        <f>IF($G$20&gt;89,"A",IF($G$20&gt;59,"B",IF($G$20&gt;44,"C",IF($G$20&gt;34,"D","F"))))</f>
        <v>B</v>
      </c>
    </row>
    <row r="21" ht="14.25" customHeight="1" spans="1:17">
      <c r="A21" s="128">
        <v>2</v>
      </c>
      <c r="B21" s="129">
        <f>'SUB- 2'!D11</f>
        <v>25241102</v>
      </c>
      <c r="C21" s="129"/>
      <c r="D21" s="129" t="str">
        <f>SCHEME!F19</f>
        <v>Computer Programming</v>
      </c>
      <c r="E21" s="129"/>
      <c r="F21" s="113">
        <f>SCHEME!M19</f>
        <v>100</v>
      </c>
      <c r="G21" s="113">
        <f>IFERROR(VLOOKUP($C$15,'FINAL SHEET'!$E$15:$T$114,3,FALSE()),"Not Found")</f>
        <v>77</v>
      </c>
      <c r="H21" s="113">
        <v>2</v>
      </c>
      <c r="I21" s="113">
        <f>IFERROR(VLOOKUP(C15,'SUB- 2'!D15:L114,9,FALSE()),"Not Found")</f>
        <v>2</v>
      </c>
      <c r="J21" s="127" t="str">
        <f t="shared" ref="J21:J26" si="0">IF(G21&gt;89,"A",IF(G21&gt;59,"B",IF(G21&gt;44,"C",IF(G21&gt;34,"D","F"))))</f>
        <v>B</v>
      </c>
      <c r="M21" s="91"/>
      <c r="N21" s="91"/>
      <c r="O21" s="91"/>
      <c r="P21" s="91"/>
      <c r="Q21" s="91"/>
    </row>
    <row r="22" ht="14.25" customHeight="1" spans="1:17">
      <c r="A22" s="128">
        <v>3</v>
      </c>
      <c r="B22" s="129">
        <f>'SUB-3'!E11</f>
        <v>25241103</v>
      </c>
      <c r="C22" s="129"/>
      <c r="D22" s="129" t="str">
        <f>SCHEME!F20</f>
        <v>Advanced Calculus </v>
      </c>
      <c r="E22" s="129"/>
      <c r="F22" s="113">
        <f>SCHEME!M20</f>
        <v>100</v>
      </c>
      <c r="G22" s="113">
        <f>IFERROR(VLOOKUP($C$15,'FINAL SHEET'!$E$15:$T$114,4,FALSE()),"Not Found")</f>
        <v>96</v>
      </c>
      <c r="H22" s="113">
        <v>3</v>
      </c>
      <c r="I22" s="113">
        <f>IFERROR(VLOOKUP(C15,'SUB-3'!E15:M114,9,FALSE()),"Not Found")</f>
        <v>3</v>
      </c>
      <c r="J22" s="127" t="str">
        <f t="shared" si="0"/>
        <v>A</v>
      </c>
    </row>
    <row r="23" ht="14.25" customHeight="1" spans="1:17">
      <c r="A23" s="128">
        <v>4</v>
      </c>
      <c r="B23" s="129">
        <f>'SUB-4'!E11</f>
        <v>25241104</v>
      </c>
      <c r="C23" s="129"/>
      <c r="D23" s="129" t="str">
        <f>SCHEME!F21</f>
        <v>Digital Logic Design</v>
      </c>
      <c r="E23" s="129"/>
      <c r="F23" s="113">
        <f>SCHEME!M21</f>
        <v>100</v>
      </c>
      <c r="G23" s="113">
        <f>IFERROR(VLOOKUP($C$15,'FINAL SHEET'!$E$15:$T$114,5,FALSE()),"Not Found")</f>
        <v>81</v>
      </c>
      <c r="H23" s="113">
        <v>3</v>
      </c>
      <c r="I23" s="113">
        <f>IFERROR(VLOOKUP(C15,'SUB-4'!E15:M114,9,FALSE()),"Not Found")</f>
        <v>3</v>
      </c>
      <c r="J23" s="127" t="str">
        <f t="shared" si="0"/>
        <v>B</v>
      </c>
    </row>
    <row r="24" ht="14.25" customHeight="1" spans="1:17">
      <c r="A24" s="128">
        <v>5</v>
      </c>
      <c r="B24" s="129">
        <f>'SUB-5'!E11</f>
        <v>25241105</v>
      </c>
      <c r="C24" s="129"/>
      <c r="D24" s="129" t="str">
        <f>SCHEME!F22</f>
        <v>Differential Equations</v>
      </c>
      <c r="E24" s="129"/>
      <c r="F24" s="113">
        <f>SCHEME!M22</f>
        <v>100</v>
      </c>
      <c r="G24" s="113">
        <f>IFERROR(VLOOKUP($C$15,'FINAL SHEET'!$E$15:$T$114,6,FALSE()),"Not Found")</f>
        <v>80</v>
      </c>
      <c r="H24" s="113">
        <v>3</v>
      </c>
      <c r="I24" s="113">
        <f>IFERROR(VLOOKUP(C15,'SUB-5'!E15:M114,9,FALSE()),"Not Found")</f>
        <v>3</v>
      </c>
      <c r="J24" s="127" t="str">
        <f t="shared" si="0"/>
        <v>B</v>
      </c>
    </row>
    <row r="25" ht="14.25" customHeight="1" spans="1:17">
      <c r="A25" s="128">
        <v>6</v>
      </c>
      <c r="B25" s="129">
        <f>'SUB-6'!E11</f>
        <v>25241106</v>
      </c>
      <c r="C25" s="129"/>
      <c r="D25" s="129" t="str">
        <f>SCHEME!F23</f>
        <v>Computer Programming Lab</v>
      </c>
      <c r="E25" s="129"/>
      <c r="F25" s="113">
        <f>SCHEME!M23</f>
        <v>100</v>
      </c>
      <c r="G25" s="113">
        <f>IFERROR(VLOOKUP($C$15,'FINAL SHEET'!$E$15:$T$114,7,FALSE()),"Not Found")</f>
        <v>90</v>
      </c>
      <c r="H25" s="113">
        <v>1</v>
      </c>
      <c r="I25" s="113" t="str">
        <f>IFERROR(VLOOKUP(C15,'SUB-6'!E16:J115,6,FALSE()),"Not Found")</f>
        <v>1</v>
      </c>
      <c r="J25" s="127" t="str">
        <f t="shared" si="0"/>
        <v>A</v>
      </c>
    </row>
    <row r="26" ht="31.5" customHeight="1" spans="1:17">
      <c r="A26" s="130">
        <v>7</v>
      </c>
      <c r="B26" s="131">
        <f>'SUB-7'!E11</f>
        <v>25241107</v>
      </c>
      <c r="C26" s="131"/>
      <c r="D26" s="110" t="str">
        <f>SCHEME!F24</f>
        <v>Computing Lab for Data Analysis</v>
      </c>
      <c r="E26" s="110"/>
      <c r="F26" s="113">
        <f>SCHEME!M24</f>
        <v>100</v>
      </c>
      <c r="G26" s="113">
        <f>IFERROR(VLOOKUP($C$15,'FINAL SHEET'!$E$15:$T$114,8,FALSE()),"Not Found")</f>
        <v>90</v>
      </c>
      <c r="H26" s="113">
        <v>1</v>
      </c>
      <c r="I26" s="113" t="str">
        <f>IFERROR(VLOOKUP(C15,'SUB-7'!E16:J115,6,FALSE()),"Not Found")</f>
        <v>1</v>
      </c>
      <c r="J26" s="127" t="str">
        <f t="shared" si="0"/>
        <v>A</v>
      </c>
    </row>
    <row r="27" ht="14.25" customHeight="1" spans="1:17">
      <c r="A27" s="128">
        <v>8</v>
      </c>
      <c r="B27" s="129">
        <f>'SUB-8'!E11</f>
        <v>25241108</v>
      </c>
      <c r="C27" s="129"/>
      <c r="D27" s="129" t="str">
        <f>SCHEME!F25</f>
        <v>Semester Proficiency</v>
      </c>
      <c r="E27" s="129"/>
      <c r="F27" s="113">
        <f>SCHEME!M25</f>
        <v>50</v>
      </c>
      <c r="G27" s="113">
        <f>IFERROR(VLOOKUP($C$15,'FINAL SHEET'!$E$15:$T$114,9,FALSE()),"Not Found")</f>
        <v>30</v>
      </c>
      <c r="H27" s="113">
        <v>1</v>
      </c>
      <c r="I27" s="113" t="str">
        <f>IFERROR(VLOOKUP(C15,'SUB-8'!E16:J115,6,FALSE()),"Not Found")</f>
        <v>1</v>
      </c>
      <c r="J27" s="127" t="str">
        <f>IF(G27&gt;39,"A",IF(G27&gt;29,"B",IF(G27&gt;19,"C",IF(G27&gt;15,"D","F"))))</f>
        <v>B</v>
      </c>
    </row>
    <row r="28" ht="14.25" customHeight="1" spans="1:17">
      <c r="A28" s="128">
        <v>9</v>
      </c>
      <c r="B28" s="129">
        <f>'SUB-9'!E12</f>
        <v>25241109</v>
      </c>
      <c r="C28" s="129"/>
      <c r="D28" s="129" t="str">
        <f>SCHEME!F26</f>
        <v>Micro Project-1</v>
      </c>
      <c r="E28" s="129"/>
      <c r="F28" s="113">
        <f>SCHEME!M26</f>
        <v>100</v>
      </c>
      <c r="G28" s="113">
        <f>IFERROR(VLOOKUP($C$15,'FINAL SHEET'!$E$15:$T$114,10,FALSE()),"Not Found")</f>
        <v>73</v>
      </c>
      <c r="H28" s="113">
        <v>1</v>
      </c>
      <c r="I28" s="113" t="str">
        <f>IFERROR(VLOOKUP(C15,'SUB-9'!E17:J116,6,FALSE()),"Not Found")</f>
        <v>1</v>
      </c>
      <c r="J28" s="127" t="str">
        <f>IF(G28&gt;89,"A",IF(G28&gt;59,"B",IF(G28&gt;44,"C",IF(G28&gt;34,"D","F"))))</f>
        <v>B</v>
      </c>
    </row>
    <row r="29" ht="14.25" customHeight="1" spans="1:17">
      <c r="A29" s="128">
        <v>10</v>
      </c>
      <c r="B29" s="129">
        <f>'SUB-10'!E11</f>
        <v>25241110</v>
      </c>
      <c r="C29" s="129"/>
      <c r="D29" s="129" t="str">
        <f>SCHEME!F27</f>
        <v>Language Lab</v>
      </c>
      <c r="E29" s="129"/>
      <c r="F29" s="113">
        <f>SCHEME!M27</f>
        <v>100</v>
      </c>
      <c r="G29" s="113">
        <f>IFERROR(VLOOKUP($C$15,'FINAL SHEET'!$E$15:$T$114,11,FALSE()),"Not Found")</f>
        <v>97</v>
      </c>
      <c r="H29" s="113">
        <v>1</v>
      </c>
      <c r="I29" s="113" t="str">
        <f>IFERROR(VLOOKUP(C15,'SUB-10'!E16:J115,6,FALSE()),"Not Found")</f>
        <v>1</v>
      </c>
      <c r="J29" s="127" t="str">
        <f>IF(G29&gt;89,"A",IF(G29&gt;59,"B",IF(G29&gt;44,"C",IF(G29&gt;34,"D","F"))))</f>
        <v>A</v>
      </c>
    </row>
    <row r="30" ht="14.25" customHeight="1" spans="1:17">
      <c r="A30" s="128">
        <v>11</v>
      </c>
      <c r="B30" s="129" t="str">
        <f>'SUB- NEC'!E11</f>
        <v>NECXXXXX</v>
      </c>
      <c r="C30" s="129"/>
      <c r="D30" s="129" t="str">
        <f>SCHEME!F28</f>
        <v>Novel Engaging Course </v>
      </c>
      <c r="E30" s="129"/>
      <c r="F30" s="113">
        <f>SCHEME!M28</f>
        <v>50</v>
      </c>
      <c r="G30" s="113">
        <f>IFERROR(VLOOKUP($C$15,'FINAL SHEET'!$E$15:$T$114,12,FALSE()),"Not Found")</f>
        <v>46</v>
      </c>
      <c r="H30" s="113">
        <v>1</v>
      </c>
      <c r="I30" s="113" t="str">
        <f>IFERROR(VLOOKUP(C15,'SUB- NEC'!E16:J115,6,FALSE()),"Not Found")</f>
        <v>1</v>
      </c>
      <c r="J30" s="127" t="str">
        <f>IF(G30&gt;39,"A",IF(G30&gt;29,"B",IF(G30&gt;19,"C",IF(G30&gt;15,"D","F"))))</f>
        <v>A</v>
      </c>
    </row>
    <row r="31" ht="15" customHeight="1" spans="1:17">
      <c r="A31" s="132"/>
      <c r="B31" s="133"/>
      <c r="C31" s="134"/>
      <c r="D31" s="133"/>
      <c r="E31" s="134"/>
      <c r="F31" s="135"/>
      <c r="G31" s="135"/>
      <c r="H31" s="135"/>
      <c r="I31" s="135"/>
      <c r="J31" s="127"/>
    </row>
    <row r="32" ht="15" customHeight="1" spans="1:17">
      <c r="A32" s="136"/>
      <c r="B32" s="137" t="s">
        <v>44</v>
      </c>
      <c r="C32" s="137"/>
      <c r="D32" s="138"/>
      <c r="E32" s="138"/>
      <c r="F32" s="138">
        <v>1000</v>
      </c>
      <c r="G32" s="138">
        <f>SUM(G20:G30)</f>
        <v>827</v>
      </c>
      <c r="H32" s="138">
        <f>SUM(H20:H30)</f>
        <v>20</v>
      </c>
      <c r="I32" s="138">
        <f>I20+I21+I22+I23+I24+I25+I26+I27+I28+I29+I30</f>
        <v>19</v>
      </c>
      <c r="J32" s="139" t="str">
        <f>IFERROR(VLOOKUP(C15,'FINAL SHEET'!E15:T114,16,FALSE()),"Not Found")</f>
        <v>PASS</v>
      </c>
    </row>
    <row r="33" ht="14.25" customHeight="1" spans="1:10">
      <c r="A33" s="125"/>
      <c r="B33" s="140"/>
      <c r="C33" s="141"/>
      <c r="D33" s="140"/>
      <c r="E33" s="141"/>
      <c r="F33" s="126"/>
      <c r="G33" s="126"/>
      <c r="H33" s="126"/>
      <c r="I33" s="126"/>
      <c r="J33" s="127"/>
    </row>
    <row r="34" ht="14.25" customHeight="1" spans="1:10">
      <c r="A34" s="128">
        <v>12</v>
      </c>
      <c r="B34" s="129">
        <f>'SUB-12'!E11</f>
        <v>25241112</v>
      </c>
      <c r="C34" s="129"/>
      <c r="D34" s="142" t="str">
        <f>SCHEME!F30</f>
        <v>Universal Human Values &amp; Professional Ethics 
(UHVPE) </v>
      </c>
      <c r="E34" s="142"/>
      <c r="F34" s="113">
        <v>100</v>
      </c>
      <c r="G34" s="113">
        <f>IFERROR(VLOOKUP(C15,'SUB-12'!E15:N114,8,FALSE()),"Not Found")</f>
        <v>96</v>
      </c>
      <c r="H34" s="113">
        <f>IFERROR(VLOOKUP(C15,'SUB-12'!E15:N114,9,FALSE()),"Not Found")</f>
        <v>3</v>
      </c>
      <c r="I34" s="113">
        <v>3</v>
      </c>
      <c r="J34" s="127" t="str">
        <f>IF(G34&gt;89,"A",IF(G34&gt;59,"B",IF(G34&gt;44,"C",IF(G34&gt;34,"D","F"))))</f>
        <v>A</v>
      </c>
    </row>
    <row r="35" ht="15" customHeight="1" spans="1:10">
      <c r="A35" s="132"/>
      <c r="B35" s="133"/>
      <c r="C35" s="134"/>
      <c r="D35" s="142"/>
      <c r="E35" s="142"/>
      <c r="F35" s="135"/>
      <c r="G35" s="135"/>
      <c r="H35" s="135"/>
      <c r="I35" s="135"/>
      <c r="J35" s="143"/>
    </row>
    <row r="36" ht="15" customHeight="1" spans="1:10">
      <c r="A36" s="103"/>
      <c r="B36" s="104"/>
      <c r="C36" s="104"/>
      <c r="D36" s="104"/>
      <c r="E36" s="104"/>
      <c r="F36" s="104"/>
      <c r="G36" s="104"/>
      <c r="H36" s="104"/>
      <c r="I36" s="104"/>
      <c r="J36" s="105"/>
    </row>
    <row r="37" ht="14.25" customHeight="1" spans="1:10">
      <c r="A37" s="103"/>
      <c r="B37" s="104"/>
      <c r="C37" s="104"/>
      <c r="D37" s="104"/>
      <c r="E37" s="104"/>
      <c r="F37" s="104"/>
      <c r="G37" s="104"/>
      <c r="H37" s="144" t="str">
        <f>J32</f>
        <v>PASS</v>
      </c>
      <c r="I37" s="144"/>
      <c r="J37" s="105"/>
    </row>
    <row r="38" ht="15" customHeight="1" spans="1:10">
      <c r="A38" s="103"/>
      <c r="B38" s="104"/>
      <c r="C38" s="104"/>
      <c r="D38" s="104"/>
      <c r="E38" s="104"/>
      <c r="F38" s="104"/>
      <c r="G38" s="104"/>
      <c r="H38" s="144"/>
      <c r="I38" s="144"/>
      <c r="J38" s="105"/>
    </row>
    <row r="39" ht="14.25" customHeight="1" spans="1:10">
      <c r="A39" s="103"/>
      <c r="B39" s="104"/>
      <c r="C39" s="104"/>
      <c r="D39" s="104"/>
      <c r="E39" s="104"/>
      <c r="F39" s="104"/>
      <c r="G39" s="104"/>
      <c r="H39" s="104"/>
      <c r="I39" s="104"/>
      <c r="J39" s="105"/>
    </row>
    <row r="40" ht="27.75" customHeight="1" spans="1:10">
      <c r="A40" s="145" t="s">
        <v>49</v>
      </c>
      <c r="B40" s="145"/>
      <c r="C40" s="146" t="s">
        <v>50</v>
      </c>
      <c r="D40" s="146"/>
      <c r="E40" s="147" t="s">
        <v>51</v>
      </c>
      <c r="F40" s="147" t="s">
        <v>52</v>
      </c>
      <c r="G40" s="146" t="s">
        <v>53</v>
      </c>
      <c r="H40" s="146"/>
      <c r="I40" s="148" t="s">
        <v>54</v>
      </c>
      <c r="J40" s="148"/>
    </row>
    <row r="41" ht="14.25" customHeight="1" spans="1:10">
      <c r="A41" s="145"/>
      <c r="B41" s="145"/>
      <c r="C41" s="149" t="s">
        <v>55</v>
      </c>
      <c r="D41" s="149"/>
      <c r="E41" s="149" t="s">
        <v>56</v>
      </c>
      <c r="F41" s="149" t="s">
        <v>57</v>
      </c>
      <c r="G41" s="149" t="s">
        <v>58</v>
      </c>
      <c r="H41" s="149"/>
      <c r="I41" s="150" t="s">
        <v>59</v>
      </c>
      <c r="J41" s="150"/>
    </row>
    <row r="42" ht="14.25" customHeight="1" spans="1:10">
      <c r="A42" s="151"/>
      <c r="B42" s="152"/>
      <c r="C42" s="152"/>
      <c r="D42" s="152"/>
      <c r="E42" s="152"/>
      <c r="F42" s="152"/>
      <c r="G42" s="152"/>
      <c r="H42" s="152"/>
      <c r="I42" s="109"/>
      <c r="J42" s="109"/>
    </row>
    <row r="43" ht="24.75" customHeight="1" spans="1:10">
      <c r="A43" s="153"/>
      <c r="B43" s="119"/>
      <c r="C43" s="119"/>
      <c r="D43" s="119"/>
      <c r="E43" s="119"/>
      <c r="F43" s="119"/>
      <c r="G43" s="119"/>
      <c r="H43" s="119"/>
      <c r="I43" s="119"/>
      <c r="J43" s="121"/>
    </row>
    <row r="44" ht="14.25" customHeight="1" spans="1:10">
      <c r="A44" s="154"/>
      <c r="B44" s="155"/>
      <c r="C44" s="155"/>
      <c r="D44" s="155"/>
      <c r="E44" s="155"/>
      <c r="F44" s="155"/>
      <c r="G44" s="155"/>
      <c r="H44" s="155"/>
      <c r="I44" s="155"/>
      <c r="J44" s="156"/>
    </row>
    <row r="54" ht="14.25" customHeight="1" spans="1:10">
      <c r="A54" s="157"/>
      <c r="J54" s="158"/>
    </row>
    <row r="55" ht="14.25" customHeight="1" spans="1:10">
      <c r="A55" s="157"/>
      <c r="J55" s="158"/>
    </row>
    <row r="56" ht="14.25" customHeight="1" spans="1:10">
      <c r="A56" s="157"/>
      <c r="J56" s="158"/>
    </row>
    <row r="57" ht="14.25" customHeight="1" spans="1:10">
      <c r="A57" s="157"/>
      <c r="J57" s="158"/>
    </row>
    <row r="58" ht="14.25" customHeight="1" spans="1:10">
      <c r="A58" s="157"/>
      <c r="J58" s="158"/>
    </row>
    <row r="59" ht="14.25" customHeight="1" spans="1:10">
      <c r="A59" s="157"/>
      <c r="J59" s="158"/>
    </row>
    <row r="60" ht="14.25" customHeight="1" spans="1:10">
      <c r="A60" s="157"/>
      <c r="J60" s="158"/>
    </row>
    <row r="61" ht="14.25" customHeight="1" spans="1:10">
      <c r="A61" s="157"/>
      <c r="J61" s="158"/>
    </row>
    <row r="62" ht="14.25" customHeight="1" spans="1:10">
      <c r="A62" s="157"/>
      <c r="J62" s="158"/>
    </row>
    <row r="63" ht="14.25" customHeight="1" spans="1:10">
      <c r="A63" s="157"/>
      <c r="J63" s="158"/>
    </row>
    <row r="64" ht="14.25" customHeight="1" spans="1:10">
      <c r="A64" s="157"/>
      <c r="J64" s="158"/>
    </row>
    <row r="65" ht="14.25" customHeight="1" spans="1:10">
      <c r="A65" s="157"/>
      <c r="J65" s="158"/>
    </row>
    <row r="66" ht="14.25" customHeight="1" spans="1:10">
      <c r="A66" s="157"/>
      <c r="J66" s="158"/>
    </row>
    <row r="67" ht="14.25" customHeight="1" spans="1:10">
      <c r="A67" s="157"/>
      <c r="J67" s="158"/>
    </row>
    <row r="68" ht="14.25" customHeight="1" spans="1:10">
      <c r="A68" s="157"/>
      <c r="J68" s="158"/>
    </row>
    <row r="69" ht="14.25" customHeight="1" spans="1:10">
      <c r="A69" s="157"/>
      <c r="J69" s="158"/>
    </row>
    <row r="70" ht="14.25" customHeight="1" spans="1:10">
      <c r="A70" s="157"/>
      <c r="J70" s="158"/>
    </row>
    <row r="71" ht="14.25" customHeight="1" spans="1:10">
      <c r="A71" s="157"/>
      <c r="J71" s="158"/>
    </row>
    <row r="72" ht="14.25" customHeight="1" spans="1:10">
      <c r="A72" s="157"/>
      <c r="J72" s="158"/>
    </row>
    <row r="73" ht="14.25" customHeight="1" spans="1:10">
      <c r="A73" s="157"/>
      <c r="J73" s="158"/>
    </row>
    <row r="74" ht="14.25" customHeight="1" spans="1:10">
      <c r="A74" s="157"/>
      <c r="J74" s="158"/>
    </row>
    <row r="75" ht="14.25" customHeight="1" spans="1:10">
      <c r="A75" s="157"/>
      <c r="J75" s="158"/>
    </row>
    <row r="76" ht="14.25" customHeight="1" spans="1:10">
      <c r="A76" s="157"/>
      <c r="J76" s="158"/>
    </row>
    <row r="77" ht="14.25" customHeight="1" spans="1:10">
      <c r="A77" s="157"/>
      <c r="J77" s="158"/>
    </row>
    <row r="78" ht="14.25" customHeight="1" spans="1:10">
      <c r="A78" s="157"/>
      <c r="J78" s="158"/>
    </row>
    <row r="79" ht="14.25" customHeight="1" spans="1:10">
      <c r="A79" s="157"/>
      <c r="J79" s="158"/>
    </row>
    <row r="80" ht="14.25" customHeight="1" spans="1:10">
      <c r="A80" s="157"/>
      <c r="J80" s="158"/>
    </row>
    <row r="81" ht="14.25" customHeight="1" spans="1:10">
      <c r="A81" s="157"/>
      <c r="J81" s="158"/>
    </row>
    <row r="82" ht="14.25" customHeight="1" spans="1:10">
      <c r="A82" s="157"/>
      <c r="J82" s="158"/>
    </row>
    <row r="83" ht="14.25" customHeight="1" spans="1:10">
      <c r="A83" s="157"/>
      <c r="J83" s="158"/>
    </row>
    <row r="84" ht="14.25" customHeight="1" spans="1:10">
      <c r="A84" s="157"/>
      <c r="J84" s="158"/>
    </row>
    <row r="85" ht="14.25" customHeight="1" spans="1:10">
      <c r="A85" s="157"/>
      <c r="J85" s="158"/>
    </row>
    <row r="86" ht="14.25" customHeight="1" spans="1:10">
      <c r="A86" s="157"/>
      <c r="J86" s="158"/>
    </row>
    <row r="87" ht="14.25" customHeight="1" spans="1:10">
      <c r="A87" s="157"/>
      <c r="J87" s="158"/>
    </row>
    <row r="88" ht="14.25" customHeight="1" spans="1:10">
      <c r="A88" s="157"/>
      <c r="J88" s="158"/>
    </row>
    <row r="89" ht="14.25" customHeight="1" spans="1:10">
      <c r="A89" s="157"/>
      <c r="J89" s="158"/>
    </row>
    <row r="90" ht="14.25" customHeight="1" spans="1:10">
      <c r="A90" s="157"/>
      <c r="J90" s="158"/>
    </row>
    <row r="91" ht="14.25" customHeight="1" spans="1:10">
      <c r="A91" s="157"/>
      <c r="J91" s="158"/>
    </row>
    <row r="92" ht="14.25" customHeight="1" spans="1:10">
      <c r="A92" s="157"/>
      <c r="J92" s="158"/>
    </row>
    <row r="93" ht="14.25" customHeight="1" spans="1:10">
      <c r="A93" s="157"/>
      <c r="J93" s="158"/>
    </row>
    <row r="94" ht="14.25" customHeight="1" spans="1:10">
      <c r="A94" s="157"/>
      <c r="J94" s="158"/>
    </row>
    <row r="95" ht="14.25" customHeight="1" spans="1:10">
      <c r="A95" s="157"/>
      <c r="J95" s="158"/>
    </row>
    <row r="96" ht="14.25" customHeight="1" spans="1:10">
      <c r="A96" s="157"/>
      <c r="J96" s="158"/>
    </row>
    <row r="97" ht="14.25" customHeight="1" spans="1:10">
      <c r="A97" s="157"/>
      <c r="J97" s="158"/>
    </row>
    <row r="98" ht="14.25" customHeight="1" spans="1:10">
      <c r="A98" s="157"/>
      <c r="J98" s="158"/>
    </row>
    <row r="99" ht="14.25" customHeight="1" spans="1:10">
      <c r="A99" s="157"/>
      <c r="J99" s="158"/>
    </row>
    <row r="100" ht="14.25" customHeight="1" spans="1:10">
      <c r="A100" s="157"/>
      <c r="J100" s="158"/>
    </row>
    <row r="101" ht="14.25" customHeight="1" spans="1:10">
      <c r="A101" s="157"/>
      <c r="J101" s="158"/>
    </row>
    <row r="102" ht="14.25" customHeight="1" spans="1:10">
      <c r="A102" s="157"/>
      <c r="J102" s="158"/>
    </row>
    <row r="103" ht="14.25" customHeight="1" spans="1:10">
      <c r="A103" s="157"/>
      <c r="J103" s="158"/>
    </row>
    <row r="104" ht="14.25" customHeight="1" spans="1:10">
      <c r="A104" s="157"/>
      <c r="J104" s="158"/>
    </row>
    <row r="105" ht="14.25" customHeight="1" spans="1:10">
      <c r="A105" s="157"/>
      <c r="J105" s="158"/>
    </row>
    <row r="106" ht="14.25" customHeight="1" spans="1:10">
      <c r="A106" s="157"/>
      <c r="J106" s="158"/>
    </row>
    <row r="107" ht="14.25" customHeight="1" spans="1:10">
      <c r="A107" s="157"/>
      <c r="J107" s="158"/>
    </row>
    <row r="108" ht="14.25" customHeight="1" spans="1:10">
      <c r="A108" s="157"/>
      <c r="J108" s="158"/>
    </row>
    <row r="109" ht="14.25" customHeight="1" spans="1:10">
      <c r="A109" s="157"/>
      <c r="J109" s="158"/>
    </row>
    <row r="110" ht="14.25" customHeight="1" spans="1:10">
      <c r="A110" s="157"/>
      <c r="J110" s="158"/>
    </row>
    <row r="111" ht="14.25" customHeight="1" spans="1:10">
      <c r="A111" s="157"/>
      <c r="J111" s="158"/>
    </row>
    <row r="112" ht="14.25" customHeight="1" spans="1:10">
      <c r="A112" s="157"/>
      <c r="J112" s="158"/>
    </row>
    <row r="113" ht="14.25" customHeight="1" spans="1:10">
      <c r="A113" s="157"/>
      <c r="J113" s="158"/>
    </row>
    <row r="114" ht="14.25" customHeight="1" spans="1:10">
      <c r="A114" s="157"/>
      <c r="J114" s="158"/>
    </row>
    <row r="115" ht="14.25" customHeight="1" spans="1:10">
      <c r="A115" s="157"/>
      <c r="J115" s="158"/>
    </row>
    <row r="116" ht="14.25" customHeight="1" spans="1:10">
      <c r="A116" s="157"/>
      <c r="J116" s="158"/>
    </row>
    <row r="117" ht="14.25" customHeight="1" spans="1:10">
      <c r="A117" s="157"/>
      <c r="J117" s="158"/>
    </row>
    <row r="118" ht="14.25" customHeight="1" spans="1:10">
      <c r="A118" s="157"/>
      <c r="J118" s="158"/>
    </row>
    <row r="119" ht="14.25" customHeight="1" spans="1:10">
      <c r="A119" s="157"/>
      <c r="J119" s="158"/>
    </row>
    <row r="120" ht="14.25" customHeight="1" spans="1:10">
      <c r="A120" s="157"/>
      <c r="J120" s="158"/>
    </row>
    <row r="121" ht="14.25" customHeight="1" spans="1:10">
      <c r="A121" s="157"/>
      <c r="J121" s="158"/>
    </row>
    <row r="122" ht="14.25" customHeight="1" spans="1:10">
      <c r="A122" s="157"/>
      <c r="J122" s="158"/>
    </row>
    <row r="123" ht="14.25" customHeight="1" spans="1:10">
      <c r="A123" s="157"/>
      <c r="J123" s="158"/>
    </row>
    <row r="124" ht="14.25" customHeight="1" spans="1:10">
      <c r="A124" s="157"/>
      <c r="J124" s="158"/>
    </row>
    <row r="125" ht="14.25" customHeight="1" spans="1:10">
      <c r="A125" s="157"/>
      <c r="J125" s="158"/>
    </row>
    <row r="126" ht="14.25" customHeight="1" spans="1:10">
      <c r="A126" s="157"/>
      <c r="J126" s="158"/>
    </row>
    <row r="127" ht="14.25" customHeight="1" spans="1:10">
      <c r="A127" s="157"/>
      <c r="J127" s="158"/>
    </row>
    <row r="128" ht="14.25" customHeight="1" spans="1:10">
      <c r="A128" s="157"/>
      <c r="J128" s="158"/>
    </row>
    <row r="129" ht="14.25" customHeight="1" spans="1:10">
      <c r="A129" s="157"/>
      <c r="J129" s="158"/>
    </row>
    <row r="130" ht="14.25" customHeight="1" spans="1:10">
      <c r="A130" s="157"/>
      <c r="J130" s="158"/>
    </row>
    <row r="131" ht="14.25" customHeight="1" spans="1:10">
      <c r="A131" s="157"/>
      <c r="J131" s="158"/>
    </row>
    <row r="132" ht="14.25" customHeight="1" spans="1:10">
      <c r="A132" s="157"/>
      <c r="J132" s="158"/>
    </row>
    <row r="133" ht="14.25" customHeight="1" spans="1:10">
      <c r="A133" s="157"/>
      <c r="J133" s="158"/>
    </row>
    <row r="134" ht="14.25" customHeight="1" spans="1:10">
      <c r="A134" s="157"/>
      <c r="J134" s="158"/>
    </row>
    <row r="135" ht="14.25" customHeight="1" spans="1:10">
      <c r="A135" s="157"/>
      <c r="J135" s="158"/>
    </row>
    <row r="136" ht="14.25" customHeight="1" spans="1:10">
      <c r="A136" s="157"/>
      <c r="J136" s="158"/>
    </row>
    <row r="137" ht="14.25" customHeight="1" spans="1:10">
      <c r="A137" s="157"/>
      <c r="J137" s="158"/>
    </row>
    <row r="138" ht="14.25" customHeight="1" spans="1:10">
      <c r="A138" s="157"/>
      <c r="J138" s="158"/>
    </row>
    <row r="139" ht="14.25" customHeight="1" spans="1:10">
      <c r="A139" s="157"/>
      <c r="J139" s="158"/>
    </row>
    <row r="140" ht="14.25" customHeight="1" spans="1:10">
      <c r="A140" s="157"/>
      <c r="J140" s="158"/>
    </row>
    <row r="141" ht="14.25" customHeight="1" spans="1:10">
      <c r="A141" s="157"/>
      <c r="J141" s="158"/>
    </row>
    <row r="142" ht="14.25" customHeight="1" spans="1:10">
      <c r="A142" s="157"/>
      <c r="J142" s="158"/>
    </row>
    <row r="143" ht="14.25" customHeight="1" spans="1:10">
      <c r="A143" s="157"/>
      <c r="J143" s="158"/>
    </row>
    <row r="144" ht="14.25" customHeight="1" spans="1:10">
      <c r="A144" s="157"/>
      <c r="J144" s="158"/>
    </row>
    <row r="145" ht="14.25" customHeight="1" spans="1:10">
      <c r="A145" s="157"/>
      <c r="J145" s="158"/>
    </row>
    <row r="146" ht="14.25" customHeight="1" spans="1:10">
      <c r="A146" s="157"/>
      <c r="J146" s="158"/>
    </row>
    <row r="147" ht="14.25" customHeight="1" spans="1:10">
      <c r="A147" s="157"/>
      <c r="J147" s="158"/>
    </row>
    <row r="148" ht="14.25" customHeight="1" spans="1:10">
      <c r="A148" s="157"/>
      <c r="J148" s="158"/>
    </row>
    <row r="149" ht="14.25" customHeight="1" spans="1:10">
      <c r="A149" s="157"/>
      <c r="J149" s="158"/>
    </row>
    <row r="150" ht="14.25" customHeight="1" spans="1:10">
      <c r="A150" s="157"/>
      <c r="J150" s="158"/>
    </row>
    <row r="151" ht="14.25" customHeight="1" spans="1:10">
      <c r="A151" s="157"/>
      <c r="J151" s="158"/>
    </row>
    <row r="152" ht="14.25" customHeight="1" spans="1:10">
      <c r="A152" s="157"/>
      <c r="J152" s="158"/>
    </row>
    <row r="153" ht="14.25" customHeight="1" spans="1:10">
      <c r="A153" s="157"/>
      <c r="J153" s="158"/>
    </row>
    <row r="154" ht="14.25" customHeight="1" spans="1:10">
      <c r="A154" s="157"/>
      <c r="J154" s="158"/>
    </row>
    <row r="155" ht="14.25" customHeight="1" spans="1:10">
      <c r="A155" s="157"/>
      <c r="J155" s="158"/>
    </row>
    <row r="156" ht="14.25" customHeight="1" spans="1:10">
      <c r="A156" s="157"/>
      <c r="J156" s="158"/>
    </row>
    <row r="157" ht="14.25" customHeight="1" spans="1:10">
      <c r="A157" s="157"/>
      <c r="J157" s="158"/>
    </row>
    <row r="158" ht="14.25" customHeight="1" spans="1:10">
      <c r="A158" s="157"/>
      <c r="J158" s="158"/>
    </row>
    <row r="159" ht="14.25" customHeight="1" spans="1:10">
      <c r="A159" s="157"/>
      <c r="J159" s="158"/>
    </row>
    <row r="160" ht="14.25" customHeight="1" spans="1:10">
      <c r="A160" s="157"/>
      <c r="J160" s="158"/>
    </row>
    <row r="161" ht="14.25" customHeight="1" spans="1:10">
      <c r="A161" s="157"/>
      <c r="J161" s="158"/>
    </row>
    <row r="162" ht="14.25" customHeight="1" spans="1:10">
      <c r="A162" s="157"/>
      <c r="J162" s="158"/>
    </row>
    <row r="163" ht="14.25" customHeight="1" spans="1:10">
      <c r="A163" s="157"/>
      <c r="J163" s="158"/>
    </row>
    <row r="164" ht="14.25" customHeight="1" spans="1:10">
      <c r="A164" s="157"/>
      <c r="J164" s="158"/>
    </row>
    <row r="165" ht="14.25" customHeight="1" spans="1:10">
      <c r="A165" s="157"/>
      <c r="J165" s="158"/>
    </row>
    <row r="166" ht="14.25" customHeight="1" spans="1:10">
      <c r="A166" s="157"/>
      <c r="J166" s="158"/>
    </row>
    <row r="167" ht="14.25" customHeight="1" spans="1:10">
      <c r="A167" s="157"/>
      <c r="J167" s="158"/>
    </row>
    <row r="168" ht="14.25" customHeight="1" spans="1:10">
      <c r="A168" s="157"/>
      <c r="J168" s="158"/>
    </row>
    <row r="169" ht="14.25" customHeight="1" spans="1:10">
      <c r="A169" s="157"/>
      <c r="J169" s="158"/>
    </row>
    <row r="170" ht="14.25" customHeight="1" spans="1:10">
      <c r="A170" s="157"/>
      <c r="J170" s="158"/>
    </row>
    <row r="171" ht="14.25" customHeight="1" spans="1:10">
      <c r="A171" s="157"/>
      <c r="J171" s="158"/>
    </row>
    <row r="172" ht="14.25" customHeight="1" spans="1:10">
      <c r="A172" s="157"/>
      <c r="J172" s="158"/>
    </row>
    <row r="173" ht="14.25" customHeight="1" spans="1:10">
      <c r="A173" s="157"/>
      <c r="J173" s="158"/>
    </row>
    <row r="174" ht="14.25" customHeight="1" spans="1:10">
      <c r="A174" s="157"/>
      <c r="J174" s="158"/>
    </row>
    <row r="175" ht="14.25" customHeight="1" spans="1:10">
      <c r="A175" s="157"/>
      <c r="J175" s="158"/>
    </row>
    <row r="176" ht="14.25" customHeight="1" spans="1:10">
      <c r="A176" s="157"/>
      <c r="J176" s="158"/>
    </row>
    <row r="177" ht="14.25" customHeight="1" spans="1:10">
      <c r="A177" s="157"/>
      <c r="J177" s="158"/>
    </row>
    <row r="178" ht="14.25" customHeight="1" spans="1:10">
      <c r="A178" s="157"/>
      <c r="J178" s="158"/>
    </row>
    <row r="179" ht="14.25" customHeight="1" spans="1:10">
      <c r="A179" s="157"/>
      <c r="J179" s="158"/>
    </row>
    <row r="180" ht="14.25" customHeight="1" spans="1:10">
      <c r="A180" s="157"/>
      <c r="J180" s="158"/>
    </row>
    <row r="181" ht="14.25" customHeight="1" spans="1:10">
      <c r="A181" s="157"/>
      <c r="J181" s="158"/>
    </row>
    <row r="182" ht="14.25" customHeight="1" spans="1:10">
      <c r="A182" s="157"/>
      <c r="J182" s="158"/>
    </row>
    <row r="183" ht="14.25" customHeight="1" spans="1:10">
      <c r="A183" s="157"/>
      <c r="J183" s="158"/>
    </row>
    <row r="184" ht="14.25" customHeight="1" spans="1:10">
      <c r="A184" s="157"/>
      <c r="J184" s="158"/>
    </row>
    <row r="185" ht="14.25" customHeight="1" spans="1:10">
      <c r="A185" s="157"/>
      <c r="J185" s="158"/>
    </row>
    <row r="186" ht="14.25" customHeight="1" spans="1:10">
      <c r="A186" s="157"/>
      <c r="J186" s="158"/>
    </row>
    <row r="187" ht="14.25" customHeight="1" spans="1:10">
      <c r="A187" s="157"/>
      <c r="J187" s="158"/>
    </row>
    <row r="188" ht="14.25" customHeight="1" spans="1:10">
      <c r="A188" s="157"/>
      <c r="J188" s="158"/>
    </row>
    <row r="189" ht="14.25" customHeight="1" spans="1:10">
      <c r="A189" s="157"/>
      <c r="J189" s="158"/>
    </row>
    <row r="190" ht="14.25" customHeight="1" spans="1:10">
      <c r="A190" s="157"/>
      <c r="J190" s="158"/>
    </row>
    <row r="191" ht="14.25" customHeight="1" spans="1:10">
      <c r="A191" s="157"/>
      <c r="J191" s="158"/>
    </row>
    <row r="192" ht="14.25" customHeight="1" spans="1:10">
      <c r="A192" s="157"/>
      <c r="J192" s="158"/>
    </row>
    <row r="193" ht="14.25" customHeight="1" spans="1:10">
      <c r="A193" s="157"/>
      <c r="J193" s="158"/>
    </row>
    <row r="194" ht="14.25" customHeight="1" spans="1:10">
      <c r="A194" s="157"/>
      <c r="J194" s="158"/>
    </row>
    <row r="195" ht="14.25" customHeight="1" spans="1:10">
      <c r="A195" s="157"/>
      <c r="J195" s="158"/>
    </row>
    <row r="196" ht="14.25" customHeight="1" spans="1:10">
      <c r="A196" s="157"/>
      <c r="J196" s="158"/>
    </row>
    <row r="197" ht="14.25" customHeight="1" spans="1:10">
      <c r="A197" s="157"/>
      <c r="J197" s="158"/>
    </row>
    <row r="198" ht="14.25" customHeight="1" spans="1:10">
      <c r="A198" s="157"/>
      <c r="J198" s="158"/>
    </row>
    <row r="199" ht="14.25" customHeight="1" spans="1:10">
      <c r="A199" s="157"/>
      <c r="J199" s="158"/>
    </row>
    <row r="200" ht="14.25" customHeight="1" spans="1:10">
      <c r="A200" s="157"/>
      <c r="J200" s="158"/>
    </row>
    <row r="201" ht="14.25" customHeight="1" spans="1:10">
      <c r="A201" s="157"/>
      <c r="J201" s="158"/>
    </row>
    <row r="202" ht="14.25" customHeight="1" spans="1:10">
      <c r="A202" s="157"/>
      <c r="J202" s="158"/>
    </row>
    <row r="203" ht="14.25" customHeight="1" spans="1:10">
      <c r="A203" s="157"/>
      <c r="J203" s="158"/>
    </row>
    <row r="204" ht="14.25" customHeight="1" spans="1:10">
      <c r="A204" s="157"/>
      <c r="J204" s="158"/>
    </row>
    <row r="205" ht="14.25" customHeight="1" spans="1:10">
      <c r="A205" s="157"/>
      <c r="J205" s="158"/>
    </row>
    <row r="206" ht="14.25" customHeight="1" spans="1:10">
      <c r="A206" s="157"/>
      <c r="J206" s="158"/>
    </row>
    <row r="207" ht="14.25" customHeight="1" spans="1:10">
      <c r="A207" s="157"/>
      <c r="J207" s="158"/>
    </row>
    <row r="208" ht="14.25" customHeight="1" spans="1:10">
      <c r="A208" s="157"/>
      <c r="J208" s="158"/>
    </row>
    <row r="209" ht="14.25" customHeight="1" spans="1:10">
      <c r="A209" s="157"/>
      <c r="J209" s="158"/>
    </row>
    <row r="210" ht="14.25" customHeight="1" spans="1:10">
      <c r="A210" s="157"/>
      <c r="J210" s="158"/>
    </row>
    <row r="211" ht="14.25" customHeight="1" spans="1:10">
      <c r="A211" s="157"/>
      <c r="J211" s="158"/>
    </row>
    <row r="212" ht="14.25" customHeight="1" spans="1:10">
      <c r="A212" s="157"/>
      <c r="J212" s="158"/>
    </row>
    <row r="213" ht="14.25" customHeight="1" spans="1:10">
      <c r="A213" s="157"/>
      <c r="J213" s="158"/>
    </row>
    <row r="214" ht="14.25" customHeight="1" spans="1:10">
      <c r="A214" s="157"/>
      <c r="J214" s="158"/>
    </row>
    <row r="215" ht="14.25" customHeight="1" spans="1:10">
      <c r="A215" s="157"/>
      <c r="J215" s="158"/>
    </row>
    <row r="216" ht="14.25" customHeight="1" spans="1:10">
      <c r="A216" s="157"/>
      <c r="J216" s="158"/>
    </row>
    <row r="217" ht="14.25" customHeight="1" spans="1:10">
      <c r="A217" s="157"/>
      <c r="J217" s="158"/>
    </row>
    <row r="218" ht="14.25" customHeight="1" spans="1:10">
      <c r="A218" s="157"/>
      <c r="J218" s="158"/>
    </row>
    <row r="219" ht="14.25" customHeight="1" spans="1:10">
      <c r="A219" s="157"/>
      <c r="J219" s="158"/>
    </row>
    <row r="220" ht="14.25" customHeight="1" spans="1:10">
      <c r="A220" s="157"/>
      <c r="J220" s="158"/>
    </row>
    <row r="221" ht="14.25" customHeight="1" spans="1:10">
      <c r="A221" s="157"/>
      <c r="J221" s="158"/>
    </row>
    <row r="222" ht="14.25" customHeight="1" spans="1:10">
      <c r="A222" s="157"/>
      <c r="J222" s="158"/>
    </row>
    <row r="223" ht="14.25" customHeight="1" spans="1:10">
      <c r="A223" s="157"/>
      <c r="J223" s="158"/>
    </row>
    <row r="224" ht="14.25" customHeight="1" spans="1:10">
      <c r="A224" s="157"/>
      <c r="J224" s="158"/>
    </row>
    <row r="225" ht="14.25" customHeight="1" spans="1:10">
      <c r="A225" s="157"/>
      <c r="J225" s="158"/>
    </row>
    <row r="226" ht="14.25" customHeight="1" spans="1:10">
      <c r="A226" s="157"/>
      <c r="J226" s="158"/>
    </row>
    <row r="227" ht="14.25" customHeight="1" spans="1:10">
      <c r="A227" s="157"/>
      <c r="J227" s="158"/>
    </row>
    <row r="228" ht="14.25" customHeight="1" spans="1:10">
      <c r="A228" s="157"/>
      <c r="J228" s="158"/>
    </row>
    <row r="229" ht="14.25" customHeight="1" spans="1:10">
      <c r="A229" s="157"/>
      <c r="J229" s="158"/>
    </row>
    <row r="230" ht="14.25" customHeight="1" spans="1:10">
      <c r="A230" s="157"/>
      <c r="J230" s="158"/>
    </row>
    <row r="231" ht="14.25" customHeight="1" spans="1:10">
      <c r="A231" s="157"/>
      <c r="J231" s="158"/>
    </row>
    <row r="232" ht="14.25" customHeight="1" spans="1:10">
      <c r="A232" s="157"/>
      <c r="J232" s="158"/>
    </row>
    <row r="233" ht="14.25" customHeight="1" spans="1:10">
      <c r="A233" s="157"/>
      <c r="J233" s="158"/>
    </row>
    <row r="234" ht="14.25" customHeight="1" spans="1:10">
      <c r="A234" s="157"/>
      <c r="J234" s="158"/>
    </row>
    <row r="235" ht="14.25" customHeight="1" spans="1:10">
      <c r="A235" s="157"/>
      <c r="J235" s="158"/>
    </row>
    <row r="236" ht="14.25" customHeight="1" spans="1:10">
      <c r="A236" s="157"/>
      <c r="J236" s="158"/>
    </row>
    <row r="237" ht="14.25" customHeight="1" spans="1:10">
      <c r="A237" s="157"/>
      <c r="J237" s="158"/>
    </row>
    <row r="238" ht="14.25" customHeight="1" spans="1:10">
      <c r="A238" s="157"/>
      <c r="J238" s="158"/>
    </row>
    <row r="239" ht="14.25" customHeight="1" spans="1:10">
      <c r="A239" s="157"/>
      <c r="J239" s="158"/>
    </row>
    <row r="240" ht="14.25" customHeight="1" spans="1:10">
      <c r="A240" s="157"/>
      <c r="J240" s="158"/>
    </row>
    <row r="241" ht="14.25" customHeight="1" spans="1:10">
      <c r="A241" s="157"/>
      <c r="J241" s="158"/>
    </row>
    <row r="242" ht="14.25" customHeight="1" spans="1:10">
      <c r="A242" s="157"/>
      <c r="J242" s="158"/>
    </row>
    <row r="243" ht="14.25" customHeight="1" spans="1:10">
      <c r="A243" s="157"/>
      <c r="J243" s="158"/>
    </row>
    <row r="244" ht="14.25" customHeight="1" spans="1:10">
      <c r="A244" s="157"/>
      <c r="J244" s="158"/>
    </row>
    <row r="245" ht="14.25" customHeight="1" spans="1:10">
      <c r="A245" s="157"/>
      <c r="J245" s="158"/>
    </row>
    <row r="246" ht="14.25" customHeight="1" spans="1:10">
      <c r="A246" s="157"/>
      <c r="J246" s="158"/>
    </row>
    <row r="247" ht="14.25" customHeight="1" spans="1:10">
      <c r="A247" s="157"/>
      <c r="J247" s="158"/>
    </row>
    <row r="248" ht="14.25" customHeight="1" spans="1:10">
      <c r="A248" s="157"/>
      <c r="J248" s="158"/>
    </row>
    <row r="249" ht="14.25" customHeight="1" spans="1:10">
      <c r="A249" s="157"/>
      <c r="J249" s="158"/>
    </row>
    <row r="250" ht="14.25" customHeight="1" spans="1:10">
      <c r="A250" s="157"/>
      <c r="J250" s="158"/>
    </row>
    <row r="251" ht="14.25" customHeight="1" spans="1:10">
      <c r="A251" s="157"/>
      <c r="J251" s="158"/>
    </row>
    <row r="252" ht="14.25" customHeight="1" spans="1:10">
      <c r="A252" s="157"/>
      <c r="J252" s="158"/>
    </row>
    <row r="253" ht="14.25" customHeight="1" spans="1:10">
      <c r="A253" s="157"/>
      <c r="J253" s="158"/>
    </row>
    <row r="254" ht="14.25" customHeight="1" spans="1:10">
      <c r="A254" s="157"/>
      <c r="J254" s="158"/>
    </row>
    <row r="255" ht="14.25" customHeight="1" spans="1:10">
      <c r="A255" s="157"/>
      <c r="J255" s="158"/>
    </row>
    <row r="256" ht="14.25" customHeight="1" spans="1:10">
      <c r="A256" s="157"/>
      <c r="J256" s="158"/>
    </row>
    <row r="257" ht="14.25" customHeight="1" spans="1:10">
      <c r="A257" s="157"/>
      <c r="J257" s="158"/>
    </row>
    <row r="258" ht="14.25" customHeight="1" spans="1:10">
      <c r="A258" s="157"/>
      <c r="J258" s="158"/>
    </row>
    <row r="259" ht="14.25" customHeight="1" spans="1:10">
      <c r="A259" s="157"/>
      <c r="J259" s="158"/>
    </row>
    <row r="260" ht="14.25" customHeight="1" spans="1:10">
      <c r="A260" s="157"/>
      <c r="J260" s="158"/>
    </row>
    <row r="261" ht="14.25" customHeight="1" spans="1:10">
      <c r="A261" s="157"/>
      <c r="J261" s="158"/>
    </row>
    <row r="262" ht="14.25" customHeight="1" spans="1:10">
      <c r="A262" s="157"/>
      <c r="J262" s="158"/>
    </row>
    <row r="263" ht="14.25" customHeight="1" spans="1:10">
      <c r="A263" s="157"/>
      <c r="J263" s="158"/>
    </row>
    <row r="264" ht="14.25" customHeight="1" spans="1:10">
      <c r="A264" s="157"/>
      <c r="J264" s="158"/>
    </row>
    <row r="265" ht="14.25" customHeight="1" spans="1:10">
      <c r="A265" s="157"/>
      <c r="J265" s="158"/>
    </row>
    <row r="266" ht="14.25" customHeight="1" spans="1:10">
      <c r="A266" s="157"/>
      <c r="J266" s="158"/>
    </row>
    <row r="267" ht="14.25" customHeight="1" spans="1:10">
      <c r="A267" s="157"/>
      <c r="J267" s="158"/>
    </row>
    <row r="268" ht="14.25" customHeight="1" spans="1:10">
      <c r="A268" s="157"/>
      <c r="J268" s="158"/>
    </row>
    <row r="269" ht="14.25" customHeight="1" spans="1:10">
      <c r="A269" s="157"/>
      <c r="J269" s="158"/>
    </row>
    <row r="270" ht="14.25" customHeight="1" spans="1:10">
      <c r="A270" s="157"/>
      <c r="J270" s="158"/>
    </row>
    <row r="271" ht="14.25" customHeight="1" spans="1:10">
      <c r="A271" s="157"/>
      <c r="J271" s="158"/>
    </row>
    <row r="272" ht="14.25" customHeight="1" spans="1:10">
      <c r="A272" s="157"/>
      <c r="J272" s="158"/>
    </row>
    <row r="273" ht="14.25" customHeight="1" spans="1:10">
      <c r="A273" s="157"/>
      <c r="J273" s="158"/>
    </row>
    <row r="274" ht="14.25" customHeight="1" spans="1:10">
      <c r="A274" s="157"/>
      <c r="J274" s="158"/>
    </row>
    <row r="275" ht="14.25" customHeight="1" spans="1:10">
      <c r="A275" s="157"/>
      <c r="J275" s="158"/>
    </row>
    <row r="276" ht="14.25" customHeight="1" spans="1:10">
      <c r="A276" s="157"/>
      <c r="J276" s="158"/>
    </row>
    <row r="277" ht="14.25" customHeight="1" spans="1:10">
      <c r="A277" s="157"/>
      <c r="J277" s="158"/>
    </row>
    <row r="278" ht="14.25" customHeight="1" spans="1:10">
      <c r="A278" s="157"/>
      <c r="J278" s="158"/>
    </row>
    <row r="279" ht="14.25" customHeight="1" spans="1:10">
      <c r="A279" s="157"/>
      <c r="J279" s="158"/>
    </row>
    <row r="280" ht="14.25" customHeight="1" spans="1:10">
      <c r="A280" s="157"/>
      <c r="J280" s="158"/>
    </row>
    <row r="281" ht="14.25" customHeight="1" spans="1:10">
      <c r="A281" s="157"/>
      <c r="J281" s="158"/>
    </row>
    <row r="282" ht="14.25" customHeight="1" spans="1:10">
      <c r="A282" s="157"/>
      <c r="J282" s="158"/>
    </row>
    <row r="283" ht="14.25" customHeight="1" spans="1:10">
      <c r="A283" s="157"/>
      <c r="J283" s="158"/>
    </row>
    <row r="284" ht="14.25" customHeight="1" spans="1:10">
      <c r="A284" s="157"/>
      <c r="J284" s="158"/>
    </row>
    <row r="285" ht="14.25" customHeight="1" spans="1:10">
      <c r="A285" s="157"/>
      <c r="J285" s="158"/>
    </row>
    <row r="286" ht="14.25" customHeight="1" spans="1:10">
      <c r="A286" s="157"/>
      <c r="J286" s="158"/>
    </row>
    <row r="287" ht="14.25" customHeight="1" spans="1:10">
      <c r="A287" s="157"/>
      <c r="J287" s="158"/>
    </row>
    <row r="288" ht="14.25" customHeight="1" spans="1:10">
      <c r="A288" s="157"/>
      <c r="J288" s="158"/>
    </row>
    <row r="289" ht="14.25" customHeight="1" spans="1:10">
      <c r="A289" s="157"/>
      <c r="J289" s="158"/>
    </row>
    <row r="290" ht="14.25" customHeight="1" spans="1:10">
      <c r="A290" s="157"/>
      <c r="J290" s="158"/>
    </row>
    <row r="291" ht="14.25" customHeight="1" spans="1:10">
      <c r="A291" s="157"/>
      <c r="J291" s="158"/>
    </row>
    <row r="292" ht="14.25" customHeight="1" spans="1:10">
      <c r="A292" s="157"/>
      <c r="J292" s="158"/>
    </row>
    <row r="293" ht="14.25" customHeight="1" spans="1:10">
      <c r="A293" s="157"/>
      <c r="J293" s="158"/>
    </row>
    <row r="294" ht="14.25" customHeight="1" spans="1:10">
      <c r="A294" s="157"/>
      <c r="J294" s="158"/>
    </row>
    <row r="295" ht="14.25" customHeight="1" spans="1:10">
      <c r="A295" s="157"/>
      <c r="J295" s="158"/>
    </row>
    <row r="296" ht="14.25" customHeight="1" spans="1:10">
      <c r="A296" s="157"/>
      <c r="J296" s="158"/>
    </row>
    <row r="297" ht="14.25" customHeight="1" spans="1:10">
      <c r="A297" s="157"/>
      <c r="J297" s="158"/>
    </row>
    <row r="298" ht="14.25" customHeight="1" spans="1:10">
      <c r="A298" s="157"/>
      <c r="J298" s="158"/>
    </row>
    <row r="299" ht="14.25" customHeight="1" spans="1:10">
      <c r="A299" s="157"/>
      <c r="J299" s="158"/>
    </row>
    <row r="300" ht="14.25" customHeight="1" spans="1:10">
      <c r="A300" s="157"/>
      <c r="J300" s="158"/>
    </row>
    <row r="301" ht="14.25" customHeight="1" spans="1:10">
      <c r="A301" s="157"/>
      <c r="J301" s="158"/>
    </row>
    <row r="302" ht="14.25" customHeight="1" spans="1:10">
      <c r="A302" s="157"/>
      <c r="J302" s="158"/>
    </row>
    <row r="303" ht="14.25" customHeight="1" spans="1:10">
      <c r="A303" s="157"/>
      <c r="J303" s="158"/>
    </row>
    <row r="304" ht="14.25" customHeight="1" spans="1:10">
      <c r="A304" s="157"/>
      <c r="J304" s="158"/>
    </row>
    <row r="305" ht="14.25" customHeight="1" spans="1:10">
      <c r="A305" s="157"/>
      <c r="J305" s="158"/>
    </row>
    <row r="306" ht="14.25" customHeight="1" spans="1:10">
      <c r="A306" s="157"/>
      <c r="J306" s="158"/>
    </row>
    <row r="307" ht="14.25" customHeight="1" spans="1:10">
      <c r="A307" s="157"/>
      <c r="J307" s="158"/>
    </row>
    <row r="308" ht="14.25" customHeight="1" spans="1:10">
      <c r="A308" s="157"/>
      <c r="J308" s="158"/>
    </row>
    <row r="309" ht="14.25" customHeight="1" spans="1:10">
      <c r="A309" s="157"/>
      <c r="J309" s="158"/>
    </row>
    <row r="310" ht="14.25" customHeight="1" spans="1:10">
      <c r="A310" s="157"/>
      <c r="J310" s="158"/>
    </row>
    <row r="311" ht="14.25" customHeight="1" spans="1:10">
      <c r="A311" s="157"/>
      <c r="J311" s="158"/>
    </row>
    <row r="312" ht="14.25" customHeight="1" spans="1:10">
      <c r="A312" s="157"/>
      <c r="J312" s="158"/>
    </row>
    <row r="313" ht="14.25" customHeight="1" spans="1:10">
      <c r="A313" s="157"/>
      <c r="J313" s="158"/>
    </row>
    <row r="314" ht="14.25" customHeight="1" spans="1:10">
      <c r="A314" s="157"/>
      <c r="J314" s="158"/>
    </row>
    <row r="315" ht="14.25" customHeight="1" spans="1:10">
      <c r="A315" s="157"/>
      <c r="J315" s="158"/>
    </row>
    <row r="316" ht="14.25" customHeight="1" spans="1:10">
      <c r="A316" s="157"/>
      <c r="J316" s="158"/>
    </row>
    <row r="317" ht="14.25" customHeight="1" spans="1:10">
      <c r="A317" s="157"/>
      <c r="J317" s="158"/>
    </row>
    <row r="318" ht="14.25" customHeight="1" spans="1:10">
      <c r="A318" s="157"/>
      <c r="J318" s="158"/>
    </row>
    <row r="319" ht="14.25" customHeight="1" spans="1:10">
      <c r="A319" s="157"/>
      <c r="J319" s="158"/>
    </row>
    <row r="320" ht="14.25" customHeight="1" spans="1:10">
      <c r="A320" s="157"/>
      <c r="J320" s="158"/>
    </row>
    <row r="321" ht="14.25" customHeight="1" spans="1:10">
      <c r="A321" s="157"/>
      <c r="J321" s="158"/>
    </row>
    <row r="322" ht="14.25" customHeight="1" spans="1:10">
      <c r="A322" s="157"/>
      <c r="J322" s="158"/>
    </row>
    <row r="323" ht="14.25" customHeight="1" spans="1:10">
      <c r="A323" s="157"/>
      <c r="J323" s="158"/>
    </row>
    <row r="324" ht="14.25" customHeight="1" spans="1:10">
      <c r="A324" s="157"/>
      <c r="J324" s="158"/>
    </row>
    <row r="325" ht="14.25" customHeight="1" spans="1:10">
      <c r="A325" s="157"/>
      <c r="J325" s="158"/>
    </row>
    <row r="326" ht="14.25" customHeight="1" spans="1:10">
      <c r="A326" s="157"/>
      <c r="J326" s="158"/>
    </row>
    <row r="327" ht="14.25" customHeight="1" spans="1:10">
      <c r="A327" s="157"/>
      <c r="J327" s="158"/>
    </row>
    <row r="328" ht="14.25" customHeight="1" spans="1:10">
      <c r="A328" s="157"/>
      <c r="J328" s="158"/>
    </row>
    <row r="329" ht="14.25" customHeight="1" spans="1:10">
      <c r="A329" s="157"/>
      <c r="J329" s="158"/>
    </row>
    <row r="330" ht="14.25" customHeight="1" spans="1:10">
      <c r="A330" s="157"/>
      <c r="J330" s="158"/>
    </row>
    <row r="331" ht="14.25" customHeight="1" spans="1:10">
      <c r="A331" s="157"/>
      <c r="J331" s="158"/>
    </row>
    <row r="332" ht="14.25" customHeight="1" spans="1:10">
      <c r="A332" s="157"/>
      <c r="J332" s="158"/>
    </row>
    <row r="333" ht="14.25" customHeight="1" spans="1:10">
      <c r="A333" s="157"/>
      <c r="J333" s="158"/>
    </row>
    <row r="334" ht="14.25" customHeight="1" spans="1:10">
      <c r="A334" s="157"/>
      <c r="J334" s="158"/>
    </row>
    <row r="335" ht="14.25" customHeight="1" spans="1:10">
      <c r="A335" s="157"/>
      <c r="J335" s="158"/>
    </row>
    <row r="336" ht="14.25" customHeight="1" spans="1:10">
      <c r="A336" s="157"/>
      <c r="J336" s="158"/>
    </row>
    <row r="337" ht="14.25" customHeight="1" spans="1:10">
      <c r="A337" s="157"/>
      <c r="J337" s="158"/>
    </row>
    <row r="338" ht="14.25" customHeight="1" spans="1:10">
      <c r="A338" s="157"/>
      <c r="J338" s="158"/>
    </row>
    <row r="339" ht="14.25" customHeight="1" spans="1:10">
      <c r="A339" s="157"/>
      <c r="J339" s="158"/>
    </row>
    <row r="340" ht="14.25" customHeight="1" spans="1:10">
      <c r="A340" s="157"/>
      <c r="J340" s="158"/>
    </row>
    <row r="341" ht="14.25" customHeight="1" spans="1:10">
      <c r="A341" s="157"/>
      <c r="J341" s="158"/>
    </row>
    <row r="342" ht="14.25" customHeight="1" spans="1:10">
      <c r="A342" s="157"/>
      <c r="J342" s="158"/>
    </row>
    <row r="343" ht="14.25" customHeight="1" spans="1:10">
      <c r="A343" s="157"/>
      <c r="J343" s="158"/>
    </row>
    <row r="344" ht="14.25" customHeight="1" spans="1:10">
      <c r="A344" s="157"/>
      <c r="J344" s="158"/>
    </row>
    <row r="345" ht="14.25" customHeight="1" spans="1:10">
      <c r="A345" s="157"/>
      <c r="J345" s="158"/>
    </row>
    <row r="346" ht="14.25" customHeight="1" spans="1:10">
      <c r="A346" s="157"/>
      <c r="J346" s="158"/>
    </row>
    <row r="347" ht="14.25" customHeight="1" spans="1:10">
      <c r="A347" s="157"/>
      <c r="J347" s="158"/>
    </row>
    <row r="348" ht="14.25" customHeight="1" spans="1:10">
      <c r="A348" s="157"/>
      <c r="J348" s="158"/>
    </row>
    <row r="349" ht="14.25" customHeight="1" spans="1:10">
      <c r="A349" s="157"/>
      <c r="J349" s="158"/>
    </row>
    <row r="350" ht="14.25" customHeight="1" spans="1:10">
      <c r="A350" s="157"/>
      <c r="J350" s="158"/>
    </row>
    <row r="351" ht="14.25" customHeight="1" spans="1:10">
      <c r="A351" s="157"/>
      <c r="J351" s="158"/>
    </row>
    <row r="352" ht="14.25" customHeight="1" spans="1:10">
      <c r="A352" s="157"/>
      <c r="J352" s="158"/>
    </row>
    <row r="353" ht="14.25" customHeight="1" spans="1:10">
      <c r="A353" s="157"/>
      <c r="J353" s="158"/>
    </row>
    <row r="354" ht="14.25" customHeight="1" spans="1:10">
      <c r="A354" s="157"/>
      <c r="J354" s="158"/>
    </row>
    <row r="355" ht="14.25" customHeight="1" spans="1:10">
      <c r="A355" s="157"/>
      <c r="J355" s="158"/>
    </row>
    <row r="356" ht="14.25" customHeight="1" spans="1:10">
      <c r="A356" s="157"/>
      <c r="J356" s="158"/>
    </row>
    <row r="357" ht="14.25" customHeight="1" spans="1:10">
      <c r="A357" s="157"/>
      <c r="J357" s="158"/>
    </row>
    <row r="358" ht="14.25" customHeight="1" spans="1:10">
      <c r="A358" s="157"/>
      <c r="J358" s="158"/>
    </row>
    <row r="359" ht="14.25" customHeight="1" spans="1:10">
      <c r="A359" s="157"/>
      <c r="J359" s="158"/>
    </row>
    <row r="360" ht="14.25" customHeight="1" spans="1:10">
      <c r="A360" s="157"/>
      <c r="J360" s="158"/>
    </row>
    <row r="361" ht="14.25" customHeight="1" spans="1:10">
      <c r="A361" s="157"/>
      <c r="J361" s="158"/>
    </row>
    <row r="362" ht="14.25" customHeight="1" spans="1:10">
      <c r="A362" s="157"/>
      <c r="J362" s="158"/>
    </row>
    <row r="363" ht="14.25" customHeight="1" spans="1:10">
      <c r="A363" s="157"/>
      <c r="J363" s="158"/>
    </row>
    <row r="364" ht="14.25" customHeight="1" spans="1:10">
      <c r="A364" s="157"/>
      <c r="J364" s="158"/>
    </row>
    <row r="365" ht="14.25" customHeight="1" spans="1:10">
      <c r="A365" s="157"/>
      <c r="J365" s="158"/>
    </row>
    <row r="366" ht="14.25" customHeight="1" spans="1:10">
      <c r="A366" s="157"/>
      <c r="J366" s="158"/>
    </row>
    <row r="367" ht="14.25" customHeight="1" spans="1:10">
      <c r="A367" s="157"/>
      <c r="J367" s="158"/>
    </row>
    <row r="368" ht="14.25" customHeight="1" spans="1:10">
      <c r="A368" s="157"/>
      <c r="J368" s="158"/>
    </row>
    <row r="369" ht="14.25" customHeight="1" spans="1:10">
      <c r="A369" s="157"/>
      <c r="J369" s="158"/>
    </row>
    <row r="370" ht="14.25" customHeight="1" spans="1:10">
      <c r="A370" s="157"/>
      <c r="J370" s="158"/>
    </row>
    <row r="371" ht="14.25" customHeight="1" spans="1:10">
      <c r="A371" s="157"/>
      <c r="J371" s="158"/>
    </row>
    <row r="372" ht="14.25" customHeight="1" spans="1:10">
      <c r="A372" s="157"/>
      <c r="J372" s="158"/>
    </row>
    <row r="373" ht="14.25" customHeight="1" spans="1:10">
      <c r="A373" s="157"/>
      <c r="J373" s="158"/>
    </row>
    <row r="374" ht="14.25" customHeight="1" spans="1:10">
      <c r="A374" s="157"/>
      <c r="J374" s="158"/>
    </row>
    <row r="375" ht="14.25" customHeight="1" spans="1:10">
      <c r="A375" s="157"/>
      <c r="J375" s="158"/>
    </row>
    <row r="376" ht="14.25" customHeight="1" spans="1:10">
      <c r="A376" s="157"/>
      <c r="J376" s="158"/>
    </row>
    <row r="377" ht="14.25" customHeight="1" spans="1:10">
      <c r="A377" s="157"/>
      <c r="J377" s="158"/>
    </row>
    <row r="378" ht="14.25" customHeight="1" spans="1:10">
      <c r="A378" s="157"/>
      <c r="J378" s="158"/>
    </row>
    <row r="379" ht="14.25" customHeight="1" spans="1:10">
      <c r="A379" s="157"/>
      <c r="J379" s="158"/>
    </row>
    <row r="380" ht="14.25" customHeight="1" spans="1:10">
      <c r="A380" s="157"/>
      <c r="J380" s="158"/>
    </row>
    <row r="381" ht="14.25" customHeight="1" spans="1:10">
      <c r="A381" s="157"/>
      <c r="J381" s="158"/>
    </row>
    <row r="382" ht="14.25" customHeight="1" spans="1:10">
      <c r="A382" s="157"/>
      <c r="J382" s="158"/>
    </row>
    <row r="383" ht="14.25" customHeight="1" spans="1:10">
      <c r="A383" s="157"/>
      <c r="J383" s="158"/>
    </row>
    <row r="384" ht="14.25" customHeight="1" spans="1:10">
      <c r="A384" s="157"/>
      <c r="J384" s="158"/>
    </row>
    <row r="385" ht="14.25" customHeight="1" spans="1:10">
      <c r="A385" s="157"/>
      <c r="J385" s="158"/>
    </row>
    <row r="386" ht="14.25" customHeight="1" spans="1:10">
      <c r="A386" s="157"/>
      <c r="J386" s="158"/>
    </row>
    <row r="387" ht="14.25" customHeight="1" spans="1:10">
      <c r="A387" s="157"/>
      <c r="J387" s="158"/>
    </row>
    <row r="388" ht="14.25" customHeight="1" spans="1:10">
      <c r="A388" s="157"/>
      <c r="J388" s="158"/>
    </row>
    <row r="389" ht="14.25" customHeight="1" spans="1:10">
      <c r="A389" s="157"/>
      <c r="J389" s="158"/>
    </row>
    <row r="390" ht="14.25" customHeight="1" spans="1:10">
      <c r="A390" s="157"/>
      <c r="J390" s="158"/>
    </row>
    <row r="391" ht="14.25" customHeight="1" spans="1:10">
      <c r="A391" s="157"/>
      <c r="J391" s="158"/>
    </row>
    <row r="392" ht="14.25" customHeight="1" spans="1:10">
      <c r="A392" s="157"/>
      <c r="J392" s="158"/>
    </row>
    <row r="393" ht="14.25" customHeight="1" spans="1:10">
      <c r="A393" s="157"/>
      <c r="J393" s="158"/>
    </row>
    <row r="394" ht="14.25" customHeight="1" spans="1:10">
      <c r="A394" s="157"/>
      <c r="J394" s="158"/>
    </row>
    <row r="395" ht="14.25" customHeight="1" spans="1:10">
      <c r="A395" s="157"/>
      <c r="J395" s="158"/>
    </row>
    <row r="396" ht="14.25" customHeight="1" spans="1:10">
      <c r="A396" s="157"/>
      <c r="J396" s="158"/>
    </row>
    <row r="397" ht="14.25" customHeight="1" spans="1:10">
      <c r="A397" s="157"/>
      <c r="J397" s="158"/>
    </row>
    <row r="398" ht="14.25" customHeight="1" spans="1:10">
      <c r="A398" s="157"/>
      <c r="J398" s="158"/>
    </row>
    <row r="399" ht="14.25" customHeight="1" spans="1:10">
      <c r="A399" s="157"/>
      <c r="J399" s="158"/>
    </row>
    <row r="400" ht="14.25" customHeight="1" spans="1:10">
      <c r="A400" s="157"/>
      <c r="J400" s="158"/>
    </row>
    <row r="401" ht="14.25" customHeight="1" spans="1:10">
      <c r="A401" s="157"/>
      <c r="J401" s="158"/>
    </row>
    <row r="402" ht="14.25" customHeight="1" spans="1:10">
      <c r="A402" s="157"/>
      <c r="J402" s="158"/>
    </row>
    <row r="403" ht="14.25" customHeight="1" spans="1:10">
      <c r="A403" s="157"/>
      <c r="J403" s="158"/>
    </row>
    <row r="404" ht="14.25" customHeight="1" spans="1:10">
      <c r="A404" s="157"/>
      <c r="J404" s="158"/>
    </row>
    <row r="405" ht="14.25" customHeight="1" spans="1:10">
      <c r="A405" s="157"/>
      <c r="J405" s="158"/>
    </row>
    <row r="406" ht="14.25" customHeight="1" spans="1:10">
      <c r="A406" s="157"/>
      <c r="J406" s="158"/>
    </row>
    <row r="407" ht="14.25" customHeight="1" spans="1:10">
      <c r="A407" s="157"/>
      <c r="J407" s="158"/>
    </row>
    <row r="408" ht="14.25" customHeight="1" spans="1:10">
      <c r="A408" s="157"/>
      <c r="J408" s="158"/>
    </row>
    <row r="409" ht="14.25" customHeight="1" spans="1:10">
      <c r="A409" s="157"/>
      <c r="J409" s="158"/>
    </row>
    <row r="410" ht="14.25" customHeight="1" spans="1:10">
      <c r="A410" s="157"/>
      <c r="J410" s="158"/>
    </row>
    <row r="411" ht="14.25" customHeight="1" spans="1:10">
      <c r="A411" s="157"/>
      <c r="J411" s="158"/>
    </row>
    <row r="412" ht="14.25" customHeight="1" spans="1:10">
      <c r="A412" s="157"/>
      <c r="J412" s="158"/>
    </row>
    <row r="413" ht="14.25" customHeight="1" spans="1:10">
      <c r="A413" s="157"/>
      <c r="J413" s="158"/>
    </row>
    <row r="414" ht="14.25" customHeight="1" spans="1:10">
      <c r="A414" s="157"/>
      <c r="J414" s="158"/>
    </row>
    <row r="415" ht="14.25" customHeight="1" spans="1:10">
      <c r="A415" s="157"/>
      <c r="J415" s="158"/>
    </row>
    <row r="416" ht="14.25" customHeight="1" spans="1:10">
      <c r="A416" s="157"/>
      <c r="J416" s="158"/>
    </row>
    <row r="417" ht="14.25" customHeight="1" spans="1:10">
      <c r="A417" s="157"/>
      <c r="J417" s="158"/>
    </row>
    <row r="418" ht="14.25" customHeight="1" spans="1:10">
      <c r="A418" s="157"/>
      <c r="J418" s="158"/>
    </row>
    <row r="419" ht="14.25" customHeight="1" spans="1:10">
      <c r="A419" s="157"/>
      <c r="J419" s="158"/>
    </row>
    <row r="420" ht="14.25" customHeight="1" spans="1:10">
      <c r="A420" s="157"/>
      <c r="J420" s="158"/>
    </row>
    <row r="421" ht="14.25" customHeight="1" spans="1:10">
      <c r="A421" s="159"/>
      <c r="B421" s="160"/>
      <c r="C421" s="160"/>
      <c r="D421" s="160"/>
      <c r="E421" s="160"/>
      <c r="F421" s="160"/>
      <c r="G421" s="160"/>
      <c r="H421" s="160"/>
      <c r="I421" s="160"/>
      <c r="J421" s="161"/>
    </row>
    <row r="422" ht="14.25" customHeight="1" spans="1:10">
      <c r="A422" s="162"/>
      <c r="J422" s="163"/>
    </row>
    <row r="423" ht="14.25" customHeight="1" spans="1:10">
      <c r="A423" s="162"/>
      <c r="J423" s="163"/>
    </row>
    <row r="424" ht="14.25" customHeight="1" spans="1:10">
      <c r="A424" s="162"/>
      <c r="J424" s="163"/>
    </row>
    <row r="425" ht="15" customHeight="1" spans="1:10">
      <c r="A425" s="164"/>
      <c r="B425" s="165"/>
      <c r="C425" s="165"/>
      <c r="D425" s="165"/>
      <c r="E425" s="165"/>
      <c r="F425" s="165"/>
      <c r="G425" s="165"/>
      <c r="H425" s="165"/>
      <c r="I425" s="165"/>
      <c r="J425" s="166"/>
    </row>
  </sheetData>
  <mergeCells count="55">
    <mergeCell ref="A2:J2"/>
    <mergeCell ref="A3:J3"/>
    <mergeCell ref="A4:J4"/>
    <mergeCell ref="A5:J5"/>
    <mergeCell ref="A6:J6"/>
    <mergeCell ref="A7:J7"/>
    <mergeCell ref="A10:B10"/>
    <mergeCell ref="C10:E10"/>
    <mergeCell ref="H10:I10"/>
    <mergeCell ref="A11:B11"/>
    <mergeCell ref="C11:E11"/>
    <mergeCell ref="H11:J11"/>
    <mergeCell ref="A12:B12"/>
    <mergeCell ref="C12:E12"/>
    <mergeCell ref="A13:B13"/>
    <mergeCell ref="C13:E13"/>
    <mergeCell ref="A15:B15"/>
    <mergeCell ref="C15:E15"/>
    <mergeCell ref="B19:C19"/>
    <mergeCell ref="D19:E19"/>
    <mergeCell ref="B20:C20"/>
    <mergeCell ref="D20:E20"/>
    <mergeCell ref="B21:C21"/>
    <mergeCell ref="D21:E21"/>
    <mergeCell ref="M21:Q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2:C32"/>
    <mergeCell ref="B34:C34"/>
    <mergeCell ref="C40:D40"/>
    <mergeCell ref="G40:H40"/>
    <mergeCell ref="I40:J40"/>
    <mergeCell ref="C41:D41"/>
    <mergeCell ref="G41:H41"/>
    <mergeCell ref="I41:J41"/>
    <mergeCell ref="I42:J42"/>
    <mergeCell ref="D34:E35"/>
    <mergeCell ref="H37:I38"/>
    <mergeCell ref="A40:B41"/>
  </mergeCells>
  <pageMargins left="0.25" right="0.277777777777778" top="0.75" bottom="0.75" header="0.3" footer="0.511811023622047"/>
  <pageSetup paperSize="1" orientation="portrait" horizontalDpi="300" verticalDpi="300"/>
  <headerFooter>
    <oddHeader>&amp;C&amp;"comic,Regular"&amp;24 MARKSHEET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C1:Y114"/>
  <sheetViews>
    <sheetView zoomScale="72" zoomScaleNormal="72" topLeftCell="D82" workbookViewId="0">
      <selection activeCell="Q15" sqref="Q15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6.8055555555556" style="1" customWidth="1"/>
    <col min="7" max="7" width="12.8055555555556" style="1" customWidth="1"/>
    <col min="8" max="8" width="15.8055555555556" style="1" customWidth="1"/>
    <col min="9" max="9" width="15.7222222222222" style="1" customWidth="1"/>
    <col min="10" max="16" width="14.4537037037037" style="1" customWidth="1"/>
    <col min="17" max="17" width="10.4537037037037" style="1" customWidth="1"/>
    <col min="18" max="18" width="9.80555555555556" style="1" customWidth="1"/>
    <col min="20" max="20" width="13.1759259259259" style="1" customWidth="1"/>
  </cols>
  <sheetData>
    <row r="1" ht="14.25" customHeight="1" spans="3:25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25">
      <c r="C2" s="9"/>
      <c r="D2" s="11" t="s">
        <v>26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0"/>
      <c r="S2" s="10"/>
      <c r="T2" s="10"/>
      <c r="U2" s="10"/>
      <c r="V2" s="10"/>
    </row>
    <row r="3" ht="14.25" customHeight="1" spans="3:25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/>
      <c r="S3" s="10"/>
      <c r="T3" s="10"/>
      <c r="U3" s="10"/>
      <c r="V3" s="10"/>
    </row>
    <row r="4" ht="21" customHeight="1" spans="3:25">
      <c r="C4" s="9"/>
      <c r="D4" s="12" t="s">
        <v>27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0"/>
      <c r="S4" s="10"/>
      <c r="T4" s="10"/>
      <c r="U4" s="10"/>
      <c r="V4" s="10"/>
    </row>
    <row r="5" ht="21" customHeight="1" spans="3:25">
      <c r="C5" s="9"/>
      <c r="D5" s="13" t="s">
        <v>28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0"/>
      <c r="S5" s="10"/>
      <c r="T5" s="10"/>
      <c r="U5" s="10"/>
      <c r="V5" s="10"/>
    </row>
    <row r="6" ht="21" customHeight="1" spans="3:25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0"/>
      <c r="S6" s="10"/>
      <c r="T6" s="10"/>
      <c r="U6" s="10"/>
      <c r="V6" s="10"/>
    </row>
    <row r="7" ht="21" customHeight="1" spans="3:25">
      <c r="C7" s="9"/>
      <c r="D7" s="15"/>
      <c r="E7" s="9"/>
      <c r="F7" s="9"/>
      <c r="G7" s="13" t="s">
        <v>30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25">
      <c r="C8" s="9"/>
      <c r="D8" s="16" t="s">
        <v>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0"/>
      <c r="S8" s="10"/>
      <c r="T8" s="10"/>
      <c r="U8" s="10"/>
      <c r="V8" s="10"/>
    </row>
    <row r="9" ht="21" customHeight="1" spans="3:25">
      <c r="C9" s="10"/>
      <c r="D9" s="16" t="s">
        <v>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0"/>
      <c r="S9" s="10"/>
      <c r="T9" s="10"/>
      <c r="U9" s="10"/>
      <c r="V9" s="10"/>
    </row>
    <row r="12" ht="14.25" customHeight="1" spans="3:25">
      <c r="D12" s="18" t="s">
        <v>62</v>
      </c>
      <c r="E12" s="18" t="s">
        <v>63</v>
      </c>
      <c r="F12" s="18" t="s">
        <v>64</v>
      </c>
      <c r="G12" s="18" t="s">
        <v>65</v>
      </c>
      <c r="H12" s="18" t="s">
        <v>66</v>
      </c>
      <c r="I12" s="18" t="s">
        <v>67</v>
      </c>
      <c r="J12" s="18" t="s">
        <v>68</v>
      </c>
      <c r="K12" s="18" t="s">
        <v>69</v>
      </c>
      <c r="L12" s="18" t="s">
        <v>70</v>
      </c>
      <c r="M12" s="18" t="s">
        <v>71</v>
      </c>
      <c r="N12" s="18" t="s">
        <v>72</v>
      </c>
      <c r="O12" s="18" t="s">
        <v>73</v>
      </c>
      <c r="P12" s="18" t="s">
        <v>74</v>
      </c>
      <c r="Q12" s="18" t="s">
        <v>75</v>
      </c>
      <c r="R12" s="18" t="s">
        <v>76</v>
      </c>
      <c r="S12" s="18" t="s">
        <v>47</v>
      </c>
      <c r="T12" s="18" t="s">
        <v>77</v>
      </c>
    </row>
    <row r="13" ht="14.25" customHeight="1" spans="3:25">
      <c r="D13" s="19"/>
      <c r="E13" s="19"/>
      <c r="F13" s="20">
        <v>100</v>
      </c>
      <c r="G13" s="20">
        <v>100</v>
      </c>
      <c r="H13" s="20">
        <v>100</v>
      </c>
      <c r="I13" s="20">
        <v>100</v>
      </c>
      <c r="J13" s="20">
        <v>100</v>
      </c>
      <c r="K13" s="20">
        <v>100</v>
      </c>
      <c r="L13" s="20">
        <v>100</v>
      </c>
      <c r="M13" s="20">
        <v>50</v>
      </c>
      <c r="N13" s="20">
        <v>100</v>
      </c>
      <c r="O13" s="20">
        <v>100</v>
      </c>
      <c r="P13" s="20">
        <v>50</v>
      </c>
      <c r="Q13" s="20">
        <f>P13+O13+N13+M13+L13+K13+J13+I13+H13+G13+F13</f>
        <v>1000</v>
      </c>
      <c r="R13" s="20" t="s">
        <v>78</v>
      </c>
      <c r="S13" s="20">
        <v>20</v>
      </c>
      <c r="T13" s="20" t="s">
        <v>79</v>
      </c>
    </row>
    <row r="14" ht="14.25" customHeight="1" spans="3:25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V14" s="34" t="s">
        <v>80</v>
      </c>
      <c r="W14" s="34"/>
      <c r="X14" s="34"/>
      <c r="Y14" s="34"/>
    </row>
    <row r="15" ht="14.25" customHeight="1" spans="3:25">
      <c r="D15" s="19">
        <f>'SUB-1'!D15</f>
        <v>1</v>
      </c>
      <c r="E15" s="19" t="str">
        <f>'SUB-1'!E15</f>
        <v>BTMC24O1001</v>
      </c>
      <c r="F15" s="19">
        <f>'SUB-1'!L15</f>
        <v>60</v>
      </c>
      <c r="G15" s="19">
        <f>'SUB- 2'!K15</f>
        <v>62</v>
      </c>
      <c r="H15" s="19">
        <f>'SUB-3'!L15</f>
        <v>38</v>
      </c>
      <c r="I15" s="19">
        <f>'SUB-4'!L15</f>
        <v>47</v>
      </c>
      <c r="J15" s="19">
        <f>'SUB-5'!L15</f>
        <v>49</v>
      </c>
      <c r="K15" s="19">
        <f>'SUB-6'!H16</f>
        <v>66</v>
      </c>
      <c r="L15" s="19">
        <f>'SUB-7'!H16</f>
        <v>67</v>
      </c>
      <c r="M15" s="19">
        <f>'SUB-8'!H16</f>
        <v>32</v>
      </c>
      <c r="N15" s="19">
        <f>'SUB-9'!H17</f>
        <v>30</v>
      </c>
      <c r="O15" s="19">
        <f>'SUB-10'!H16</f>
        <v>14</v>
      </c>
      <c r="P15" s="19">
        <f>'SUB- NEC'!G16</f>
        <v>30</v>
      </c>
      <c r="Q15" s="19">
        <f t="shared" ref="Q15:Q78" si="0">SUM(F15:P15)</f>
        <v>495</v>
      </c>
      <c r="R15" s="19">
        <f t="shared" ref="R15:R78" si="1">(Q15/1000)*100</f>
        <v>49.5</v>
      </c>
      <c r="S15" s="19">
        <f>('SUB-1'!M15)+('SUB- 2'!L15)+('SUB-3'!M15)+('SUB-4'!M15)+('SUB-5'!M15)+('SUB-6'!J16)+('SUB-7'!J16)+('SUB-8'!J16)+('SUB-9'!J17)+('SUB-10'!J16)+('SUB- NEC'!J16)</f>
        <v>11</v>
      </c>
      <c r="T15" s="19" t="str">
        <f t="shared" ref="T15:T78" si="2">IF(R15&lt;40,"FAIL","PASS")</f>
        <v>PASS</v>
      </c>
      <c r="V15" s="1">
        <f>COUNTIF(T15:T114,"PASS")</f>
        <v>91</v>
      </c>
    </row>
    <row r="16" ht="14.25" customHeight="1" spans="3:25">
      <c r="D16" s="19">
        <f>'SUB-1'!D16</f>
        <v>2</v>
      </c>
      <c r="E16" s="19" t="str">
        <f>'SUB-1'!E16</f>
        <v>BTMC24O1002</v>
      </c>
      <c r="F16" s="19">
        <f>'SUB-1'!L16</f>
        <v>26</v>
      </c>
      <c r="G16" s="19">
        <f>'SUB- 2'!K16</f>
        <v>56</v>
      </c>
      <c r="H16" s="19">
        <f>'SUB-3'!L16</f>
        <v>39</v>
      </c>
      <c r="I16" s="19">
        <f>'SUB-4'!L16</f>
        <v>14</v>
      </c>
      <c r="J16" s="19">
        <f>'SUB-5'!L16</f>
        <v>55</v>
      </c>
      <c r="K16" s="19">
        <f>'SUB-6'!H17</f>
        <v>30</v>
      </c>
      <c r="L16" s="19">
        <f>'SUB-7'!H17</f>
        <v>77</v>
      </c>
      <c r="M16" s="19">
        <f>'SUB-8'!H17</f>
        <v>48</v>
      </c>
      <c r="N16" s="19">
        <f>'SUB-9'!H18</f>
        <v>42</v>
      </c>
      <c r="O16" s="19">
        <f>'SUB-10'!H17</f>
        <v>73</v>
      </c>
      <c r="P16" s="19">
        <f>'SUB- NEC'!G17</f>
        <v>14</v>
      </c>
      <c r="Q16" s="19">
        <f t="shared" si="0"/>
        <v>474</v>
      </c>
      <c r="R16" s="19">
        <f t="shared" si="1"/>
        <v>47.4</v>
      </c>
      <c r="S16" s="19">
        <f>('SUB-1'!M16)+('SUB- 2'!L16)+('SUB-3'!M16)+('SUB-4'!M16)+('SUB-5'!M16)+('SUB-6'!J17)+('SUB-7'!J17)+('SUB-8'!J17)+('SUB-9'!J18)+('SUB-10'!J17)+('SUB- NEC'!J17)</f>
        <v>9</v>
      </c>
      <c r="T16" s="19" t="str">
        <f t="shared" si="2"/>
        <v>PASS</v>
      </c>
    </row>
    <row r="17" ht="14.25" customHeight="1" spans="4:25">
      <c r="D17" s="19">
        <f>'SUB-1'!D17</f>
        <v>3</v>
      </c>
      <c r="E17" s="19" t="str">
        <f>'SUB-1'!E17</f>
        <v>BTMC24O1003</v>
      </c>
      <c r="F17" s="19">
        <f>'SUB-1'!L17</f>
        <v>44</v>
      </c>
      <c r="G17" s="19">
        <f>'SUB- 2'!K17</f>
        <v>45</v>
      </c>
      <c r="H17" s="19">
        <f>'SUB-3'!L17</f>
        <v>32</v>
      </c>
      <c r="I17" s="19">
        <f>'SUB-4'!L17</f>
        <v>36</v>
      </c>
      <c r="J17" s="19">
        <f>'SUB-5'!L17</f>
        <v>64</v>
      </c>
      <c r="K17" s="19">
        <f>'SUB-6'!H18</f>
        <v>66</v>
      </c>
      <c r="L17" s="19">
        <f>'SUB-7'!H18</f>
        <v>34</v>
      </c>
      <c r="M17" s="19">
        <f>'SUB-8'!H18</f>
        <v>22</v>
      </c>
      <c r="N17" s="19">
        <f>'SUB-9'!H19</f>
        <v>28</v>
      </c>
      <c r="O17" s="19">
        <f>'SUB-10'!H18</f>
        <v>23</v>
      </c>
      <c r="P17" s="19">
        <f>'SUB- NEC'!G18</f>
        <v>37</v>
      </c>
      <c r="Q17" s="19">
        <f t="shared" si="0"/>
        <v>431</v>
      </c>
      <c r="R17" s="19">
        <f t="shared" si="1"/>
        <v>43.1</v>
      </c>
      <c r="S17" s="19">
        <f>('SUB-1'!M17)+('SUB- 2'!L17)+('SUB-3'!M17)+('SUB-4'!M17)+('SUB-5'!M17)+('SUB-6'!J18)+('SUB-7'!J18)+('SUB-8'!J18)+('SUB-9'!J19)+('SUB-10'!J18)+('SUB- NEC'!J18)</f>
        <v>8</v>
      </c>
      <c r="T17" s="19" t="str">
        <f t="shared" si="2"/>
        <v>PASS</v>
      </c>
      <c r="V17" s="34" t="s">
        <v>81</v>
      </c>
      <c r="W17" s="34"/>
      <c r="X17" s="34"/>
      <c r="Y17" s="34"/>
    </row>
    <row r="18" ht="14.25" customHeight="1" spans="4:25">
      <c r="D18" s="19">
        <f>'SUB-1'!D18</f>
        <v>4</v>
      </c>
      <c r="E18" s="19" t="str">
        <f>'SUB-1'!E18</f>
        <v>BTMC24O1004</v>
      </c>
      <c r="F18" s="19">
        <f>'SUB-1'!L18</f>
        <v>57</v>
      </c>
      <c r="G18" s="19">
        <f>'SUB- 2'!K18</f>
        <v>43</v>
      </c>
      <c r="H18" s="19">
        <f>'SUB-3'!L18</f>
        <v>69</v>
      </c>
      <c r="I18" s="19">
        <f>'SUB-4'!L18</f>
        <v>62</v>
      </c>
      <c r="J18" s="19">
        <f>'SUB-5'!L18</f>
        <v>43</v>
      </c>
      <c r="K18" s="19">
        <f>'SUB-6'!H19</f>
        <v>70</v>
      </c>
      <c r="L18" s="19">
        <f>'SUB-7'!H19</f>
        <v>35</v>
      </c>
      <c r="M18" s="19">
        <f>'SUB-8'!H19</f>
        <v>6</v>
      </c>
      <c r="N18" s="19">
        <f>'SUB-9'!H20</f>
        <v>60</v>
      </c>
      <c r="O18" s="19">
        <f>'SUB-10'!H19</f>
        <v>88</v>
      </c>
      <c r="P18" s="19">
        <f>'SUB- NEC'!G19</f>
        <v>48</v>
      </c>
      <c r="Q18" s="19">
        <f t="shared" si="0"/>
        <v>581</v>
      </c>
      <c r="R18" s="19">
        <f t="shared" si="1"/>
        <v>58.1</v>
      </c>
      <c r="S18" s="19">
        <f>('SUB-1'!M18)+('SUB- 2'!L18)+('SUB-3'!M18)+('SUB-4'!M18)+('SUB-5'!M18)+('SUB-6'!J19)+('SUB-7'!J19)+('SUB-8'!J19)+('SUB-9'!J20)+('SUB-10'!J19)+('SUB- NEC'!J19)</f>
        <v>13</v>
      </c>
      <c r="T18" s="19" t="str">
        <f t="shared" si="2"/>
        <v>PASS</v>
      </c>
      <c r="V18" s="1">
        <f>COUNTIF(T15:T114,"FAIL")</f>
        <v>9</v>
      </c>
    </row>
    <row r="19" ht="14.25" customHeight="1" spans="4:25">
      <c r="D19" s="19">
        <f>'SUB-1'!D19</f>
        <v>5</v>
      </c>
      <c r="E19" s="19" t="str">
        <f>'SUB-1'!E19</f>
        <v>BTMC24O1005</v>
      </c>
      <c r="F19" s="19">
        <f>'SUB-1'!L19</f>
        <v>54</v>
      </c>
      <c r="G19" s="19">
        <f>'SUB- 2'!K19</f>
        <v>47</v>
      </c>
      <c r="H19" s="19">
        <f>'SUB-3'!L19</f>
        <v>33</v>
      </c>
      <c r="I19" s="19">
        <f>'SUB-4'!L19</f>
        <v>35</v>
      </c>
      <c r="J19" s="19">
        <f>'SUB-5'!L19</f>
        <v>51</v>
      </c>
      <c r="K19" s="19">
        <f>'SUB-6'!H20</f>
        <v>41</v>
      </c>
      <c r="L19" s="19">
        <f>'SUB-7'!H20</f>
        <v>38</v>
      </c>
      <c r="M19" s="19">
        <f>'SUB-8'!H20</f>
        <v>42</v>
      </c>
      <c r="N19" s="19">
        <f>'SUB-9'!H21</f>
        <v>88</v>
      </c>
      <c r="O19" s="19">
        <f>'SUB-10'!H20</f>
        <v>78</v>
      </c>
      <c r="P19" s="19">
        <f>'SUB- NEC'!G20</f>
        <v>3</v>
      </c>
      <c r="Q19" s="19">
        <f t="shared" si="0"/>
        <v>510</v>
      </c>
      <c r="R19" s="19">
        <f t="shared" si="1"/>
        <v>51</v>
      </c>
      <c r="S19" s="19">
        <f>('SUB-1'!M19)+('SUB- 2'!L19)+('SUB-3'!M19)+('SUB-4'!M19)+('SUB-5'!M19)+('SUB-6'!J20)+('SUB-7'!J20)+('SUB-8'!J20)+('SUB-9'!J21)+('SUB-10'!J20)+('SUB- NEC'!J20)</f>
        <v>10</v>
      </c>
      <c r="T19" s="19" t="str">
        <f t="shared" si="2"/>
        <v>PASS</v>
      </c>
    </row>
    <row r="20" ht="14.25" customHeight="1" spans="4:25">
      <c r="D20" s="19">
        <f>'SUB-1'!D20</f>
        <v>6</v>
      </c>
      <c r="E20" s="19" t="str">
        <f>'SUB-1'!E20</f>
        <v>BTMC24O1006</v>
      </c>
      <c r="F20" s="19">
        <f>'SUB-1'!L20</f>
        <v>42</v>
      </c>
      <c r="G20" s="19">
        <f>'SUB- 2'!K20</f>
        <v>56</v>
      </c>
      <c r="H20" s="19">
        <f>'SUB-3'!L20</f>
        <v>49</v>
      </c>
      <c r="I20" s="19">
        <f>'SUB-4'!L20</f>
        <v>57</v>
      </c>
      <c r="J20" s="19">
        <f>'SUB-5'!L20</f>
        <v>65</v>
      </c>
      <c r="K20" s="19">
        <f>'SUB-6'!H21</f>
        <v>27</v>
      </c>
      <c r="L20" s="19">
        <f>'SUB-7'!H21</f>
        <v>58</v>
      </c>
      <c r="M20" s="19">
        <f>'SUB-8'!H21</f>
        <v>31</v>
      </c>
      <c r="N20" s="19">
        <f>'SUB-9'!H22</f>
        <v>50</v>
      </c>
      <c r="O20" s="19">
        <f>'SUB-10'!H21</f>
        <v>31</v>
      </c>
      <c r="P20" s="19">
        <f>'SUB- NEC'!G21</f>
        <v>49</v>
      </c>
      <c r="Q20" s="19">
        <f t="shared" si="0"/>
        <v>515</v>
      </c>
      <c r="R20" s="19">
        <f t="shared" si="1"/>
        <v>51.5</v>
      </c>
      <c r="S20" s="19">
        <f>('SUB-1'!M20)+('SUB- 2'!L20)+('SUB-3'!M20)+('SUB-4'!M20)+('SUB-5'!M20)+('SUB-6'!J21)+('SUB-7'!J21)+('SUB-8'!J21)+('SUB-9'!J22)+('SUB-10'!J21)+('SUB- NEC'!J21)</f>
        <v>12</v>
      </c>
      <c r="T20" s="19" t="str">
        <f t="shared" si="2"/>
        <v>PASS</v>
      </c>
    </row>
    <row r="21" ht="14.25" customHeight="1" spans="4:25">
      <c r="D21" s="19">
        <f>'SUB-1'!D21</f>
        <v>7</v>
      </c>
      <c r="E21" s="19" t="str">
        <f>'SUB-1'!E21</f>
        <v>BTMC24O1007</v>
      </c>
      <c r="F21" s="19">
        <f>'SUB-1'!L21</f>
        <v>57</v>
      </c>
      <c r="G21" s="19">
        <f>'SUB- 2'!K21</f>
        <v>44</v>
      </c>
      <c r="H21" s="19">
        <f>'SUB-3'!L21</f>
        <v>39</v>
      </c>
      <c r="I21" s="19">
        <f>'SUB-4'!L21</f>
        <v>55</v>
      </c>
      <c r="J21" s="19">
        <f>'SUB-5'!L21</f>
        <v>64</v>
      </c>
      <c r="K21" s="19">
        <f>'SUB-6'!H22</f>
        <v>53</v>
      </c>
      <c r="L21" s="19">
        <f>'SUB-7'!H22</f>
        <v>77</v>
      </c>
      <c r="M21" s="19">
        <f>'SUB-8'!H22</f>
        <v>1</v>
      </c>
      <c r="N21" s="19">
        <f>'SUB-9'!H23</f>
        <v>82</v>
      </c>
      <c r="O21" s="19">
        <f>'SUB-10'!H22</f>
        <v>21</v>
      </c>
      <c r="P21" s="19">
        <f>'SUB- NEC'!G22</f>
        <v>40</v>
      </c>
      <c r="Q21" s="19">
        <f t="shared" si="0"/>
        <v>533</v>
      </c>
      <c r="R21" s="19">
        <f t="shared" si="1"/>
        <v>53.3</v>
      </c>
      <c r="S21" s="19">
        <f>('SUB-1'!M21)+('SUB- 2'!L21)+('SUB-3'!M21)+('SUB-4'!M21)+('SUB-5'!M21)+('SUB-6'!J22)+('SUB-7'!J22)+('SUB-8'!J22)+('SUB-9'!J23)+('SUB-10'!J22)+('SUB- NEC'!J22)</f>
        <v>12</v>
      </c>
      <c r="T21" s="19" t="str">
        <f t="shared" si="2"/>
        <v>PASS</v>
      </c>
    </row>
    <row r="22" ht="14.25" customHeight="1" spans="4:25">
      <c r="D22" s="19">
        <f>'SUB-1'!D22</f>
        <v>8</v>
      </c>
      <c r="E22" s="19" t="str">
        <f>'SUB-1'!E22</f>
        <v>BTMC24O1008</v>
      </c>
      <c r="F22" s="19">
        <f>'SUB-1'!L22</f>
        <v>43</v>
      </c>
      <c r="G22" s="19">
        <f>'SUB- 2'!K22</f>
        <v>40</v>
      </c>
      <c r="H22" s="19">
        <f>'SUB-3'!L22</f>
        <v>51</v>
      </c>
      <c r="I22" s="19">
        <f>'SUB-4'!L22</f>
        <v>39</v>
      </c>
      <c r="J22" s="19">
        <f>'SUB-5'!L22</f>
        <v>46</v>
      </c>
      <c r="K22" s="19">
        <f>'SUB-6'!H23</f>
        <v>11</v>
      </c>
      <c r="L22" s="19">
        <f>'SUB-7'!H23</f>
        <v>24</v>
      </c>
      <c r="M22" s="19">
        <f>'SUB-8'!H23</f>
        <v>28</v>
      </c>
      <c r="N22" s="19">
        <f>'SUB-9'!H24</f>
        <v>52</v>
      </c>
      <c r="O22" s="19">
        <f>'SUB-10'!H23</f>
        <v>45</v>
      </c>
      <c r="P22" s="19">
        <f>'SUB- NEC'!G23</f>
        <v>1</v>
      </c>
      <c r="Q22" s="19">
        <f t="shared" si="0"/>
        <v>380</v>
      </c>
      <c r="R22" s="19">
        <f t="shared" si="1"/>
        <v>38</v>
      </c>
      <c r="S22" s="19">
        <f>('SUB-1'!M22)+('SUB- 2'!L22)+('SUB-3'!M22)+('SUB-4'!M22)+('SUB-5'!M22)+('SUB-6'!J23)+('SUB-7'!J23)+('SUB-8'!J23)+('SUB-9'!J24)+('SUB-10'!J23)+('SUB- NEC'!J23)</f>
        <v>9</v>
      </c>
      <c r="T22" s="19" t="str">
        <f t="shared" si="2"/>
        <v>FAIL</v>
      </c>
    </row>
    <row r="23" ht="14.25" customHeight="1" spans="4:25">
      <c r="D23" s="19">
        <f>'SUB-1'!D23</f>
        <v>9</v>
      </c>
      <c r="E23" s="19" t="str">
        <f>'SUB-1'!E23</f>
        <v>BTMC24O1009</v>
      </c>
      <c r="F23" s="19">
        <f>'SUB-1'!L23</f>
        <v>70</v>
      </c>
      <c r="G23" s="19">
        <f>'SUB- 2'!K23</f>
        <v>57</v>
      </c>
      <c r="H23" s="19">
        <f>'SUB-3'!L23</f>
        <v>51</v>
      </c>
      <c r="I23" s="19">
        <f>'SUB-4'!L23</f>
        <v>63</v>
      </c>
      <c r="J23" s="19">
        <f>'SUB-5'!L23</f>
        <v>27</v>
      </c>
      <c r="K23" s="19">
        <f>'SUB-6'!H24</f>
        <v>72</v>
      </c>
      <c r="L23" s="19">
        <f>'SUB-7'!H24</f>
        <v>32</v>
      </c>
      <c r="M23" s="19">
        <f>'SUB-8'!H24</f>
        <v>19</v>
      </c>
      <c r="N23" s="19">
        <f>'SUB-9'!H25</f>
        <v>74</v>
      </c>
      <c r="O23" s="19">
        <f>'SUB-10'!H24</f>
        <v>44</v>
      </c>
      <c r="P23" s="19">
        <f>'SUB- NEC'!G24</f>
        <v>7</v>
      </c>
      <c r="Q23" s="19">
        <f t="shared" si="0"/>
        <v>516</v>
      </c>
      <c r="R23" s="19">
        <f t="shared" si="1"/>
        <v>51.6</v>
      </c>
      <c r="S23" s="19">
        <f>('SUB-1'!M23)+('SUB- 2'!L23)+('SUB-3'!M23)+('SUB-4'!M23)+('SUB-5'!M23)+('SUB-6'!J24)+('SUB-7'!J24)+('SUB-8'!J24)+('SUB-9'!J25)+('SUB-10'!J24)+('SUB- NEC'!J24)</f>
        <v>12</v>
      </c>
      <c r="T23" s="19" t="str">
        <f t="shared" si="2"/>
        <v>PASS</v>
      </c>
    </row>
    <row r="24" ht="14.25" customHeight="1" spans="4:25">
      <c r="D24" s="19">
        <f>'SUB-1'!D24</f>
        <v>10</v>
      </c>
      <c r="E24" s="19" t="str">
        <f>'SUB-1'!E24</f>
        <v>BTMC24O1010</v>
      </c>
      <c r="F24" s="19">
        <f>'SUB-1'!L24</f>
        <v>53</v>
      </c>
      <c r="G24" s="19">
        <f>'SUB- 2'!K24</f>
        <v>47</v>
      </c>
      <c r="H24" s="19">
        <f>'SUB-3'!L24</f>
        <v>36</v>
      </c>
      <c r="I24" s="19">
        <f>'SUB-4'!L24</f>
        <v>29</v>
      </c>
      <c r="J24" s="19">
        <f>'SUB-5'!L24</f>
        <v>51</v>
      </c>
      <c r="K24" s="19">
        <f>'SUB-6'!H25</f>
        <v>60</v>
      </c>
      <c r="L24" s="19">
        <f>'SUB-7'!H25</f>
        <v>92</v>
      </c>
      <c r="M24" s="19">
        <f>'SUB-8'!H25</f>
        <v>23</v>
      </c>
      <c r="N24" s="19">
        <f>'SUB-9'!H26</f>
        <v>24</v>
      </c>
      <c r="O24" s="19">
        <f>'SUB-10'!H25</f>
        <v>70</v>
      </c>
      <c r="P24" s="19">
        <f>'SUB- NEC'!G25</f>
        <v>7</v>
      </c>
      <c r="Q24" s="19">
        <f t="shared" si="0"/>
        <v>492</v>
      </c>
      <c r="R24" s="19">
        <f t="shared" si="1"/>
        <v>49.2</v>
      </c>
      <c r="S24" s="19">
        <f>('SUB-1'!M24)+('SUB- 2'!L24)+('SUB-3'!M24)+('SUB-4'!M24)+('SUB-5'!M24)+('SUB-6'!J25)+('SUB-7'!J25)+('SUB-8'!J25)+('SUB-9'!J26)+('SUB-10'!J25)+('SUB- NEC'!J25)</f>
        <v>10</v>
      </c>
      <c r="T24" s="19" t="str">
        <f t="shared" si="2"/>
        <v>PASS</v>
      </c>
    </row>
    <row r="25" ht="14.25" customHeight="1" spans="4:25">
      <c r="D25" s="19">
        <f>'SUB-1'!D25</f>
        <v>11</v>
      </c>
      <c r="E25" s="19" t="str">
        <f>'SUB-1'!E25</f>
        <v>BTMC24O1011</v>
      </c>
      <c r="F25" s="19">
        <f>'SUB-1'!L25</f>
        <v>33</v>
      </c>
      <c r="G25" s="19">
        <f>'SUB- 2'!K25</f>
        <v>46</v>
      </c>
      <c r="H25" s="19">
        <f>'SUB-3'!L25</f>
        <v>65</v>
      </c>
      <c r="I25" s="19">
        <f>'SUB-4'!L25</f>
        <v>35</v>
      </c>
      <c r="J25" s="19">
        <f>'SUB-5'!L25</f>
        <v>67</v>
      </c>
      <c r="K25" s="19">
        <f>'SUB-6'!H26</f>
        <v>14</v>
      </c>
      <c r="L25" s="19">
        <f>'SUB-7'!H26</f>
        <v>85</v>
      </c>
      <c r="M25" s="19">
        <f>'SUB-8'!H26</f>
        <v>34</v>
      </c>
      <c r="N25" s="19">
        <f>'SUB-9'!H27</f>
        <v>20</v>
      </c>
      <c r="O25" s="19">
        <f>'SUB-10'!H26</f>
        <v>22</v>
      </c>
      <c r="P25" s="19">
        <f>'SUB- NEC'!G26</f>
        <v>46</v>
      </c>
      <c r="Q25" s="19">
        <f t="shared" si="0"/>
        <v>467</v>
      </c>
      <c r="R25" s="19">
        <f t="shared" si="1"/>
        <v>46.7</v>
      </c>
      <c r="S25" s="19">
        <f>('SUB-1'!M25)+('SUB- 2'!L25)+('SUB-3'!M25)+('SUB-4'!M25)+('SUB-5'!M25)+('SUB-6'!J26)+('SUB-7'!J26)+('SUB-8'!J26)+('SUB-9'!J27)+('SUB-10'!J26)+('SUB- NEC'!J26)</f>
        <v>8</v>
      </c>
      <c r="T25" s="19" t="str">
        <f t="shared" si="2"/>
        <v>PASS</v>
      </c>
    </row>
    <row r="26" ht="14.25" customHeight="1" spans="4:25">
      <c r="D26" s="19">
        <f>'SUB-1'!D26</f>
        <v>12</v>
      </c>
      <c r="E26" s="19" t="str">
        <f>'SUB-1'!E26</f>
        <v>BTMC24O1012</v>
      </c>
      <c r="F26" s="19">
        <f>'SUB-1'!L26</f>
        <v>27</v>
      </c>
      <c r="G26" s="19">
        <f>'SUB- 2'!K26</f>
        <v>36</v>
      </c>
      <c r="H26" s="19">
        <f>'SUB-3'!L26</f>
        <v>37</v>
      </c>
      <c r="I26" s="19">
        <f>'SUB-4'!L26</f>
        <v>41</v>
      </c>
      <c r="J26" s="19">
        <f>'SUB-5'!L26</f>
        <v>44</v>
      </c>
      <c r="K26" s="19">
        <f>'SUB-6'!H27</f>
        <v>51</v>
      </c>
      <c r="L26" s="19">
        <f>'SUB-7'!H27</f>
        <v>2</v>
      </c>
      <c r="M26" s="19">
        <f>'SUB-8'!H27</f>
        <v>1</v>
      </c>
      <c r="N26" s="19">
        <f>'SUB-9'!H28</f>
        <v>82</v>
      </c>
      <c r="O26" s="19">
        <f>'SUB-10'!H27</f>
        <v>34</v>
      </c>
      <c r="P26" s="19">
        <f>'SUB- NEC'!G27</f>
        <v>19</v>
      </c>
      <c r="Q26" s="19">
        <f t="shared" si="0"/>
        <v>374</v>
      </c>
      <c r="R26" s="19">
        <f t="shared" si="1"/>
        <v>37.4</v>
      </c>
      <c r="S26" s="19">
        <f>('SUB-1'!M26)+('SUB- 2'!L26)+('SUB-3'!M26)+('SUB-4'!M26)+('SUB-5'!M26)+('SUB-6'!J27)+('SUB-7'!J27)+('SUB-8'!J27)+('SUB-9'!J28)+('SUB-10'!J27)+('SUB- NEC'!J27)</f>
        <v>7</v>
      </c>
      <c r="T26" s="19" t="str">
        <f t="shared" si="2"/>
        <v>FAIL</v>
      </c>
    </row>
    <row r="27" ht="14.25" customHeight="1" spans="4:25">
      <c r="D27" s="19">
        <f>'SUB-1'!D27</f>
        <v>13</v>
      </c>
      <c r="E27" s="19" t="str">
        <f>'SUB-1'!E27</f>
        <v>BTMC24O1013</v>
      </c>
      <c r="F27" s="19">
        <f>'SUB-1'!L27</f>
        <v>40</v>
      </c>
      <c r="G27" s="19">
        <f>'SUB- 2'!K27</f>
        <v>45</v>
      </c>
      <c r="H27" s="19">
        <f>'SUB-3'!L27</f>
        <v>58</v>
      </c>
      <c r="I27" s="19">
        <f>'SUB-4'!L27</f>
        <v>67</v>
      </c>
      <c r="J27" s="19">
        <f>'SUB-5'!L27</f>
        <v>59</v>
      </c>
      <c r="K27" s="19">
        <f>'SUB-6'!H28</f>
        <v>76</v>
      </c>
      <c r="L27" s="19">
        <f>'SUB-7'!H28</f>
        <v>42</v>
      </c>
      <c r="M27" s="19">
        <f>'SUB-8'!H28</f>
        <v>12</v>
      </c>
      <c r="N27" s="19">
        <f>'SUB-9'!H29</f>
        <v>63</v>
      </c>
      <c r="O27" s="19">
        <f>'SUB-10'!H28</f>
        <v>38</v>
      </c>
      <c r="P27" s="19">
        <f>'SUB- NEC'!G28</f>
        <v>6</v>
      </c>
      <c r="Q27" s="19">
        <f t="shared" si="0"/>
        <v>506</v>
      </c>
      <c r="R27" s="19">
        <f t="shared" si="1"/>
        <v>50.6</v>
      </c>
      <c r="S27" s="19">
        <f>('SUB-1'!M27)+('SUB- 2'!L27)+('SUB-3'!M27)+('SUB-4'!M27)+('SUB-5'!M27)+('SUB-6'!J28)+('SUB-7'!J28)+('SUB-8'!J28)+('SUB-9'!J29)+('SUB-10'!J28)+('SUB- NEC'!J28)</f>
        <v>12</v>
      </c>
      <c r="T27" s="19" t="str">
        <f t="shared" si="2"/>
        <v>PASS</v>
      </c>
    </row>
    <row r="28" ht="14.25" customHeight="1" spans="4:25">
      <c r="D28" s="19">
        <f>'SUB-1'!D28</f>
        <v>14</v>
      </c>
      <c r="E28" s="19" t="str">
        <f>'SUB-1'!E28</f>
        <v>BTMC24O1014</v>
      </c>
      <c r="F28" s="19">
        <f>'SUB-1'!L28</f>
        <v>48</v>
      </c>
      <c r="G28" s="19">
        <f>'SUB- 2'!K28</f>
        <v>44</v>
      </c>
      <c r="H28" s="19">
        <f>'SUB-3'!L28</f>
        <v>71</v>
      </c>
      <c r="I28" s="19">
        <f>'SUB-4'!L28</f>
        <v>73</v>
      </c>
      <c r="J28" s="19">
        <f>'SUB-5'!L28</f>
        <v>34</v>
      </c>
      <c r="K28" s="19">
        <f>'SUB-6'!H29</f>
        <v>25</v>
      </c>
      <c r="L28" s="19">
        <f>'SUB-7'!H29</f>
        <v>6</v>
      </c>
      <c r="M28" s="19">
        <f>'SUB-8'!H29</f>
        <v>34</v>
      </c>
      <c r="N28" s="19">
        <f>'SUB-9'!H30</f>
        <v>50</v>
      </c>
      <c r="O28" s="19">
        <f>'SUB-10'!H29</f>
        <v>40</v>
      </c>
      <c r="P28" s="19">
        <f>'SUB- NEC'!G29</f>
        <v>10</v>
      </c>
      <c r="Q28" s="19">
        <f t="shared" si="0"/>
        <v>435</v>
      </c>
      <c r="R28" s="19">
        <f t="shared" si="1"/>
        <v>43.5</v>
      </c>
      <c r="S28" s="19">
        <f>('SUB-1'!M28)+('SUB- 2'!L28)+('SUB-3'!M28)+('SUB-4'!M28)+('SUB-5'!M28)+('SUB-6'!J29)+('SUB-7'!J29)+('SUB-8'!J29)+('SUB-9'!J30)+('SUB-10'!J29)+('SUB- NEC'!J29)</f>
        <v>9</v>
      </c>
      <c r="T28" s="19" t="str">
        <f t="shared" si="2"/>
        <v>PASS</v>
      </c>
    </row>
    <row r="29" ht="14.25" customHeight="1" spans="4:25">
      <c r="D29" s="19">
        <f>'SUB-1'!D29</f>
        <v>15</v>
      </c>
      <c r="E29" s="19" t="str">
        <f>'SUB-1'!E29</f>
        <v>BTMC24O1015</v>
      </c>
      <c r="F29" s="19">
        <f>'SUB-1'!L29</f>
        <v>33</v>
      </c>
      <c r="G29" s="19">
        <f>'SUB- 2'!K29</f>
        <v>72</v>
      </c>
      <c r="H29" s="19">
        <f>'SUB-3'!L29</f>
        <v>36</v>
      </c>
      <c r="I29" s="19">
        <f>'SUB-4'!L29</f>
        <v>36</v>
      </c>
      <c r="J29" s="19">
        <f>'SUB-5'!L29</f>
        <v>50</v>
      </c>
      <c r="K29" s="19">
        <f>'SUB-6'!H30</f>
        <v>64</v>
      </c>
      <c r="L29" s="19">
        <f>'SUB-7'!H30</f>
        <v>84</v>
      </c>
      <c r="M29" s="19">
        <f>'SUB-8'!H30</f>
        <v>24</v>
      </c>
      <c r="N29" s="19">
        <f>'SUB-9'!H31</f>
        <v>58</v>
      </c>
      <c r="O29" s="19">
        <f>'SUB-10'!H30</f>
        <v>47</v>
      </c>
      <c r="P29" s="19">
        <f>'SUB- NEC'!G30</f>
        <v>47</v>
      </c>
      <c r="Q29" s="19">
        <f t="shared" si="0"/>
        <v>551</v>
      </c>
      <c r="R29" s="19">
        <f t="shared" si="1"/>
        <v>55.1</v>
      </c>
      <c r="S29" s="19">
        <f>('SUB-1'!M29)+('SUB- 2'!L29)+('SUB-3'!M29)+('SUB-4'!M29)+('SUB-5'!M29)+('SUB-6'!J30)+('SUB-7'!J30)+('SUB-8'!J30)+('SUB-9'!J31)+('SUB-10'!J30)+('SUB- NEC'!J30)</f>
        <v>11</v>
      </c>
      <c r="T29" s="19" t="str">
        <f t="shared" si="2"/>
        <v>PASS</v>
      </c>
    </row>
    <row r="30" ht="14.25" customHeight="1" spans="4:25">
      <c r="D30" s="19">
        <f>'SUB-1'!D30</f>
        <v>16</v>
      </c>
      <c r="E30" s="19" t="str">
        <f>'SUB-1'!E30</f>
        <v>BTMC24O1016</v>
      </c>
      <c r="F30" s="19">
        <f>'SUB-1'!L30</f>
        <v>37</v>
      </c>
      <c r="G30" s="19">
        <f>'SUB- 2'!K30</f>
        <v>63</v>
      </c>
      <c r="H30" s="19">
        <f>'SUB-3'!L30</f>
        <v>59</v>
      </c>
      <c r="I30" s="19">
        <f>'SUB-4'!L30</f>
        <v>52</v>
      </c>
      <c r="J30" s="19">
        <f>'SUB-5'!L30</f>
        <v>63</v>
      </c>
      <c r="K30" s="19">
        <f>'SUB-6'!H31</f>
        <v>77</v>
      </c>
      <c r="L30" s="19">
        <f>'SUB-7'!H31</f>
        <v>57</v>
      </c>
      <c r="M30" s="19">
        <f>'SUB-8'!H31</f>
        <v>33</v>
      </c>
      <c r="N30" s="19">
        <f>'SUB-9'!H32</f>
        <v>93</v>
      </c>
      <c r="O30" s="19">
        <f>'SUB-10'!H31</f>
        <v>79</v>
      </c>
      <c r="P30" s="19">
        <f>'SUB- NEC'!G31</f>
        <v>38</v>
      </c>
      <c r="Q30" s="19">
        <f t="shared" si="0"/>
        <v>651</v>
      </c>
      <c r="R30" s="19">
        <f t="shared" si="1"/>
        <v>65.1</v>
      </c>
      <c r="S30" s="19">
        <f>('SUB-1'!M30)+('SUB- 2'!L30)+('SUB-3'!M30)+('SUB-4'!M30)+('SUB-5'!M30)+('SUB-6'!J31)+('SUB-7'!J31)+('SUB-8'!J31)+('SUB-9'!J32)+('SUB-10'!J31)+('SUB- NEC'!J31)</f>
        <v>15</v>
      </c>
      <c r="T30" s="19" t="str">
        <f t="shared" si="2"/>
        <v>PASS</v>
      </c>
    </row>
    <row r="31" ht="14.25" customHeight="1" spans="4:25">
      <c r="D31" s="19">
        <f>'SUB-1'!D31</f>
        <v>17</v>
      </c>
      <c r="E31" s="19" t="str">
        <f>'SUB-1'!E31</f>
        <v>BTMC24O1017</v>
      </c>
      <c r="F31" s="19">
        <f>'SUB-1'!L31</f>
        <v>71</v>
      </c>
      <c r="G31" s="19">
        <f>'SUB- 2'!K31</f>
        <v>55</v>
      </c>
      <c r="H31" s="19">
        <f>'SUB-3'!L31</f>
        <v>48</v>
      </c>
      <c r="I31" s="19">
        <f>'SUB-4'!L31</f>
        <v>59</v>
      </c>
      <c r="J31" s="19">
        <f>'SUB-5'!L31</f>
        <v>28</v>
      </c>
      <c r="K31" s="19">
        <f>'SUB-6'!H32</f>
        <v>84</v>
      </c>
      <c r="L31" s="19">
        <f>'SUB-7'!H32</f>
        <v>74</v>
      </c>
      <c r="M31" s="19">
        <f>'SUB-8'!H32</f>
        <v>30</v>
      </c>
      <c r="N31" s="19">
        <f>'SUB-9'!H33</f>
        <v>47</v>
      </c>
      <c r="O31" s="19">
        <f>'SUB-10'!H32</f>
        <v>21</v>
      </c>
      <c r="P31" s="19">
        <f>'SUB- NEC'!G32</f>
        <v>14</v>
      </c>
      <c r="Q31" s="19">
        <f t="shared" si="0"/>
        <v>531</v>
      </c>
      <c r="R31" s="19">
        <f t="shared" si="1"/>
        <v>53.1</v>
      </c>
      <c r="S31" s="19">
        <f>('SUB-1'!M31)+('SUB- 2'!L31)+('SUB-3'!M31)+('SUB-4'!M31)+('SUB-5'!M31)+('SUB-6'!J32)+('SUB-7'!J32)+('SUB-8'!J32)+('SUB-9'!J33)+('SUB-10'!J32)+('SUB- NEC'!J32)</f>
        <v>11</v>
      </c>
      <c r="T31" s="19" t="str">
        <f t="shared" si="2"/>
        <v>PASS</v>
      </c>
    </row>
    <row r="32" ht="14.25" customHeight="1" spans="4:25">
      <c r="D32" s="19">
        <f>'SUB-1'!D32</f>
        <v>18</v>
      </c>
      <c r="E32" s="19" t="str">
        <f>'SUB-1'!E32</f>
        <v>BTMC24O1018</v>
      </c>
      <c r="F32" s="19">
        <f>'SUB-1'!L32</f>
        <v>44</v>
      </c>
      <c r="G32" s="19">
        <f>'SUB- 2'!K32</f>
        <v>18</v>
      </c>
      <c r="H32" s="19">
        <f>'SUB-3'!L32</f>
        <v>38</v>
      </c>
      <c r="I32" s="19">
        <f>'SUB-4'!L32</f>
        <v>30</v>
      </c>
      <c r="J32" s="19">
        <f>'SUB-5'!L32</f>
        <v>43</v>
      </c>
      <c r="K32" s="19">
        <f>'SUB-6'!H33</f>
        <v>32</v>
      </c>
      <c r="L32" s="19">
        <f>'SUB-7'!H33</f>
        <v>77</v>
      </c>
      <c r="M32" s="19">
        <f>'SUB-8'!H33</f>
        <v>13</v>
      </c>
      <c r="N32" s="19">
        <f>'SUB-9'!H34</f>
        <v>17</v>
      </c>
      <c r="O32" s="19">
        <f>'SUB-10'!H33</f>
        <v>67</v>
      </c>
      <c r="P32" s="19">
        <f>'SUB- NEC'!G33</f>
        <v>30</v>
      </c>
      <c r="Q32" s="19">
        <f t="shared" si="0"/>
        <v>409</v>
      </c>
      <c r="R32" s="19">
        <f t="shared" si="1"/>
        <v>40.9</v>
      </c>
      <c r="S32" s="19">
        <f>('SUB-1'!M32)+('SUB- 2'!L32)+('SUB-3'!M32)+('SUB-4'!M32)+('SUB-5'!M32)+('SUB-6'!J33)+('SUB-7'!J33)+('SUB-8'!J33)+('SUB-9'!J34)+('SUB-10'!J33)+('SUB- NEC'!J33)</f>
        <v>6</v>
      </c>
      <c r="T32" s="19" t="str">
        <f t="shared" si="2"/>
        <v>PASS</v>
      </c>
    </row>
    <row r="33" ht="14.25" customHeight="1" spans="4:20">
      <c r="D33" s="19">
        <f>'SUB-1'!D33</f>
        <v>19</v>
      </c>
      <c r="E33" s="19" t="str">
        <f>'SUB-1'!E33</f>
        <v>BTMC24O1019</v>
      </c>
      <c r="F33" s="19">
        <f>'SUB-1'!L33</f>
        <v>42</v>
      </c>
      <c r="G33" s="19">
        <f>'SUB- 2'!K33</f>
        <v>53</v>
      </c>
      <c r="H33" s="19">
        <f>'SUB-3'!L33</f>
        <v>36</v>
      </c>
      <c r="I33" s="19">
        <f>'SUB-4'!L33</f>
        <v>59</v>
      </c>
      <c r="J33" s="19">
        <f>'SUB-5'!L33</f>
        <v>86</v>
      </c>
      <c r="K33" s="19">
        <f>'SUB-6'!H34</f>
        <v>92</v>
      </c>
      <c r="L33" s="19">
        <f>'SUB-7'!H34</f>
        <v>15</v>
      </c>
      <c r="M33" s="19">
        <f>'SUB-8'!H34</f>
        <v>25</v>
      </c>
      <c r="N33" s="19">
        <f>'SUB-9'!H35</f>
        <v>22</v>
      </c>
      <c r="O33" s="19">
        <f>'SUB-10'!H34</f>
        <v>30</v>
      </c>
      <c r="P33" s="19">
        <f>'SUB- NEC'!G34</f>
        <v>37</v>
      </c>
      <c r="Q33" s="19">
        <f t="shared" si="0"/>
        <v>497</v>
      </c>
      <c r="R33" s="19">
        <f t="shared" si="1"/>
        <v>49.7</v>
      </c>
      <c r="S33" s="19">
        <f>('SUB-1'!M33)+('SUB- 2'!L33)+('SUB-3'!M33)+('SUB-4'!M33)+('SUB-5'!M33)+('SUB-6'!J34)+('SUB-7'!J34)+('SUB-8'!J34)+('SUB-9'!J35)+('SUB-10'!J34)+('SUB- NEC'!J34)</f>
        <v>12</v>
      </c>
      <c r="T33" s="19" t="str">
        <f t="shared" si="2"/>
        <v>PASS</v>
      </c>
    </row>
    <row r="34" ht="14.25" customHeight="1" spans="4:20">
      <c r="D34" s="19">
        <f>'SUB-1'!D34</f>
        <v>20</v>
      </c>
      <c r="E34" s="19" t="str">
        <f>'SUB-1'!E34</f>
        <v>BTMC24O1020</v>
      </c>
      <c r="F34" s="19">
        <f>'SUB-1'!L34</f>
        <v>46</v>
      </c>
      <c r="G34" s="19">
        <f>'SUB- 2'!K34</f>
        <v>64</v>
      </c>
      <c r="H34" s="19">
        <f>'SUB-3'!L34</f>
        <v>57</v>
      </c>
      <c r="I34" s="19">
        <f>'SUB-4'!L34</f>
        <v>57</v>
      </c>
      <c r="J34" s="19">
        <f>'SUB-5'!L34</f>
        <v>62</v>
      </c>
      <c r="K34" s="19">
        <f>'SUB-6'!H35</f>
        <v>21</v>
      </c>
      <c r="L34" s="19">
        <f>'SUB-7'!H35</f>
        <v>25</v>
      </c>
      <c r="M34" s="19">
        <f>'SUB-8'!H35</f>
        <v>47</v>
      </c>
      <c r="N34" s="19">
        <f>'SUB-9'!H36</f>
        <v>64</v>
      </c>
      <c r="O34" s="19">
        <f>'SUB-10'!H35</f>
        <v>66</v>
      </c>
      <c r="P34" s="19">
        <f>'SUB- NEC'!G35</f>
        <v>36</v>
      </c>
      <c r="Q34" s="19">
        <f t="shared" si="0"/>
        <v>545</v>
      </c>
      <c r="R34" s="19">
        <f t="shared" si="1"/>
        <v>54.5</v>
      </c>
      <c r="S34" s="19">
        <f>('SUB-1'!M34)+('SUB- 2'!L34)+('SUB-3'!M34)+('SUB-4'!M34)+('SUB-5'!M34)+('SUB-6'!J35)+('SUB-7'!J35)+('SUB-8'!J35)+('SUB-9'!J36)+('SUB-10'!J35)+('SUB- NEC'!J35)</f>
        <v>13</v>
      </c>
      <c r="T34" s="19" t="str">
        <f t="shared" si="2"/>
        <v>PASS</v>
      </c>
    </row>
    <row r="35" ht="14.25" customHeight="1" spans="4:20">
      <c r="D35" s="19">
        <f>'SUB-1'!D35</f>
        <v>21</v>
      </c>
      <c r="E35" s="19" t="str">
        <f>'SUB-1'!E35</f>
        <v>BTMC24O1021</v>
      </c>
      <c r="F35" s="19">
        <f>'SUB-1'!L35</f>
        <v>67</v>
      </c>
      <c r="G35" s="19">
        <f>'SUB- 2'!K35</f>
        <v>77</v>
      </c>
      <c r="H35" s="19">
        <f>'SUB-3'!L35</f>
        <v>96</v>
      </c>
      <c r="I35" s="19">
        <f>'SUB-4'!L35</f>
        <v>81</v>
      </c>
      <c r="J35" s="19">
        <f>'SUB-5'!L35</f>
        <v>80</v>
      </c>
      <c r="K35" s="19">
        <f>'SUB-6'!H36</f>
        <v>90</v>
      </c>
      <c r="L35" s="19">
        <f>'SUB-7'!H36</f>
        <v>90</v>
      </c>
      <c r="M35" s="19">
        <f>'SUB-8'!H36</f>
        <v>30</v>
      </c>
      <c r="N35" s="19">
        <f>'SUB-9'!H37</f>
        <v>73</v>
      </c>
      <c r="O35" s="19">
        <f>'SUB-10'!H36</f>
        <v>97</v>
      </c>
      <c r="P35" s="19">
        <f>'SUB- NEC'!G36</f>
        <v>46</v>
      </c>
      <c r="Q35" s="19">
        <f t="shared" si="0"/>
        <v>827</v>
      </c>
      <c r="R35" s="19">
        <f t="shared" si="1"/>
        <v>82.7</v>
      </c>
      <c r="S35" s="19">
        <f>('SUB-1'!M35)+('SUB- 2'!L35)+('SUB-3'!M35)+('SUB-4'!M35)+('SUB-5'!M35)+('SUB-6'!J36)+('SUB-7'!J36)+('SUB-8'!J36)+('SUB-9'!J37)+('SUB-10'!J36)+('SUB- NEC'!J36)</f>
        <v>19</v>
      </c>
      <c r="T35" s="19" t="str">
        <f t="shared" si="2"/>
        <v>PASS</v>
      </c>
    </row>
    <row r="36" ht="14.25" customHeight="1" spans="4:20">
      <c r="D36" s="19">
        <f>'SUB-1'!D36</f>
        <v>22</v>
      </c>
      <c r="E36" s="19" t="str">
        <f>'SUB-1'!E36</f>
        <v>BTMC24O1022</v>
      </c>
      <c r="F36" s="19">
        <f>'SUB-1'!L36</f>
        <v>32</v>
      </c>
      <c r="G36" s="19">
        <f>'SUB- 2'!K36</f>
        <v>48</v>
      </c>
      <c r="H36" s="19">
        <f>'SUB-3'!L36</f>
        <v>47</v>
      </c>
      <c r="I36" s="19">
        <f>'SUB-4'!L36</f>
        <v>69</v>
      </c>
      <c r="J36" s="19">
        <f>'SUB-5'!L36</f>
        <v>44</v>
      </c>
      <c r="K36" s="19">
        <f>'SUB-6'!H37</f>
        <v>56</v>
      </c>
      <c r="L36" s="19">
        <f>'SUB-7'!H37</f>
        <v>87</v>
      </c>
      <c r="M36" s="19">
        <f>'SUB-8'!H37</f>
        <v>27</v>
      </c>
      <c r="N36" s="19">
        <f>'SUB-9'!H38</f>
        <v>64</v>
      </c>
      <c r="O36" s="19">
        <f>'SUB-10'!H37</f>
        <v>44</v>
      </c>
      <c r="P36" s="19">
        <f>'SUB- NEC'!G37</f>
        <v>19</v>
      </c>
      <c r="Q36" s="19">
        <f t="shared" si="0"/>
        <v>537</v>
      </c>
      <c r="R36" s="19">
        <f t="shared" si="1"/>
        <v>53.7</v>
      </c>
      <c r="S36" s="19">
        <f>('SUB-1'!M36)+('SUB- 2'!L36)+('SUB-3'!M36)+('SUB-4'!M36)+('SUB-5'!M36)+('SUB-6'!J37)+('SUB-7'!J37)+('SUB-8'!J37)+('SUB-9'!J38)+('SUB-10'!J37)+('SUB- NEC'!J37)</f>
        <v>11</v>
      </c>
      <c r="T36" s="19" t="str">
        <f t="shared" si="2"/>
        <v>PASS</v>
      </c>
    </row>
    <row r="37" ht="14.25" customHeight="1" spans="4:20">
      <c r="D37" s="19">
        <f>'SUB-1'!D37</f>
        <v>23</v>
      </c>
      <c r="E37" s="19" t="str">
        <f>'SUB-1'!E37</f>
        <v>BTMC24O1023</v>
      </c>
      <c r="F37" s="19">
        <f>'SUB-1'!L37</f>
        <v>47</v>
      </c>
      <c r="G37" s="19">
        <f>'SUB- 2'!K37</f>
        <v>77</v>
      </c>
      <c r="H37" s="19">
        <f>'SUB-3'!L37</f>
        <v>63</v>
      </c>
      <c r="I37" s="19">
        <f>'SUB-4'!L37</f>
        <v>75</v>
      </c>
      <c r="J37" s="19">
        <f>'SUB-5'!L37</f>
        <v>45</v>
      </c>
      <c r="K37" s="19">
        <f>'SUB-6'!H38</f>
        <v>54</v>
      </c>
      <c r="L37" s="19">
        <f>'SUB-7'!H38</f>
        <v>72</v>
      </c>
      <c r="M37" s="19">
        <f>'SUB-8'!H38</f>
        <v>37</v>
      </c>
      <c r="N37" s="19">
        <f>'SUB-9'!H39</f>
        <v>24</v>
      </c>
      <c r="O37" s="19">
        <f>'SUB-10'!H38</f>
        <v>25</v>
      </c>
      <c r="P37" s="19">
        <f>'SUB- NEC'!G38</f>
        <v>13</v>
      </c>
      <c r="Q37" s="19">
        <f t="shared" si="0"/>
        <v>532</v>
      </c>
      <c r="R37" s="19">
        <f t="shared" si="1"/>
        <v>53.2</v>
      </c>
      <c r="S37" s="19">
        <f>('SUB-1'!M37)+('SUB- 2'!L37)+('SUB-3'!M37)+('SUB-4'!M37)+('SUB-5'!M37)+('SUB-6'!J38)+('SUB-7'!J38)+('SUB-8'!J38)+('SUB-9'!J39)+('SUB-10'!J38)+('SUB- NEC'!J38)</f>
        <v>11</v>
      </c>
      <c r="T37" s="19" t="str">
        <f t="shared" si="2"/>
        <v>PASS</v>
      </c>
    </row>
    <row r="38" ht="14.25" customHeight="1" spans="4:20">
      <c r="D38" s="19">
        <f>'SUB-1'!D38</f>
        <v>24</v>
      </c>
      <c r="E38" s="19" t="str">
        <f>'SUB-1'!E38</f>
        <v>BTMC24O1024</v>
      </c>
      <c r="F38" s="19">
        <f>'SUB-1'!L38</f>
        <v>41</v>
      </c>
      <c r="G38" s="19">
        <f>'SUB- 2'!K38</f>
        <v>27</v>
      </c>
      <c r="H38" s="19">
        <f>'SUB-3'!L38</f>
        <v>49</v>
      </c>
      <c r="I38" s="19">
        <f>'SUB-4'!L38</f>
        <v>29</v>
      </c>
      <c r="J38" s="19">
        <f>'SUB-5'!L38</f>
        <v>55</v>
      </c>
      <c r="K38" s="19">
        <f>'SUB-6'!H39</f>
        <v>73</v>
      </c>
      <c r="L38" s="19">
        <f>'SUB-7'!H39</f>
        <v>55</v>
      </c>
      <c r="M38" s="19">
        <f>'SUB-8'!H39</f>
        <v>18</v>
      </c>
      <c r="N38" s="19">
        <f>'SUB-9'!H40</f>
        <v>58</v>
      </c>
      <c r="O38" s="19">
        <f>'SUB-10'!H39</f>
        <v>97</v>
      </c>
      <c r="P38" s="19">
        <f>'SUB- NEC'!G39</f>
        <v>9</v>
      </c>
      <c r="Q38" s="19">
        <f t="shared" si="0"/>
        <v>511</v>
      </c>
      <c r="R38" s="19">
        <f t="shared" si="1"/>
        <v>51.1</v>
      </c>
      <c r="S38" s="19">
        <f>('SUB-1'!M38)+('SUB- 2'!L38)+('SUB-3'!M38)+('SUB-4'!M38)+('SUB-5'!M38)+('SUB-6'!J39)+('SUB-7'!J39)+('SUB-8'!J39)+('SUB-9'!J40)+('SUB-10'!J39)+('SUB- NEC'!J39)</f>
        <v>9</v>
      </c>
      <c r="T38" s="19" t="str">
        <f t="shared" si="2"/>
        <v>PASS</v>
      </c>
    </row>
    <row r="39" ht="14.25" customHeight="1" spans="4:20">
      <c r="D39" s="19">
        <f>'SUB-1'!D39</f>
        <v>25</v>
      </c>
      <c r="E39" s="19" t="str">
        <f>'SUB-1'!E39</f>
        <v>BTMC24O1025</v>
      </c>
      <c r="F39" s="19">
        <f>'SUB-1'!L39</f>
        <v>43</v>
      </c>
      <c r="G39" s="19">
        <f>'SUB- 2'!K39</f>
        <v>49</v>
      </c>
      <c r="H39" s="19">
        <f>'SUB-3'!L39</f>
        <v>38</v>
      </c>
      <c r="I39" s="19">
        <f>'SUB-4'!L39</f>
        <v>63</v>
      </c>
      <c r="J39" s="19">
        <f>'SUB-5'!L39</f>
        <v>65</v>
      </c>
      <c r="K39" s="19">
        <f>'SUB-6'!H40</f>
        <v>40</v>
      </c>
      <c r="L39" s="19">
        <f>'SUB-7'!H40</f>
        <v>83</v>
      </c>
      <c r="M39" s="19">
        <f>'SUB-8'!H40</f>
        <v>43</v>
      </c>
      <c r="N39" s="19">
        <f>'SUB-9'!H41</f>
        <v>52</v>
      </c>
      <c r="O39" s="19">
        <f>'SUB-10'!H40</f>
        <v>39</v>
      </c>
      <c r="P39" s="19">
        <f>'SUB- NEC'!G40</f>
        <v>37</v>
      </c>
      <c r="Q39" s="19">
        <f t="shared" si="0"/>
        <v>552</v>
      </c>
      <c r="R39" s="19">
        <f t="shared" si="1"/>
        <v>55.2</v>
      </c>
      <c r="S39" s="19">
        <f>('SUB-1'!M39)+('SUB- 2'!L39)+('SUB-3'!M39)+('SUB-4'!M39)+('SUB-5'!M39)+('SUB-6'!J40)+('SUB-7'!J40)+('SUB-8'!J40)+('SUB-9'!J41)+('SUB-10'!J40)+('SUB- NEC'!J40)</f>
        <v>13</v>
      </c>
      <c r="T39" s="19" t="str">
        <f t="shared" si="2"/>
        <v>PASS</v>
      </c>
    </row>
    <row r="40" ht="14.25" customHeight="1" spans="4:20">
      <c r="D40" s="19">
        <f>'SUB-1'!D40</f>
        <v>26</v>
      </c>
      <c r="E40" s="19" t="str">
        <f>'SUB-1'!E40</f>
        <v>BTMC24O1026</v>
      </c>
      <c r="F40" s="19">
        <f>'SUB-1'!L40</f>
        <v>59</v>
      </c>
      <c r="G40" s="19">
        <f>'SUB- 2'!K40</f>
        <v>78</v>
      </c>
      <c r="H40" s="19">
        <f>'SUB-3'!L40</f>
        <v>31</v>
      </c>
      <c r="I40" s="19">
        <f>'SUB-4'!L40</f>
        <v>33</v>
      </c>
      <c r="J40" s="19">
        <f>'SUB-5'!L40</f>
        <v>51</v>
      </c>
      <c r="K40" s="19">
        <f>'SUB-6'!H41</f>
        <v>61</v>
      </c>
      <c r="L40" s="19">
        <f>'SUB-7'!H41</f>
        <v>39</v>
      </c>
      <c r="M40" s="19">
        <f>'SUB-8'!H41</f>
        <v>29</v>
      </c>
      <c r="N40" s="19">
        <f>'SUB-9'!H42</f>
        <v>32</v>
      </c>
      <c r="O40" s="19">
        <f>'SUB-10'!H41</f>
        <v>32</v>
      </c>
      <c r="P40" s="19">
        <f>'SUB- NEC'!G41</f>
        <v>40</v>
      </c>
      <c r="Q40" s="19">
        <f t="shared" si="0"/>
        <v>485</v>
      </c>
      <c r="R40" s="19">
        <f t="shared" si="1"/>
        <v>48.5</v>
      </c>
      <c r="S40" s="19">
        <f>('SUB-1'!M40)+('SUB- 2'!L40)+('SUB-3'!M40)+('SUB-4'!M40)+('SUB-5'!M40)+('SUB-6'!J41)+('SUB-7'!J41)+('SUB-8'!J41)+('SUB-9'!J42)+('SUB-10'!J41)+('SUB- NEC'!J41)</f>
        <v>10</v>
      </c>
      <c r="T40" s="19" t="str">
        <f t="shared" si="2"/>
        <v>PASS</v>
      </c>
    </row>
    <row r="41" ht="14.25" customHeight="1" spans="4:20">
      <c r="D41" s="19">
        <f>'SUB-1'!D41</f>
        <v>27</v>
      </c>
      <c r="E41" s="19" t="str">
        <f>'SUB-1'!E41</f>
        <v>BTMC24O1027</v>
      </c>
      <c r="F41" s="19">
        <f>'SUB-1'!L41</f>
        <v>37</v>
      </c>
      <c r="G41" s="19">
        <f>'SUB- 2'!K41</f>
        <v>46</v>
      </c>
      <c r="H41" s="19">
        <f>'SUB-3'!L41</f>
        <v>50</v>
      </c>
      <c r="I41" s="19">
        <f>'SUB-4'!L41</f>
        <v>49</v>
      </c>
      <c r="J41" s="19">
        <f>'SUB-5'!L41</f>
        <v>68</v>
      </c>
      <c r="K41" s="19">
        <f>'SUB-6'!H42</f>
        <v>54</v>
      </c>
      <c r="L41" s="19">
        <f>'SUB-7'!H42</f>
        <v>15</v>
      </c>
      <c r="M41" s="19">
        <f>'SUB-8'!H42</f>
        <v>33</v>
      </c>
      <c r="N41" s="19">
        <f>'SUB-9'!H43</f>
        <v>75</v>
      </c>
      <c r="O41" s="19">
        <f>'SUB-10'!H42</f>
        <v>56</v>
      </c>
      <c r="P41" s="19">
        <f>'SUB- NEC'!G42</f>
        <v>39</v>
      </c>
      <c r="Q41" s="19">
        <f t="shared" si="0"/>
        <v>522</v>
      </c>
      <c r="R41" s="19">
        <f t="shared" si="1"/>
        <v>52.2</v>
      </c>
      <c r="S41" s="19">
        <f>('SUB-1'!M41)+('SUB- 2'!L41)+('SUB-3'!M41)+('SUB-4'!M41)+('SUB-5'!M41)+('SUB-6'!J42)+('SUB-7'!J42)+('SUB-8'!J42)+('SUB-9'!J43)+('SUB-10'!J42)+('SUB- NEC'!J42)</f>
        <v>11</v>
      </c>
      <c r="T41" s="19" t="str">
        <f t="shared" si="2"/>
        <v>PASS</v>
      </c>
    </row>
    <row r="42" ht="14.25" customHeight="1" spans="4:20">
      <c r="D42" s="19">
        <f>'SUB-1'!D42</f>
        <v>28</v>
      </c>
      <c r="E42" s="19" t="str">
        <f>'SUB-1'!E42</f>
        <v>BTMC24O1028</v>
      </c>
      <c r="F42" s="19">
        <f>'SUB-1'!L42</f>
        <v>46</v>
      </c>
      <c r="G42" s="19">
        <f>'SUB- 2'!K42</f>
        <v>57</v>
      </c>
      <c r="H42" s="19">
        <f>'SUB-3'!L42</f>
        <v>47</v>
      </c>
      <c r="I42" s="19">
        <f>'SUB-4'!L42</f>
        <v>49</v>
      </c>
      <c r="J42" s="19">
        <f>'SUB-5'!L42</f>
        <v>40</v>
      </c>
      <c r="K42" s="19">
        <f>'SUB-6'!H43</f>
        <v>77</v>
      </c>
      <c r="L42" s="19">
        <f>'SUB-7'!H43</f>
        <v>22</v>
      </c>
      <c r="M42" s="19">
        <f>'SUB-8'!H43</f>
        <v>17</v>
      </c>
      <c r="N42" s="19">
        <f>'SUB-9'!H44</f>
        <v>32</v>
      </c>
      <c r="O42" s="19">
        <f>'SUB-10'!H43</f>
        <v>73</v>
      </c>
      <c r="P42" s="19">
        <f>'SUB- NEC'!G43</f>
        <v>19</v>
      </c>
      <c r="Q42" s="19">
        <f t="shared" si="0"/>
        <v>479</v>
      </c>
      <c r="R42" s="19">
        <f t="shared" si="1"/>
        <v>47.9</v>
      </c>
      <c r="S42" s="19">
        <f>('SUB-1'!M42)+('SUB- 2'!L42)+('SUB-3'!M42)+('SUB-4'!M42)+('SUB-5'!M42)+('SUB-6'!J43)+('SUB-7'!J43)+('SUB-8'!J43)+('SUB-9'!J44)+('SUB-10'!J43)+('SUB- NEC'!J43)</f>
        <v>10</v>
      </c>
      <c r="T42" s="19" t="str">
        <f t="shared" si="2"/>
        <v>PASS</v>
      </c>
    </row>
    <row r="43" ht="14.25" customHeight="1" spans="4:20">
      <c r="D43" s="19">
        <f>'SUB-1'!D43</f>
        <v>29</v>
      </c>
      <c r="E43" s="19" t="str">
        <f>'SUB-1'!E43</f>
        <v>BTMC24O1029</v>
      </c>
      <c r="F43" s="19">
        <f>'SUB-1'!L43</f>
        <v>50</v>
      </c>
      <c r="G43" s="19">
        <f>'SUB- 2'!K43</f>
        <v>49</v>
      </c>
      <c r="H43" s="19">
        <f>'SUB-3'!L43</f>
        <v>60</v>
      </c>
      <c r="I43" s="19">
        <f>'SUB-4'!L43</f>
        <v>72</v>
      </c>
      <c r="J43" s="19">
        <f>'SUB-5'!L43</f>
        <v>48</v>
      </c>
      <c r="K43" s="19">
        <f>'SUB-6'!H44</f>
        <v>44</v>
      </c>
      <c r="L43" s="19">
        <f>'SUB-7'!H44</f>
        <v>51</v>
      </c>
      <c r="M43" s="19">
        <f>'SUB-8'!H44</f>
        <v>3</v>
      </c>
      <c r="N43" s="19">
        <f>'SUB-9'!H45</f>
        <v>11</v>
      </c>
      <c r="O43" s="19">
        <f>'SUB-10'!H44</f>
        <v>45</v>
      </c>
      <c r="P43" s="19">
        <f>'SUB- NEC'!G44</f>
        <v>4</v>
      </c>
      <c r="Q43" s="19">
        <f t="shared" si="0"/>
        <v>437</v>
      </c>
      <c r="R43" s="19">
        <f t="shared" si="1"/>
        <v>43.7</v>
      </c>
      <c r="S43" s="19">
        <f>('SUB-1'!M43)+('SUB- 2'!L43)+('SUB-3'!M43)+('SUB-4'!M43)+('SUB-5'!M43)+('SUB-6'!J44)+('SUB-7'!J44)+('SUB-8'!J44)+('SUB-9'!J45)+('SUB-10'!J44)+('SUB- NEC'!J44)</f>
        <v>10</v>
      </c>
      <c r="T43" s="19" t="str">
        <f t="shared" si="2"/>
        <v>PASS</v>
      </c>
    </row>
    <row r="44" ht="14.25" customHeight="1" spans="4:20">
      <c r="D44" s="19">
        <f>'SUB-1'!D44</f>
        <v>30</v>
      </c>
      <c r="E44" s="19" t="str">
        <f>'SUB-1'!E44</f>
        <v>BTMC24O1030</v>
      </c>
      <c r="F44" s="19">
        <f>'SUB-1'!L44</f>
        <v>38</v>
      </c>
      <c r="G44" s="19">
        <f>'SUB- 2'!K44</f>
        <v>71</v>
      </c>
      <c r="H44" s="19">
        <f>'SUB-3'!L44</f>
        <v>60</v>
      </c>
      <c r="I44" s="19">
        <f>'SUB-4'!L44</f>
        <v>55</v>
      </c>
      <c r="J44" s="19">
        <f>'SUB-5'!L44</f>
        <v>49</v>
      </c>
      <c r="K44" s="19">
        <f>'SUB-6'!H45</f>
        <v>46</v>
      </c>
      <c r="L44" s="19">
        <f>'SUB-7'!H45</f>
        <v>6</v>
      </c>
      <c r="M44" s="19">
        <f>'SUB-8'!H45</f>
        <v>36</v>
      </c>
      <c r="N44" s="19">
        <f>'SUB-9'!H46</f>
        <v>17</v>
      </c>
      <c r="O44" s="19">
        <f>'SUB-10'!H45</f>
        <v>30</v>
      </c>
      <c r="P44" s="19">
        <f>'SUB- NEC'!G45</f>
        <v>6</v>
      </c>
      <c r="Q44" s="19">
        <f t="shared" si="0"/>
        <v>414</v>
      </c>
      <c r="R44" s="19">
        <f t="shared" si="1"/>
        <v>41.4</v>
      </c>
      <c r="S44" s="19">
        <f>('SUB-1'!M44)+('SUB- 2'!L44)+('SUB-3'!M44)+('SUB-4'!M44)+('SUB-5'!M44)+('SUB-6'!J45)+('SUB-7'!J45)+('SUB-8'!J45)+('SUB-9'!J46)+('SUB-10'!J45)+('SUB- NEC'!J45)</f>
        <v>10</v>
      </c>
      <c r="T44" s="19" t="str">
        <f t="shared" si="2"/>
        <v>PASS</v>
      </c>
    </row>
    <row r="45" ht="14.25" customHeight="1" spans="4:20">
      <c r="D45" s="19">
        <f>'SUB-1'!D45</f>
        <v>31</v>
      </c>
      <c r="E45" s="19" t="str">
        <f>'SUB-1'!E45</f>
        <v>BTMC24O1031</v>
      </c>
      <c r="F45" s="19">
        <f>'SUB-1'!L45</f>
        <v>53</v>
      </c>
      <c r="G45" s="19">
        <f>'SUB- 2'!K45</f>
        <v>46</v>
      </c>
      <c r="H45" s="19">
        <f>'SUB-3'!L45</f>
        <v>46</v>
      </c>
      <c r="I45" s="19">
        <f>'SUB-4'!L45</f>
        <v>48</v>
      </c>
      <c r="J45" s="19">
        <f>'SUB-5'!L45</f>
        <v>36</v>
      </c>
      <c r="K45" s="19">
        <f>'SUB-6'!H46</f>
        <v>71</v>
      </c>
      <c r="L45" s="19">
        <f>'SUB-7'!H46</f>
        <v>25</v>
      </c>
      <c r="M45" s="19">
        <f>'SUB-8'!H46</f>
        <v>19</v>
      </c>
      <c r="N45" s="19">
        <f>'SUB-9'!H47</f>
        <v>85</v>
      </c>
      <c r="O45" s="19">
        <f>'SUB-10'!H46</f>
        <v>78</v>
      </c>
      <c r="P45" s="19">
        <f>'SUB- NEC'!G46</f>
        <v>33</v>
      </c>
      <c r="Q45" s="19">
        <f t="shared" si="0"/>
        <v>540</v>
      </c>
      <c r="R45" s="19">
        <f t="shared" si="1"/>
        <v>54</v>
      </c>
      <c r="S45" s="19">
        <f>('SUB-1'!M45)+('SUB- 2'!L45)+('SUB-3'!M45)+('SUB-4'!M45)+('SUB-5'!M45)+('SUB-6'!J46)+('SUB-7'!J46)+('SUB-8'!J46)+('SUB-9'!J47)+('SUB-10'!J46)+('SUB- NEC'!J46)</f>
        <v>11</v>
      </c>
      <c r="T45" s="19" t="str">
        <f t="shared" si="2"/>
        <v>PASS</v>
      </c>
    </row>
    <row r="46" ht="14.25" customHeight="1" spans="4:20">
      <c r="D46" s="19">
        <f>'SUB-1'!D46</f>
        <v>32</v>
      </c>
      <c r="E46" s="19" t="str">
        <f>'SUB-1'!E46</f>
        <v>BTMC24O1032</v>
      </c>
      <c r="F46" s="19">
        <f>'SUB-1'!L46</f>
        <v>22</v>
      </c>
      <c r="G46" s="19">
        <f>'SUB- 2'!K46</f>
        <v>55</v>
      </c>
      <c r="H46" s="19">
        <f>'SUB-3'!L46</f>
        <v>58</v>
      </c>
      <c r="I46" s="19">
        <f>'SUB-4'!L46</f>
        <v>49</v>
      </c>
      <c r="J46" s="19">
        <f>'SUB-5'!L46</f>
        <v>33</v>
      </c>
      <c r="K46" s="19">
        <f>'SUB-6'!H47</f>
        <v>41</v>
      </c>
      <c r="L46" s="19">
        <f>'SUB-7'!H47</f>
        <v>87</v>
      </c>
      <c r="M46" s="19">
        <f>'SUB-8'!H47</f>
        <v>9</v>
      </c>
      <c r="N46" s="19">
        <f>'SUB-9'!H48</f>
        <v>77</v>
      </c>
      <c r="O46" s="19">
        <f>'SUB-10'!H47</f>
        <v>45</v>
      </c>
      <c r="P46" s="19">
        <f>'SUB- NEC'!G47</f>
        <v>34</v>
      </c>
      <c r="Q46" s="19">
        <f t="shared" si="0"/>
        <v>510</v>
      </c>
      <c r="R46" s="19">
        <f t="shared" si="1"/>
        <v>51</v>
      </c>
      <c r="S46" s="19">
        <f>('SUB-1'!M46)+('SUB- 2'!L46)+('SUB-3'!M46)+('SUB-4'!M46)+('SUB-5'!M46)+('SUB-6'!J47)+('SUB-7'!J47)+('SUB-8'!J47)+('SUB-9'!J48)+('SUB-10'!J47)+('SUB- NEC'!J47)</f>
        <v>10</v>
      </c>
      <c r="T46" s="19" t="str">
        <f t="shared" si="2"/>
        <v>PASS</v>
      </c>
    </row>
    <row r="47" ht="14.25" customHeight="1" spans="4:20">
      <c r="D47" s="19">
        <f>'SUB-1'!D47</f>
        <v>33</v>
      </c>
      <c r="E47" s="19" t="str">
        <f>'SUB-1'!E47</f>
        <v>BTMC24O1033</v>
      </c>
      <c r="F47" s="19">
        <f>'SUB-1'!L47</f>
        <v>71</v>
      </c>
      <c r="G47" s="19">
        <f>'SUB- 2'!K47</f>
        <v>34</v>
      </c>
      <c r="H47" s="19">
        <f>'SUB-3'!L47</f>
        <v>36</v>
      </c>
      <c r="I47" s="19">
        <f>'SUB-4'!L47</f>
        <v>43</v>
      </c>
      <c r="J47" s="19">
        <f>'SUB-5'!L47</f>
        <v>63</v>
      </c>
      <c r="K47" s="19">
        <f>'SUB-6'!H48</f>
        <v>22</v>
      </c>
      <c r="L47" s="19">
        <f>'SUB-7'!H48</f>
        <v>79</v>
      </c>
      <c r="M47" s="19">
        <f>'SUB-8'!H48</f>
        <v>46</v>
      </c>
      <c r="N47" s="19">
        <f>'SUB-9'!H49</f>
        <v>91</v>
      </c>
      <c r="O47" s="19">
        <f>'SUB-10'!H48</f>
        <v>51</v>
      </c>
      <c r="P47" s="19">
        <f>'SUB- NEC'!G48</f>
        <v>49</v>
      </c>
      <c r="Q47" s="19">
        <f t="shared" si="0"/>
        <v>585</v>
      </c>
      <c r="R47" s="19">
        <f t="shared" si="1"/>
        <v>58.5</v>
      </c>
      <c r="S47" s="19">
        <f>('SUB-1'!M47)+('SUB- 2'!L47)+('SUB-3'!M47)+('SUB-4'!M47)+('SUB-5'!M47)+('SUB-6'!J48)+('SUB-7'!J48)+('SUB-8'!J48)+('SUB-9'!J49)+('SUB-10'!J48)+('SUB- NEC'!J48)</f>
        <v>11</v>
      </c>
      <c r="T47" s="19" t="str">
        <f t="shared" si="2"/>
        <v>PASS</v>
      </c>
    </row>
    <row r="48" ht="14.25" customHeight="1" spans="4:20">
      <c r="D48" s="19">
        <f>'SUB-1'!D48</f>
        <v>34</v>
      </c>
      <c r="E48" s="19" t="str">
        <f>'SUB-1'!E48</f>
        <v>BTMC24O1034</v>
      </c>
      <c r="F48" s="19">
        <f>'SUB-1'!L48</f>
        <v>39</v>
      </c>
      <c r="G48" s="19">
        <f>'SUB- 2'!K48</f>
        <v>45</v>
      </c>
      <c r="H48" s="19">
        <f>'SUB-3'!L48</f>
        <v>38</v>
      </c>
      <c r="I48" s="19">
        <f>'SUB-4'!L48</f>
        <v>80</v>
      </c>
      <c r="J48" s="19">
        <f>'SUB-5'!L48</f>
        <v>69</v>
      </c>
      <c r="K48" s="19">
        <f>'SUB-6'!H49</f>
        <v>29</v>
      </c>
      <c r="L48" s="19">
        <f>'SUB-7'!H49</f>
        <v>43</v>
      </c>
      <c r="M48" s="19">
        <f>'SUB-8'!H49</f>
        <v>29</v>
      </c>
      <c r="N48" s="19">
        <f>'SUB-9'!H50</f>
        <v>43</v>
      </c>
      <c r="O48" s="19">
        <f>'SUB-10'!H49</f>
        <v>17</v>
      </c>
      <c r="P48" s="19">
        <f>'SUB- NEC'!G49</f>
        <v>39</v>
      </c>
      <c r="Q48" s="19">
        <f t="shared" si="0"/>
        <v>471</v>
      </c>
      <c r="R48" s="19">
        <f t="shared" si="1"/>
        <v>47.1</v>
      </c>
      <c r="S48" s="19">
        <f>('SUB-1'!M48)+('SUB- 2'!L48)+('SUB-3'!M48)+('SUB-4'!M48)+('SUB-5'!M48)+('SUB-6'!J49)+('SUB-7'!J49)+('SUB-8'!J49)+('SUB-9'!J50)+('SUB-10'!J49)+('SUB- NEC'!J49)</f>
        <v>12</v>
      </c>
      <c r="T48" s="19" t="str">
        <f t="shared" si="2"/>
        <v>PASS</v>
      </c>
    </row>
    <row r="49" ht="14.25" customHeight="1" spans="4:20">
      <c r="D49" s="19">
        <f>'SUB-1'!D49</f>
        <v>35</v>
      </c>
      <c r="E49" s="19" t="str">
        <f>'SUB-1'!E49</f>
        <v>BTMC24O1035</v>
      </c>
      <c r="F49" s="19">
        <f>'SUB-1'!L49</f>
        <v>62</v>
      </c>
      <c r="G49" s="19">
        <f>'SUB- 2'!K49</f>
        <v>20</v>
      </c>
      <c r="H49" s="19">
        <f>'SUB-3'!L49</f>
        <v>71</v>
      </c>
      <c r="I49" s="19">
        <f>'SUB-4'!L49</f>
        <v>36</v>
      </c>
      <c r="J49" s="19">
        <f>'SUB-5'!L49</f>
        <v>19</v>
      </c>
      <c r="K49" s="19">
        <f>'SUB-6'!H50</f>
        <v>66</v>
      </c>
      <c r="L49" s="19">
        <f>'SUB-7'!H50</f>
        <v>42</v>
      </c>
      <c r="M49" s="19">
        <f>'SUB-8'!H50</f>
        <v>24</v>
      </c>
      <c r="N49" s="19">
        <f>'SUB-9'!H51</f>
        <v>1</v>
      </c>
      <c r="O49" s="19">
        <f>'SUB-10'!H50</f>
        <v>33</v>
      </c>
      <c r="P49" s="19">
        <f>'SUB- NEC'!G50</f>
        <v>7</v>
      </c>
      <c r="Q49" s="19">
        <f t="shared" si="0"/>
        <v>381</v>
      </c>
      <c r="R49" s="19">
        <f t="shared" si="1"/>
        <v>38.1</v>
      </c>
      <c r="S49" s="19">
        <f>('SUB-1'!M49)+('SUB- 2'!L49)+('SUB-3'!M49)+('SUB-4'!M49)+('SUB-5'!M49)+('SUB-6'!J50)+('SUB-7'!J50)+('SUB-8'!J50)+('SUB-9'!J51)+('SUB-10'!J50)+('SUB- NEC'!J50)</f>
        <v>8</v>
      </c>
      <c r="T49" s="19" t="str">
        <f t="shared" si="2"/>
        <v>FAIL</v>
      </c>
    </row>
    <row r="50" ht="14.25" customHeight="1" spans="4:20">
      <c r="D50" s="19">
        <f>'SUB-1'!D50</f>
        <v>36</v>
      </c>
      <c r="E50" s="19" t="str">
        <f>'SUB-1'!E50</f>
        <v>BTMC24O1036</v>
      </c>
      <c r="F50" s="19">
        <f>'SUB-1'!L50</f>
        <v>50</v>
      </c>
      <c r="G50" s="19">
        <f>'SUB- 2'!K50</f>
        <v>48</v>
      </c>
      <c r="H50" s="19">
        <f>'SUB-3'!L50</f>
        <v>52</v>
      </c>
      <c r="I50" s="19">
        <f>'SUB-4'!L50</f>
        <v>45</v>
      </c>
      <c r="J50" s="19">
        <f>'SUB-5'!L50</f>
        <v>39</v>
      </c>
      <c r="K50" s="19">
        <f>'SUB-6'!H51</f>
        <v>22</v>
      </c>
      <c r="L50" s="19">
        <f>'SUB-7'!H51</f>
        <v>65</v>
      </c>
      <c r="M50" s="19">
        <f>'SUB-8'!H51</f>
        <v>30</v>
      </c>
      <c r="N50" s="19">
        <f>'SUB-9'!H52</f>
        <v>37</v>
      </c>
      <c r="O50" s="19">
        <f>'SUB-10'!H51</f>
        <v>36</v>
      </c>
      <c r="P50" s="19">
        <f>'SUB- NEC'!G51</f>
        <v>0</v>
      </c>
      <c r="Q50" s="19">
        <f t="shared" si="0"/>
        <v>424</v>
      </c>
      <c r="R50" s="19">
        <f t="shared" si="1"/>
        <v>42.4</v>
      </c>
      <c r="S50" s="19">
        <f>('SUB-1'!M50)+('SUB- 2'!L50)+('SUB-3'!M50)+('SUB-4'!M50)+('SUB-5'!M50)+('SUB-6'!J51)+('SUB-7'!J51)+('SUB-8'!J51)+('SUB-9'!J52)+('SUB-10'!J51)+('SUB- NEC'!J51)</f>
        <v>10</v>
      </c>
      <c r="T50" s="19" t="str">
        <f t="shared" si="2"/>
        <v>PASS</v>
      </c>
    </row>
    <row r="51" ht="14.25" customHeight="1" spans="4:20">
      <c r="D51" s="19">
        <f>'SUB-1'!D51</f>
        <v>37</v>
      </c>
      <c r="E51" s="19" t="str">
        <f>'SUB-1'!E51</f>
        <v>BTMC24O1037</v>
      </c>
      <c r="F51" s="19">
        <f>'SUB-1'!L51</f>
        <v>66</v>
      </c>
      <c r="G51" s="19">
        <f>'SUB- 2'!K51</f>
        <v>46</v>
      </c>
      <c r="H51" s="19">
        <f>'SUB-3'!L51</f>
        <v>62</v>
      </c>
      <c r="I51" s="19">
        <f>'SUB-4'!L51</f>
        <v>64</v>
      </c>
      <c r="J51" s="19">
        <f>'SUB-5'!L51</f>
        <v>33</v>
      </c>
      <c r="K51" s="19">
        <f>'SUB-6'!H52</f>
        <v>97</v>
      </c>
      <c r="L51" s="19">
        <f>'SUB-7'!H52</f>
        <v>25</v>
      </c>
      <c r="M51" s="19">
        <f>'SUB-8'!H52</f>
        <v>24</v>
      </c>
      <c r="N51" s="19">
        <f>'SUB-9'!H53</f>
        <v>44</v>
      </c>
      <c r="O51" s="19">
        <f>'SUB-10'!H52</f>
        <v>73</v>
      </c>
      <c r="P51" s="19">
        <f>'SUB- NEC'!G52</f>
        <v>49</v>
      </c>
      <c r="Q51" s="19">
        <f t="shared" si="0"/>
        <v>583</v>
      </c>
      <c r="R51" s="19">
        <f t="shared" si="1"/>
        <v>58.3</v>
      </c>
      <c r="S51" s="19">
        <f>('SUB-1'!M51)+('SUB- 2'!L51)+('SUB-3'!M51)+('SUB-4'!M51)+('SUB-5'!M51)+('SUB-6'!J52)+('SUB-7'!J52)+('SUB-8'!J52)+('SUB-9'!J53)+('SUB-10'!J52)+('SUB- NEC'!J52)</f>
        <v>12</v>
      </c>
      <c r="T51" s="19" t="str">
        <f t="shared" si="2"/>
        <v>PASS</v>
      </c>
    </row>
    <row r="52" ht="14.25" customHeight="1" spans="4:20">
      <c r="D52" s="19">
        <f>'SUB-1'!D52</f>
        <v>38</v>
      </c>
      <c r="E52" s="19" t="str">
        <f>'SUB-1'!E52</f>
        <v>BTMC24O1038</v>
      </c>
      <c r="F52" s="19">
        <f>'SUB-1'!L52</f>
        <v>29</v>
      </c>
      <c r="G52" s="19">
        <f>'SUB- 2'!K52</f>
        <v>63</v>
      </c>
      <c r="H52" s="19">
        <f>'SUB-3'!L52</f>
        <v>49</v>
      </c>
      <c r="I52" s="19">
        <f>'SUB-4'!L52</f>
        <v>58</v>
      </c>
      <c r="J52" s="19">
        <f>'SUB-5'!L52</f>
        <v>53</v>
      </c>
      <c r="K52" s="19">
        <f>'SUB-6'!H53</f>
        <v>65</v>
      </c>
      <c r="L52" s="19">
        <f>'SUB-7'!H53</f>
        <v>8</v>
      </c>
      <c r="M52" s="19">
        <f>'SUB-8'!H53</f>
        <v>31</v>
      </c>
      <c r="N52" s="19">
        <f>'SUB-9'!H54</f>
        <v>80</v>
      </c>
      <c r="O52" s="19">
        <f>'SUB-10'!H53</f>
        <v>47</v>
      </c>
      <c r="P52" s="19">
        <f>'SUB- NEC'!G53</f>
        <v>20</v>
      </c>
      <c r="Q52" s="19">
        <f t="shared" si="0"/>
        <v>503</v>
      </c>
      <c r="R52" s="19">
        <f t="shared" si="1"/>
        <v>50.3</v>
      </c>
      <c r="S52" s="19">
        <f>('SUB-1'!M52)+('SUB- 2'!L52)+('SUB-3'!M52)+('SUB-4'!M52)+('SUB-5'!M52)+('SUB-6'!J53)+('SUB-7'!J53)+('SUB-8'!J53)+('SUB-9'!J54)+('SUB-10'!J53)+('SUB- NEC'!J53)</f>
        <v>12</v>
      </c>
      <c r="T52" s="19" t="str">
        <f t="shared" si="2"/>
        <v>PASS</v>
      </c>
    </row>
    <row r="53" ht="14.25" customHeight="1" spans="4:20">
      <c r="D53" s="19">
        <f>'SUB-1'!D53</f>
        <v>39</v>
      </c>
      <c r="E53" s="19" t="str">
        <f>'SUB-1'!E53</f>
        <v>BTMC24O1039</v>
      </c>
      <c r="F53" s="19">
        <f>'SUB-1'!L53</f>
        <v>44</v>
      </c>
      <c r="G53" s="19">
        <f>'SUB- 2'!K53</f>
        <v>43</v>
      </c>
      <c r="H53" s="19">
        <f>'SUB-3'!L53</f>
        <v>39</v>
      </c>
      <c r="I53" s="19">
        <f>'SUB-4'!L53</f>
        <v>69</v>
      </c>
      <c r="J53" s="19">
        <f>'SUB-5'!L53</f>
        <v>65</v>
      </c>
      <c r="K53" s="19">
        <f>'SUB-6'!H54</f>
        <v>32</v>
      </c>
      <c r="L53" s="19">
        <f>'SUB-7'!H54</f>
        <v>24</v>
      </c>
      <c r="M53" s="19">
        <f>'SUB-8'!H54</f>
        <v>10</v>
      </c>
      <c r="N53" s="19">
        <f>'SUB-9'!H55</f>
        <v>39</v>
      </c>
      <c r="O53" s="19">
        <f>'SUB-10'!H54</f>
        <v>65</v>
      </c>
      <c r="P53" s="19">
        <f>'SUB- NEC'!G54</f>
        <v>41</v>
      </c>
      <c r="Q53" s="19">
        <f t="shared" si="0"/>
        <v>471</v>
      </c>
      <c r="R53" s="19">
        <f t="shared" si="1"/>
        <v>47.1</v>
      </c>
      <c r="S53" s="19">
        <f>('SUB-1'!M53)+('SUB- 2'!L53)+('SUB-3'!M53)+('SUB-4'!M53)+('SUB-5'!M53)+('SUB-6'!J54)+('SUB-7'!J54)+('SUB-8'!J54)+('SUB-9'!J55)+('SUB-10'!J54)+('SUB- NEC'!J54)</f>
        <v>10</v>
      </c>
      <c r="T53" s="19" t="str">
        <f t="shared" si="2"/>
        <v>PASS</v>
      </c>
    </row>
    <row r="54" ht="14.25" customHeight="1" spans="4:20">
      <c r="D54" s="19">
        <f>'SUB-1'!D54</f>
        <v>40</v>
      </c>
      <c r="E54" s="19" t="str">
        <f>'SUB-1'!E54</f>
        <v>BTMC24O1040</v>
      </c>
      <c r="F54" s="19">
        <f>'SUB-1'!L54</f>
        <v>22</v>
      </c>
      <c r="G54" s="19">
        <f>'SUB- 2'!K54</f>
        <v>51</v>
      </c>
      <c r="H54" s="19">
        <f>'SUB-3'!L54</f>
        <v>41</v>
      </c>
      <c r="I54" s="19">
        <f>'SUB-4'!L54</f>
        <v>56</v>
      </c>
      <c r="J54" s="19">
        <f>'SUB-5'!L54</f>
        <v>67</v>
      </c>
      <c r="K54" s="19">
        <f>'SUB-6'!H55</f>
        <v>84</v>
      </c>
      <c r="L54" s="19">
        <f>'SUB-7'!H55</f>
        <v>77</v>
      </c>
      <c r="M54" s="19">
        <f>'SUB-8'!H55</f>
        <v>35</v>
      </c>
      <c r="N54" s="19">
        <f>'SUB-9'!H56</f>
        <v>66</v>
      </c>
      <c r="O54" s="19">
        <f>'SUB-10'!H55</f>
        <v>24</v>
      </c>
      <c r="P54" s="19">
        <f>'SUB- NEC'!G55</f>
        <v>39</v>
      </c>
      <c r="Q54" s="19">
        <f t="shared" si="0"/>
        <v>562</v>
      </c>
      <c r="R54" s="19">
        <f t="shared" si="1"/>
        <v>56.2</v>
      </c>
      <c r="S54" s="19">
        <f>('SUB-1'!M54)+('SUB- 2'!L54)+('SUB-3'!M54)+('SUB-4'!M54)+('SUB-5'!M54)+('SUB-6'!J55)+('SUB-7'!J55)+('SUB-8'!J55)+('SUB-9'!J56)+('SUB-10'!J55)+('SUB- NEC'!J55)</f>
        <v>12</v>
      </c>
      <c r="T54" s="19" t="str">
        <f t="shared" si="2"/>
        <v>PASS</v>
      </c>
    </row>
    <row r="55" ht="14.25" customHeight="1" spans="4:20">
      <c r="D55" s="19">
        <f>'SUB-1'!D55</f>
        <v>41</v>
      </c>
      <c r="E55" s="19" t="str">
        <f>'SUB-1'!E55</f>
        <v>BTMC24O1041</v>
      </c>
      <c r="F55" s="19">
        <f>'SUB-1'!L55</f>
        <v>34</v>
      </c>
      <c r="G55" s="19">
        <f>'SUB- 2'!K55</f>
        <v>56</v>
      </c>
      <c r="H55" s="19">
        <f>'SUB-3'!L55</f>
        <v>54</v>
      </c>
      <c r="I55" s="19">
        <f>'SUB-4'!L55</f>
        <v>34</v>
      </c>
      <c r="J55" s="19">
        <f>'SUB-5'!L55</f>
        <v>58</v>
      </c>
      <c r="K55" s="19">
        <f>'SUB-6'!H56</f>
        <v>59</v>
      </c>
      <c r="L55" s="19">
        <f>'SUB-7'!H56</f>
        <v>19</v>
      </c>
      <c r="M55" s="19">
        <f>'SUB-8'!H56</f>
        <v>18</v>
      </c>
      <c r="N55" s="19">
        <f>'SUB-9'!H57</f>
        <v>29</v>
      </c>
      <c r="O55" s="19">
        <f>'SUB-10'!H56</f>
        <v>33</v>
      </c>
      <c r="P55" s="19">
        <f>'SUB- NEC'!G56</f>
        <v>2</v>
      </c>
      <c r="Q55" s="19">
        <f t="shared" si="0"/>
        <v>396</v>
      </c>
      <c r="R55" s="19">
        <f t="shared" si="1"/>
        <v>39.6</v>
      </c>
      <c r="S55" s="19">
        <f>('SUB-1'!M55)+('SUB- 2'!L55)+('SUB-3'!M55)+('SUB-4'!M55)+('SUB-5'!M55)+('SUB-6'!J56)+('SUB-7'!J56)+('SUB-8'!J56)+('SUB-9'!J57)+('SUB-10'!J56)+('SUB- NEC'!J56)</f>
        <v>8</v>
      </c>
      <c r="T55" s="19" t="str">
        <f t="shared" si="2"/>
        <v>FAIL</v>
      </c>
    </row>
    <row r="56" ht="14.25" customHeight="1" spans="4:20">
      <c r="D56" s="19">
        <f>'SUB-1'!D56</f>
        <v>42</v>
      </c>
      <c r="E56" s="19" t="str">
        <f>'SUB-1'!E56</f>
        <v>BTMC24O1042</v>
      </c>
      <c r="F56" s="19">
        <f>'SUB-1'!L56</f>
        <v>59</v>
      </c>
      <c r="G56" s="19">
        <f>'SUB- 2'!K56</f>
        <v>42</v>
      </c>
      <c r="H56" s="19">
        <f>'SUB-3'!L56</f>
        <v>70</v>
      </c>
      <c r="I56" s="19">
        <f>'SUB-4'!L56</f>
        <v>69</v>
      </c>
      <c r="J56" s="19">
        <f>'SUB-5'!L56</f>
        <v>51</v>
      </c>
      <c r="K56" s="19">
        <f>'SUB-6'!H57</f>
        <v>41</v>
      </c>
      <c r="L56" s="19">
        <f>'SUB-7'!H57</f>
        <v>50</v>
      </c>
      <c r="M56" s="19">
        <f>'SUB-8'!H57</f>
        <v>4</v>
      </c>
      <c r="N56" s="19">
        <f>'SUB-9'!H58</f>
        <v>18</v>
      </c>
      <c r="O56" s="19">
        <f>'SUB-10'!H57</f>
        <v>76</v>
      </c>
      <c r="P56" s="19">
        <f>'SUB- NEC'!G57</f>
        <v>27</v>
      </c>
      <c r="Q56" s="19">
        <f t="shared" si="0"/>
        <v>507</v>
      </c>
      <c r="R56" s="19">
        <f t="shared" si="1"/>
        <v>50.7</v>
      </c>
      <c r="S56" s="19">
        <f>('SUB-1'!M56)+('SUB- 2'!L56)+('SUB-3'!M56)+('SUB-4'!M56)+('SUB-5'!M56)+('SUB-6'!J57)+('SUB-7'!J57)+('SUB-8'!J57)+('SUB-9'!J58)+('SUB-10'!J57)+('SUB- NEC'!J57)</f>
        <v>13</v>
      </c>
      <c r="T56" s="19" t="str">
        <f t="shared" si="2"/>
        <v>PASS</v>
      </c>
    </row>
    <row r="57" ht="14.25" customHeight="1" spans="4:20">
      <c r="D57" s="19">
        <f>'SUB-1'!D57</f>
        <v>43</v>
      </c>
      <c r="E57" s="19" t="str">
        <f>'SUB-1'!E57</f>
        <v>BTMC24O1043</v>
      </c>
      <c r="F57" s="19">
        <f>'SUB-1'!L57</f>
        <v>32</v>
      </c>
      <c r="G57" s="19">
        <f>'SUB- 2'!K57</f>
        <v>53</v>
      </c>
      <c r="H57" s="19">
        <f>'SUB-3'!L57</f>
        <v>40</v>
      </c>
      <c r="I57" s="19">
        <f>'SUB-4'!L57</f>
        <v>41</v>
      </c>
      <c r="J57" s="19">
        <f>'SUB-5'!L57</f>
        <v>66</v>
      </c>
      <c r="K57" s="19">
        <f>'SUB-6'!H58</f>
        <v>18</v>
      </c>
      <c r="L57" s="19">
        <f>'SUB-7'!H58</f>
        <v>52</v>
      </c>
      <c r="M57" s="19">
        <f>'SUB-8'!H58</f>
        <v>13</v>
      </c>
      <c r="N57" s="19">
        <f>'SUB-9'!H59</f>
        <v>46</v>
      </c>
      <c r="O57" s="19">
        <f>'SUB-10'!H58</f>
        <v>30</v>
      </c>
      <c r="P57" s="19">
        <f>'SUB- NEC'!G58</f>
        <v>14</v>
      </c>
      <c r="Q57" s="19">
        <f t="shared" si="0"/>
        <v>405</v>
      </c>
      <c r="R57" s="19">
        <f t="shared" si="1"/>
        <v>40.5</v>
      </c>
      <c r="S57" s="19">
        <f>('SUB-1'!M57)+('SUB- 2'!L57)+('SUB-3'!M57)+('SUB-4'!M57)+('SUB-5'!M57)+('SUB-6'!J58)+('SUB-7'!J58)+('SUB-8'!J58)+('SUB-9'!J59)+('SUB-10'!J58)+('SUB- NEC'!J58)</f>
        <v>8</v>
      </c>
      <c r="T57" s="19" t="str">
        <f t="shared" si="2"/>
        <v>PASS</v>
      </c>
    </row>
    <row r="58" ht="14.25" customHeight="1" spans="4:20">
      <c r="D58" s="19">
        <f>'SUB-1'!D58</f>
        <v>44</v>
      </c>
      <c r="E58" s="19" t="str">
        <f>'SUB-1'!E58</f>
        <v>BTMC24O1044</v>
      </c>
      <c r="F58" s="19">
        <f>'SUB-1'!L58</f>
        <v>59</v>
      </c>
      <c r="G58" s="19">
        <f>'SUB- 2'!K58</f>
        <v>45</v>
      </c>
      <c r="H58" s="19">
        <f>'SUB-3'!L58</f>
        <v>60</v>
      </c>
      <c r="I58" s="19">
        <f>'SUB-4'!L58</f>
        <v>40</v>
      </c>
      <c r="J58" s="19">
        <f>'SUB-5'!L58</f>
        <v>50</v>
      </c>
      <c r="K58" s="19">
        <f>'SUB-6'!H59</f>
        <v>23</v>
      </c>
      <c r="L58" s="19">
        <f>'SUB-7'!H59</f>
        <v>80</v>
      </c>
      <c r="M58" s="19">
        <f>'SUB-8'!H59</f>
        <v>38</v>
      </c>
      <c r="N58" s="19">
        <f>'SUB-9'!H60</f>
        <v>69</v>
      </c>
      <c r="O58" s="19">
        <f>'SUB-10'!H59</f>
        <v>72</v>
      </c>
      <c r="P58" s="19">
        <f>'SUB- NEC'!G59</f>
        <v>4</v>
      </c>
      <c r="Q58" s="19">
        <f t="shared" si="0"/>
        <v>540</v>
      </c>
      <c r="R58" s="19">
        <f t="shared" si="1"/>
        <v>54</v>
      </c>
      <c r="S58" s="19">
        <f>('SUB-1'!M58)+('SUB- 2'!L58)+('SUB-3'!M58)+('SUB-4'!M58)+('SUB-5'!M58)+('SUB-6'!J59)+('SUB-7'!J59)+('SUB-8'!J59)+('SUB-9'!J60)+('SUB-10'!J59)+('SUB- NEC'!J59)</f>
        <v>11</v>
      </c>
      <c r="T58" s="19" t="str">
        <f t="shared" si="2"/>
        <v>PASS</v>
      </c>
    </row>
    <row r="59" ht="14.25" customHeight="1" spans="4:20">
      <c r="D59" s="19">
        <f>'SUB-1'!D59</f>
        <v>45</v>
      </c>
      <c r="E59" s="19" t="str">
        <f>'SUB-1'!E59</f>
        <v>BTMC24O1045</v>
      </c>
      <c r="F59" s="19">
        <f>'SUB-1'!L59</f>
        <v>51</v>
      </c>
      <c r="G59" s="19">
        <f>'SUB- 2'!K59</f>
        <v>38</v>
      </c>
      <c r="H59" s="19">
        <f>'SUB-3'!L59</f>
        <v>57</v>
      </c>
      <c r="I59" s="19">
        <f>'SUB-4'!L59</f>
        <v>70</v>
      </c>
      <c r="J59" s="19">
        <f>'SUB-5'!L59</f>
        <v>62</v>
      </c>
      <c r="K59" s="19">
        <f>'SUB-6'!H60</f>
        <v>49</v>
      </c>
      <c r="L59" s="19">
        <f>'SUB-7'!H60</f>
        <v>33</v>
      </c>
      <c r="M59" s="19">
        <f>'SUB-8'!H60</f>
        <v>6</v>
      </c>
      <c r="N59" s="19">
        <f>'SUB-9'!H61</f>
        <v>27</v>
      </c>
      <c r="O59" s="19">
        <f>'SUB-10'!H60</f>
        <v>67</v>
      </c>
      <c r="P59" s="19">
        <f>'SUB- NEC'!G60</f>
        <v>7</v>
      </c>
      <c r="Q59" s="19">
        <f t="shared" si="0"/>
        <v>467</v>
      </c>
      <c r="R59" s="19">
        <f t="shared" si="1"/>
        <v>46.7</v>
      </c>
      <c r="S59" s="19">
        <f>('SUB-1'!M59)+('SUB- 2'!L59)+('SUB-3'!M59)+('SUB-4'!M59)+('SUB-5'!M59)+('SUB-6'!J60)+('SUB-7'!J60)+('SUB-8'!J60)+('SUB-9'!J61)+('SUB-10'!J60)+('SUB- NEC'!J60)</f>
        <v>11</v>
      </c>
      <c r="T59" s="19" t="str">
        <f t="shared" si="2"/>
        <v>PASS</v>
      </c>
    </row>
    <row r="60" ht="14.25" customHeight="1" spans="4:20">
      <c r="D60" s="19">
        <f>'SUB-1'!D60</f>
        <v>46</v>
      </c>
      <c r="E60" s="19" t="str">
        <f>'SUB-1'!E60</f>
        <v>BTMC24O1046</v>
      </c>
      <c r="F60" s="19">
        <f>'SUB-1'!L60</f>
        <v>34</v>
      </c>
      <c r="G60" s="19">
        <f>'SUB- 2'!K60</f>
        <v>48</v>
      </c>
      <c r="H60" s="19">
        <f>'SUB-3'!L60</f>
        <v>47</v>
      </c>
      <c r="I60" s="19">
        <f>'SUB-4'!L60</f>
        <v>67</v>
      </c>
      <c r="J60" s="19">
        <f>'SUB-5'!L60</f>
        <v>53</v>
      </c>
      <c r="K60" s="19">
        <f>'SUB-6'!H61</f>
        <v>76</v>
      </c>
      <c r="L60" s="19">
        <f>'SUB-7'!H61</f>
        <v>80</v>
      </c>
      <c r="M60" s="19">
        <f>'SUB-8'!H61</f>
        <v>36</v>
      </c>
      <c r="N60" s="19">
        <f>'SUB-9'!H62</f>
        <v>45</v>
      </c>
      <c r="O60" s="19">
        <f>'SUB-10'!H61</f>
        <v>64</v>
      </c>
      <c r="P60" s="19">
        <f>'SUB- NEC'!G61</f>
        <v>37</v>
      </c>
      <c r="Q60" s="19">
        <f t="shared" si="0"/>
        <v>587</v>
      </c>
      <c r="R60" s="19">
        <f t="shared" si="1"/>
        <v>58.7</v>
      </c>
      <c r="S60" s="19">
        <f>('SUB-1'!M60)+('SUB- 2'!L60)+('SUB-3'!M60)+('SUB-4'!M60)+('SUB-5'!M60)+('SUB-6'!J61)+('SUB-7'!J61)+('SUB-8'!J61)+('SUB-9'!J62)+('SUB-10'!J61)+('SUB- NEC'!J61)</f>
        <v>12</v>
      </c>
      <c r="T60" s="19" t="str">
        <f t="shared" si="2"/>
        <v>PASS</v>
      </c>
    </row>
    <row r="61" ht="14.25" customHeight="1" spans="4:20">
      <c r="D61" s="19">
        <f>'SUB-1'!D61</f>
        <v>47</v>
      </c>
      <c r="E61" s="19" t="str">
        <f>'SUB-1'!E61</f>
        <v>BTMC24O1047</v>
      </c>
      <c r="F61" s="19">
        <f>'SUB-1'!L61</f>
        <v>27</v>
      </c>
      <c r="G61" s="19">
        <f>'SUB- 2'!K61</f>
        <v>51</v>
      </c>
      <c r="H61" s="19">
        <f>'SUB-3'!L61</f>
        <v>53</v>
      </c>
      <c r="I61" s="19">
        <f>'SUB-4'!L61</f>
        <v>49</v>
      </c>
      <c r="J61" s="19">
        <f>'SUB-5'!L61</f>
        <v>42</v>
      </c>
      <c r="K61" s="19">
        <f>'SUB-6'!H62</f>
        <v>91</v>
      </c>
      <c r="L61" s="19">
        <f>'SUB-7'!H62</f>
        <v>21</v>
      </c>
      <c r="M61" s="19">
        <f>'SUB-8'!H62</f>
        <v>41</v>
      </c>
      <c r="N61" s="19">
        <f>'SUB-9'!H63</f>
        <v>51</v>
      </c>
      <c r="O61" s="19">
        <f>'SUB-10'!H62</f>
        <v>29</v>
      </c>
      <c r="P61" s="19">
        <f>'SUB- NEC'!G62</f>
        <v>18</v>
      </c>
      <c r="Q61" s="19">
        <f t="shared" si="0"/>
        <v>473</v>
      </c>
      <c r="R61" s="19">
        <f t="shared" si="1"/>
        <v>47.3</v>
      </c>
      <c r="S61" s="19">
        <f>('SUB-1'!M61)+('SUB- 2'!L61)+('SUB-3'!M61)+('SUB-4'!M61)+('SUB-5'!M61)+('SUB-6'!J62)+('SUB-7'!J62)+('SUB-8'!J62)+('SUB-9'!J63)+('SUB-10'!J62)+('SUB- NEC'!J62)</f>
        <v>10</v>
      </c>
      <c r="T61" s="19" t="str">
        <f t="shared" si="2"/>
        <v>PASS</v>
      </c>
    </row>
    <row r="62" ht="14.25" customHeight="1" spans="4:20">
      <c r="D62" s="19">
        <f>'SUB-1'!D62</f>
        <v>48</v>
      </c>
      <c r="E62" s="19" t="str">
        <f>'SUB-1'!E62</f>
        <v>BTMC24O1048</v>
      </c>
      <c r="F62" s="19">
        <f>'SUB-1'!L62</f>
        <v>58</v>
      </c>
      <c r="G62" s="19">
        <f>'SUB- 2'!K62</f>
        <v>53</v>
      </c>
      <c r="H62" s="19">
        <f>'SUB-3'!L62</f>
        <v>54</v>
      </c>
      <c r="I62" s="19">
        <f>'SUB-4'!L62</f>
        <v>19</v>
      </c>
      <c r="J62" s="19">
        <f>'SUB-5'!L62</f>
        <v>33</v>
      </c>
      <c r="K62" s="19">
        <f>'SUB-6'!H63</f>
        <v>93</v>
      </c>
      <c r="L62" s="19">
        <f>'SUB-7'!H63</f>
        <v>43</v>
      </c>
      <c r="M62" s="19">
        <f>'SUB-8'!H63</f>
        <v>30</v>
      </c>
      <c r="N62" s="19">
        <f>'SUB-9'!H64</f>
        <v>71</v>
      </c>
      <c r="O62" s="19">
        <f>'SUB-10'!H63</f>
        <v>24</v>
      </c>
      <c r="P62" s="19">
        <f>'SUB- NEC'!G63</f>
        <v>48</v>
      </c>
      <c r="Q62" s="19">
        <f t="shared" si="0"/>
        <v>526</v>
      </c>
      <c r="R62" s="19">
        <f t="shared" si="1"/>
        <v>52.6</v>
      </c>
      <c r="S62" s="19">
        <f>('SUB-1'!M62)+('SUB- 2'!L62)+('SUB-3'!M62)+('SUB-4'!M62)+('SUB-5'!M62)+('SUB-6'!J63)+('SUB-7'!J63)+('SUB-8'!J63)+('SUB-9'!J64)+('SUB-10'!J63)+('SUB- NEC'!J63)</f>
        <v>11</v>
      </c>
      <c r="T62" s="19" t="str">
        <f t="shared" si="2"/>
        <v>PASS</v>
      </c>
    </row>
    <row r="63" ht="14.25" customHeight="1" spans="4:20">
      <c r="D63" s="19">
        <f>'SUB-1'!D63</f>
        <v>49</v>
      </c>
      <c r="E63" s="19" t="str">
        <f>'SUB-1'!E63</f>
        <v>BTMC24O1049</v>
      </c>
      <c r="F63" s="19">
        <f>'SUB-1'!L63</f>
        <v>47</v>
      </c>
      <c r="G63" s="19">
        <f>'SUB- 2'!K63</f>
        <v>24</v>
      </c>
      <c r="H63" s="19">
        <f>'SUB-3'!L63</f>
        <v>62</v>
      </c>
      <c r="I63" s="19">
        <f>'SUB-4'!L63</f>
        <v>59</v>
      </c>
      <c r="J63" s="19">
        <f>'SUB-5'!L63</f>
        <v>66</v>
      </c>
      <c r="K63" s="19">
        <f>'SUB-6'!H64</f>
        <v>8</v>
      </c>
      <c r="L63" s="19">
        <f>'SUB-7'!H64</f>
        <v>46</v>
      </c>
      <c r="M63" s="19">
        <f>'SUB-8'!H64</f>
        <v>45</v>
      </c>
      <c r="N63" s="19">
        <f>'SUB-9'!H65</f>
        <v>88</v>
      </c>
      <c r="O63" s="19">
        <f>'SUB-10'!H64</f>
        <v>40</v>
      </c>
      <c r="P63" s="19">
        <f>'SUB- NEC'!G64</f>
        <v>28</v>
      </c>
      <c r="Q63" s="19">
        <f t="shared" si="0"/>
        <v>513</v>
      </c>
      <c r="R63" s="19">
        <f t="shared" si="1"/>
        <v>51.3</v>
      </c>
      <c r="S63" s="19">
        <f>('SUB-1'!M63)+('SUB- 2'!L63)+('SUB-3'!M63)+('SUB-4'!M63)+('SUB-5'!M63)+('SUB-6'!J64)+('SUB-7'!J64)+('SUB-8'!J64)+('SUB-9'!J65)+('SUB-10'!J64)+('SUB- NEC'!J64)</f>
        <v>12</v>
      </c>
      <c r="T63" s="19" t="str">
        <f t="shared" si="2"/>
        <v>PASS</v>
      </c>
    </row>
    <row r="64" ht="14.25" customHeight="1" spans="4:20">
      <c r="D64" s="19">
        <f>'SUB-1'!D64</f>
        <v>50</v>
      </c>
      <c r="E64" s="19" t="str">
        <f>'SUB-1'!E64</f>
        <v>BTMC24O1050</v>
      </c>
      <c r="F64" s="19">
        <f>'SUB-1'!L64</f>
        <v>44</v>
      </c>
      <c r="G64" s="19">
        <f>'SUB- 2'!K64</f>
        <v>64</v>
      </c>
      <c r="H64" s="19">
        <f>'SUB-3'!L64</f>
        <v>42</v>
      </c>
      <c r="I64" s="19">
        <f>'SUB-4'!L64</f>
        <v>56</v>
      </c>
      <c r="J64" s="19">
        <f>'SUB-5'!L64</f>
        <v>53</v>
      </c>
      <c r="K64" s="19">
        <f>'SUB-6'!H65</f>
        <v>55</v>
      </c>
      <c r="L64" s="19">
        <f>'SUB-7'!H65</f>
        <v>20</v>
      </c>
      <c r="M64" s="19">
        <f>'SUB-8'!H65</f>
        <v>6</v>
      </c>
      <c r="N64" s="19">
        <f>'SUB-9'!H66</f>
        <v>27</v>
      </c>
      <c r="O64" s="19">
        <f>'SUB-10'!H65</f>
        <v>55</v>
      </c>
      <c r="P64" s="19">
        <f>'SUB- NEC'!G65</f>
        <v>26</v>
      </c>
      <c r="Q64" s="19">
        <f t="shared" si="0"/>
        <v>448</v>
      </c>
      <c r="R64" s="19">
        <f t="shared" si="1"/>
        <v>44.8</v>
      </c>
      <c r="S64" s="19">
        <f>('SUB-1'!M64)+('SUB- 2'!L64)+('SUB-3'!M64)+('SUB-4'!M64)+('SUB-5'!M64)+('SUB-6'!J65)+('SUB-7'!J65)+('SUB-8'!J65)+('SUB-9'!J66)+('SUB-10'!J65)+('SUB- NEC'!J65)</f>
        <v>11</v>
      </c>
      <c r="T64" s="19" t="str">
        <f t="shared" si="2"/>
        <v>PASS</v>
      </c>
    </row>
    <row r="65" ht="14.25" customHeight="1" spans="4:20">
      <c r="D65" s="19">
        <f>'SUB-1'!D65</f>
        <v>51</v>
      </c>
      <c r="E65" s="19" t="str">
        <f>'SUB-1'!E65</f>
        <v>BTMC24O1051</v>
      </c>
      <c r="F65" s="19">
        <f>'SUB-1'!L65</f>
        <v>53</v>
      </c>
      <c r="G65" s="19">
        <f>'SUB- 2'!K65</f>
        <v>47</v>
      </c>
      <c r="H65" s="19">
        <f>'SUB-3'!L65</f>
        <v>59</v>
      </c>
      <c r="I65" s="19">
        <f>'SUB-4'!L65</f>
        <v>70</v>
      </c>
      <c r="J65" s="19">
        <f>'SUB-5'!L65</f>
        <v>31</v>
      </c>
      <c r="K65" s="19">
        <f>'SUB-6'!H66</f>
        <v>53</v>
      </c>
      <c r="L65" s="19">
        <f>'SUB-7'!H66</f>
        <v>73</v>
      </c>
      <c r="M65" s="19">
        <f>'SUB-8'!H66</f>
        <v>35</v>
      </c>
      <c r="N65" s="19">
        <f>'SUB-9'!H67</f>
        <v>9</v>
      </c>
      <c r="O65" s="19">
        <f>'SUB-10'!H66</f>
        <v>29</v>
      </c>
      <c r="P65" s="19">
        <f>'SUB- NEC'!G66</f>
        <v>20</v>
      </c>
      <c r="Q65" s="19">
        <f t="shared" si="0"/>
        <v>479</v>
      </c>
      <c r="R65" s="19">
        <f t="shared" si="1"/>
        <v>47.9</v>
      </c>
      <c r="S65" s="19">
        <f>('SUB-1'!M65)+('SUB- 2'!L65)+('SUB-3'!M65)+('SUB-4'!M65)+('SUB-5'!M65)+('SUB-6'!J66)+('SUB-7'!J66)+('SUB-8'!J66)+('SUB-9'!J67)+('SUB-10'!J66)+('SUB- NEC'!J66)</f>
        <v>11</v>
      </c>
      <c r="T65" s="19" t="str">
        <f t="shared" si="2"/>
        <v>PASS</v>
      </c>
    </row>
    <row r="66" ht="14.25" customHeight="1" spans="4:20">
      <c r="D66" s="19">
        <f>'SUB-1'!D66</f>
        <v>52</v>
      </c>
      <c r="E66" s="19" t="str">
        <f>'SUB-1'!E66</f>
        <v>BTMC24O1052</v>
      </c>
      <c r="F66" s="19">
        <f>'SUB-1'!L66</f>
        <v>62</v>
      </c>
      <c r="G66" s="19">
        <f>'SUB- 2'!K66</f>
        <v>55</v>
      </c>
      <c r="H66" s="19">
        <f>'SUB-3'!L66</f>
        <v>26</v>
      </c>
      <c r="I66" s="19">
        <f>'SUB-4'!L66</f>
        <v>46</v>
      </c>
      <c r="J66" s="19">
        <f>'SUB-5'!L66</f>
        <v>61</v>
      </c>
      <c r="K66" s="19">
        <f>'SUB-6'!H67</f>
        <v>45</v>
      </c>
      <c r="L66" s="19">
        <f>'SUB-7'!H67</f>
        <v>57</v>
      </c>
      <c r="M66" s="19">
        <f>'SUB-8'!H67</f>
        <v>0</v>
      </c>
      <c r="N66" s="19">
        <f>'SUB-9'!H68</f>
        <v>6</v>
      </c>
      <c r="O66" s="19">
        <f>'SUB-10'!H67</f>
        <v>26</v>
      </c>
      <c r="P66" s="19">
        <f>'SUB- NEC'!G67</f>
        <v>30</v>
      </c>
      <c r="Q66" s="19">
        <f t="shared" si="0"/>
        <v>414</v>
      </c>
      <c r="R66" s="19">
        <f t="shared" si="1"/>
        <v>41.4</v>
      </c>
      <c r="S66" s="19">
        <f>('SUB-1'!M66)+('SUB- 2'!L66)+('SUB-3'!M66)+('SUB-4'!M66)+('SUB-5'!M66)+('SUB-6'!J67)+('SUB-7'!J67)+('SUB-8'!J67)+('SUB-9'!J68)+('SUB-10'!J67)+('SUB- NEC'!J67)</f>
        <v>10</v>
      </c>
      <c r="T66" s="19" t="str">
        <f t="shared" si="2"/>
        <v>PASS</v>
      </c>
    </row>
    <row r="67" ht="14.25" customHeight="1" spans="4:20">
      <c r="D67" s="19">
        <f>'SUB-1'!D67</f>
        <v>53</v>
      </c>
      <c r="E67" s="19" t="str">
        <f>'SUB-1'!E67</f>
        <v>BTMC24O1053</v>
      </c>
      <c r="F67" s="19">
        <f>'SUB-1'!L67</f>
        <v>40</v>
      </c>
      <c r="G67" s="19">
        <f>'SUB- 2'!K67</f>
        <v>66</v>
      </c>
      <c r="H67" s="19">
        <f>'SUB-3'!L67</f>
        <v>42</v>
      </c>
      <c r="I67" s="19">
        <f>'SUB-4'!L67</f>
        <v>43</v>
      </c>
      <c r="J67" s="19">
        <f>'SUB-5'!L67</f>
        <v>74</v>
      </c>
      <c r="K67" s="19">
        <f>'SUB-6'!H68</f>
        <v>22</v>
      </c>
      <c r="L67" s="19">
        <f>'SUB-7'!H68</f>
        <v>20</v>
      </c>
      <c r="M67" s="19">
        <f>'SUB-8'!H68</f>
        <v>11</v>
      </c>
      <c r="N67" s="19">
        <f>'SUB-9'!H69</f>
        <v>62</v>
      </c>
      <c r="O67" s="19">
        <f>'SUB-10'!H68</f>
        <v>49</v>
      </c>
      <c r="P67" s="19">
        <f>'SUB- NEC'!G68</f>
        <v>19</v>
      </c>
      <c r="Q67" s="19">
        <f t="shared" si="0"/>
        <v>448</v>
      </c>
      <c r="R67" s="19">
        <f t="shared" si="1"/>
        <v>44.8</v>
      </c>
      <c r="S67" s="19">
        <f>('SUB-1'!M67)+('SUB- 2'!L67)+('SUB-3'!M67)+('SUB-4'!M67)+('SUB-5'!M67)+('SUB-6'!J68)+('SUB-7'!J68)+('SUB-8'!J68)+('SUB-9'!J69)+('SUB-10'!J68)+('SUB- NEC'!J68)</f>
        <v>10</v>
      </c>
      <c r="T67" s="19" t="str">
        <f t="shared" si="2"/>
        <v>PASS</v>
      </c>
    </row>
    <row r="68" ht="14.25" customHeight="1" spans="4:20">
      <c r="D68" s="19">
        <f>'SUB-1'!D68</f>
        <v>54</v>
      </c>
      <c r="E68" s="19" t="str">
        <f>'SUB-1'!E68</f>
        <v>BTMC24O1054</v>
      </c>
      <c r="F68" s="19">
        <f>'SUB-1'!L68</f>
        <v>44</v>
      </c>
      <c r="G68" s="19">
        <f>'SUB- 2'!K68</f>
        <v>45</v>
      </c>
      <c r="H68" s="19">
        <f>'SUB-3'!L68</f>
        <v>54</v>
      </c>
      <c r="I68" s="19">
        <f>'SUB-4'!L68</f>
        <v>40</v>
      </c>
      <c r="J68" s="19">
        <f>'SUB-5'!L68</f>
        <v>33</v>
      </c>
      <c r="K68" s="19">
        <f>'SUB-6'!H69</f>
        <v>36</v>
      </c>
      <c r="L68" s="19">
        <f>'SUB-7'!H69</f>
        <v>66</v>
      </c>
      <c r="M68" s="19">
        <f>'SUB-8'!H69</f>
        <v>7</v>
      </c>
      <c r="N68" s="19">
        <f>'SUB-9'!H70</f>
        <v>45</v>
      </c>
      <c r="O68" s="19">
        <f>'SUB-10'!H69</f>
        <v>28</v>
      </c>
      <c r="P68" s="19">
        <f>'SUB- NEC'!G69</f>
        <v>33</v>
      </c>
      <c r="Q68" s="19">
        <f t="shared" si="0"/>
        <v>431</v>
      </c>
      <c r="R68" s="19">
        <f t="shared" si="1"/>
        <v>43.1</v>
      </c>
      <c r="S68" s="19">
        <f>('SUB-1'!M68)+('SUB- 2'!L68)+('SUB-3'!M68)+('SUB-4'!M68)+('SUB-5'!M68)+('SUB-6'!J69)+('SUB-7'!J69)+('SUB-8'!J69)+('SUB-9'!J70)+('SUB-10'!J69)+('SUB- NEC'!J69)</f>
        <v>9</v>
      </c>
      <c r="T68" s="19" t="str">
        <f t="shared" si="2"/>
        <v>PASS</v>
      </c>
    </row>
    <row r="69" ht="14.25" customHeight="1" spans="4:20">
      <c r="D69" s="19">
        <f>'SUB-1'!D69</f>
        <v>55</v>
      </c>
      <c r="E69" s="19" t="str">
        <f>'SUB-1'!E69</f>
        <v>BTMC24O1055</v>
      </c>
      <c r="F69" s="19">
        <f>'SUB-1'!L69</f>
        <v>79</v>
      </c>
      <c r="G69" s="19">
        <f>'SUB- 2'!K69</f>
        <v>37</v>
      </c>
      <c r="H69" s="19">
        <f>'SUB-3'!L69</f>
        <v>66</v>
      </c>
      <c r="I69" s="19">
        <f>'SUB-4'!L69</f>
        <v>44</v>
      </c>
      <c r="J69" s="19">
        <f>'SUB-5'!L69</f>
        <v>50</v>
      </c>
      <c r="K69" s="19">
        <f>'SUB-6'!H70</f>
        <v>80</v>
      </c>
      <c r="L69" s="19">
        <f>'SUB-7'!H70</f>
        <v>15</v>
      </c>
      <c r="M69" s="19">
        <f>'SUB-8'!H70</f>
        <v>27</v>
      </c>
      <c r="N69" s="19">
        <f>'SUB-9'!H71</f>
        <v>68</v>
      </c>
      <c r="O69" s="19">
        <f>'SUB-10'!H70</f>
        <v>31</v>
      </c>
      <c r="P69" s="19">
        <f>'SUB- NEC'!G70</f>
        <v>2</v>
      </c>
      <c r="Q69" s="19">
        <f t="shared" si="0"/>
        <v>499</v>
      </c>
      <c r="R69" s="19">
        <f t="shared" si="1"/>
        <v>49.9</v>
      </c>
      <c r="S69" s="19">
        <f>('SUB-1'!M69)+('SUB- 2'!L69)+('SUB-3'!M69)+('SUB-4'!M69)+('SUB-5'!M69)+('SUB-6'!J70)+('SUB-7'!J70)+('SUB-8'!J70)+('SUB-9'!J71)+('SUB-10'!J70)+('SUB- NEC'!J70)</f>
        <v>11</v>
      </c>
      <c r="T69" s="19" t="str">
        <f t="shared" si="2"/>
        <v>PASS</v>
      </c>
    </row>
    <row r="70" ht="14.25" customHeight="1" spans="4:20">
      <c r="D70" s="19">
        <f>'SUB-1'!D70</f>
        <v>56</v>
      </c>
      <c r="E70" s="19" t="str">
        <f>'SUB-1'!E70</f>
        <v>BTMC24O1056</v>
      </c>
      <c r="F70" s="19">
        <f>'SUB-1'!L70</f>
        <v>68</v>
      </c>
      <c r="G70" s="19">
        <f>'SUB- 2'!K70</f>
        <v>27</v>
      </c>
      <c r="H70" s="19">
        <f>'SUB-3'!L70</f>
        <v>69</v>
      </c>
      <c r="I70" s="19">
        <f>'SUB-4'!L70</f>
        <v>30</v>
      </c>
      <c r="J70" s="19">
        <f>'SUB-5'!L70</f>
        <v>81</v>
      </c>
      <c r="K70" s="19">
        <f>'SUB-6'!H71</f>
        <v>69</v>
      </c>
      <c r="L70" s="19">
        <f>'SUB-7'!H71</f>
        <v>71</v>
      </c>
      <c r="M70" s="19">
        <f>'SUB-8'!H71</f>
        <v>30</v>
      </c>
      <c r="N70" s="19">
        <f>'SUB-9'!H72</f>
        <v>39</v>
      </c>
      <c r="O70" s="19">
        <f>'SUB-10'!H71</f>
        <v>21</v>
      </c>
      <c r="P70" s="19">
        <f>'SUB- NEC'!G71</f>
        <v>47</v>
      </c>
      <c r="Q70" s="19">
        <f t="shared" si="0"/>
        <v>552</v>
      </c>
      <c r="R70" s="19">
        <f t="shared" si="1"/>
        <v>55.2</v>
      </c>
      <c r="S70" s="19">
        <f>('SUB-1'!M70)+('SUB- 2'!L70)+('SUB-3'!M70)+('SUB-4'!M70)+('SUB-5'!M70)+('SUB-6'!J71)+('SUB-7'!J71)+('SUB-8'!J71)+('SUB-9'!J72)+('SUB-10'!J71)+('SUB- NEC'!J71)</f>
        <v>12</v>
      </c>
      <c r="T70" s="19" t="str">
        <f t="shared" si="2"/>
        <v>PASS</v>
      </c>
    </row>
    <row r="71" ht="14.25" customHeight="1" spans="4:20">
      <c r="D71" s="19">
        <f>'SUB-1'!D71</f>
        <v>57</v>
      </c>
      <c r="E71" s="19" t="str">
        <f>'SUB-1'!E71</f>
        <v>BTMC24O1057</v>
      </c>
      <c r="F71" s="19">
        <f>'SUB-1'!L71</f>
        <v>57</v>
      </c>
      <c r="G71" s="19">
        <f>'SUB- 2'!K71</f>
        <v>43</v>
      </c>
      <c r="H71" s="19">
        <f>'SUB-3'!L71</f>
        <v>43</v>
      </c>
      <c r="I71" s="19">
        <f>'SUB-4'!L71</f>
        <v>47</v>
      </c>
      <c r="J71" s="19">
        <f>'SUB-5'!L71</f>
        <v>16</v>
      </c>
      <c r="K71" s="19">
        <f>'SUB-6'!H72</f>
        <v>70</v>
      </c>
      <c r="L71" s="19">
        <f>'SUB-7'!H72</f>
        <v>79</v>
      </c>
      <c r="M71" s="19">
        <f>'SUB-8'!H72</f>
        <v>6</v>
      </c>
      <c r="N71" s="19">
        <f>'SUB-9'!H73</f>
        <v>16</v>
      </c>
      <c r="O71" s="19">
        <f>'SUB-10'!H72</f>
        <v>57</v>
      </c>
      <c r="P71" s="19">
        <f>'SUB- NEC'!G72</f>
        <v>23</v>
      </c>
      <c r="Q71" s="19">
        <f t="shared" si="0"/>
        <v>457</v>
      </c>
      <c r="R71" s="19">
        <f t="shared" si="1"/>
        <v>45.7</v>
      </c>
      <c r="S71" s="19">
        <f>('SUB-1'!M71)+('SUB- 2'!L71)+('SUB-3'!M71)+('SUB-4'!M71)+('SUB-5'!M71)+('SUB-6'!J72)+('SUB-7'!J72)+('SUB-8'!J72)+('SUB-9'!J73)+('SUB-10'!J72)+('SUB- NEC'!J72)</f>
        <v>9</v>
      </c>
      <c r="T71" s="19" t="str">
        <f t="shared" si="2"/>
        <v>PASS</v>
      </c>
    </row>
    <row r="72" ht="14.25" customHeight="1" spans="4:20">
      <c r="D72" s="19">
        <f>'SUB-1'!D72</f>
        <v>58</v>
      </c>
      <c r="E72" s="19" t="str">
        <f>'SUB-1'!E72</f>
        <v>BTMC24O1058</v>
      </c>
      <c r="F72" s="19">
        <f>'SUB-1'!L72</f>
        <v>65</v>
      </c>
      <c r="G72" s="19">
        <f>'SUB- 2'!K72</f>
        <v>53</v>
      </c>
      <c r="H72" s="19">
        <f>'SUB-3'!L72</f>
        <v>44</v>
      </c>
      <c r="I72" s="19">
        <f>'SUB-4'!L72</f>
        <v>71</v>
      </c>
      <c r="J72" s="19">
        <f>'SUB-5'!L72</f>
        <v>61</v>
      </c>
      <c r="K72" s="19">
        <f>'SUB-6'!H73</f>
        <v>56</v>
      </c>
      <c r="L72" s="19">
        <f>'SUB-7'!H73</f>
        <v>13</v>
      </c>
      <c r="M72" s="19">
        <f>'SUB-8'!H73</f>
        <v>25</v>
      </c>
      <c r="N72" s="19">
        <f>'SUB-9'!H74</f>
        <v>67</v>
      </c>
      <c r="O72" s="19">
        <f>'SUB-10'!H73</f>
        <v>81</v>
      </c>
      <c r="P72" s="19">
        <f>'SUB- NEC'!G73</f>
        <v>4</v>
      </c>
      <c r="Q72" s="19">
        <f t="shared" si="0"/>
        <v>540</v>
      </c>
      <c r="R72" s="19">
        <f t="shared" si="1"/>
        <v>54</v>
      </c>
      <c r="S72" s="19">
        <f>('SUB-1'!M72)+('SUB- 2'!L72)+('SUB-3'!M72)+('SUB-4'!M72)+('SUB-5'!M72)+('SUB-6'!J73)+('SUB-7'!J73)+('SUB-8'!J73)+('SUB-9'!J74)+('SUB-10'!J73)+('SUB- NEC'!J73)</f>
        <v>13</v>
      </c>
      <c r="T72" s="19" t="str">
        <f t="shared" si="2"/>
        <v>PASS</v>
      </c>
    </row>
    <row r="73" ht="14.25" customHeight="1" spans="4:20">
      <c r="D73" s="19">
        <f>'SUB-1'!D73</f>
        <v>59</v>
      </c>
      <c r="E73" s="19" t="str">
        <f>'SUB-1'!E73</f>
        <v>BTMC24O1059</v>
      </c>
      <c r="F73" s="19">
        <f>'SUB-1'!L73</f>
        <v>55</v>
      </c>
      <c r="G73" s="19">
        <f>'SUB- 2'!K73</f>
        <v>52</v>
      </c>
      <c r="H73" s="19">
        <f>'SUB-3'!L73</f>
        <v>27</v>
      </c>
      <c r="I73" s="19">
        <f>'SUB-4'!L73</f>
        <v>57</v>
      </c>
      <c r="J73" s="19">
        <f>'SUB-5'!L73</f>
        <v>57</v>
      </c>
      <c r="K73" s="19">
        <f>'SUB-6'!H74</f>
        <v>5</v>
      </c>
      <c r="L73" s="19">
        <f>'SUB-7'!H74</f>
        <v>69</v>
      </c>
      <c r="M73" s="19">
        <f>'SUB-8'!H74</f>
        <v>29</v>
      </c>
      <c r="N73" s="19">
        <f>'SUB-9'!H75</f>
        <v>47</v>
      </c>
      <c r="O73" s="19">
        <f>'SUB-10'!H74</f>
        <v>58</v>
      </c>
      <c r="P73" s="19">
        <f>'SUB- NEC'!G74</f>
        <v>15</v>
      </c>
      <c r="Q73" s="19">
        <f t="shared" si="0"/>
        <v>471</v>
      </c>
      <c r="R73" s="19">
        <f t="shared" si="1"/>
        <v>47.1</v>
      </c>
      <c r="S73" s="19">
        <f>('SUB-1'!M73)+('SUB- 2'!L73)+('SUB-3'!M73)+('SUB-4'!M73)+('SUB-5'!M73)+('SUB-6'!J74)+('SUB-7'!J74)+('SUB-8'!J74)+('SUB-9'!J75)+('SUB-10'!J74)+('SUB- NEC'!J74)</f>
        <v>12</v>
      </c>
      <c r="T73" s="19" t="str">
        <f t="shared" si="2"/>
        <v>PASS</v>
      </c>
    </row>
    <row r="74" ht="14.25" customHeight="1" spans="4:20">
      <c r="D74" s="19">
        <f>'SUB-1'!D74</f>
        <v>60</v>
      </c>
      <c r="E74" s="19" t="str">
        <f>'SUB-1'!E74</f>
        <v>BTMC24O1060</v>
      </c>
      <c r="F74" s="19">
        <f>'SUB-1'!L74</f>
        <v>50</v>
      </c>
      <c r="G74" s="19">
        <f>'SUB- 2'!K74</f>
        <v>53</v>
      </c>
      <c r="H74" s="19">
        <f>'SUB-3'!L74</f>
        <v>30</v>
      </c>
      <c r="I74" s="19">
        <f>'SUB-4'!L74</f>
        <v>54</v>
      </c>
      <c r="J74" s="19">
        <f>'SUB-5'!L74</f>
        <v>31</v>
      </c>
      <c r="K74" s="19">
        <f>'SUB-6'!H75</f>
        <v>60</v>
      </c>
      <c r="L74" s="19">
        <f>'SUB-7'!H75</f>
        <v>55</v>
      </c>
      <c r="M74" s="19">
        <f>'SUB-8'!H75</f>
        <v>32</v>
      </c>
      <c r="N74" s="19">
        <f>'SUB-9'!H76</f>
        <v>15</v>
      </c>
      <c r="O74" s="19">
        <f>'SUB-10'!H75</f>
        <v>60</v>
      </c>
      <c r="P74" s="19">
        <f>'SUB- NEC'!G75</f>
        <v>40</v>
      </c>
      <c r="Q74" s="19">
        <f t="shared" si="0"/>
        <v>480</v>
      </c>
      <c r="R74" s="19">
        <f t="shared" si="1"/>
        <v>48</v>
      </c>
      <c r="S74" s="19">
        <f>('SUB-1'!M74)+('SUB- 2'!L74)+('SUB-3'!M74)+('SUB-4'!M74)+('SUB-5'!M74)+('SUB-6'!J75)+('SUB-7'!J75)+('SUB-8'!J75)+('SUB-9'!J76)+('SUB-10'!J75)+('SUB- NEC'!J75)</f>
        <v>10</v>
      </c>
      <c r="T74" s="19" t="str">
        <f t="shared" si="2"/>
        <v>PASS</v>
      </c>
    </row>
    <row r="75" ht="14.25" customHeight="1" spans="4:20">
      <c r="D75" s="19">
        <f>'SUB-1'!D75</f>
        <v>61</v>
      </c>
      <c r="E75" s="19" t="str">
        <f>'SUB-1'!E75</f>
        <v>BTMC24O1061</v>
      </c>
      <c r="F75" s="19">
        <f>'SUB-1'!L75</f>
        <v>44</v>
      </c>
      <c r="G75" s="19">
        <f>'SUB- 2'!K75</f>
        <v>64</v>
      </c>
      <c r="H75" s="19">
        <f>'SUB-3'!L75</f>
        <v>61</v>
      </c>
      <c r="I75" s="19">
        <f>'SUB-4'!L75</f>
        <v>37</v>
      </c>
      <c r="J75" s="19">
        <f>'SUB-5'!L75</f>
        <v>35</v>
      </c>
      <c r="K75" s="19">
        <f>'SUB-6'!H76</f>
        <v>59</v>
      </c>
      <c r="L75" s="19">
        <f>'SUB-7'!H76</f>
        <v>51</v>
      </c>
      <c r="M75" s="19">
        <f>'SUB-8'!H76</f>
        <v>32</v>
      </c>
      <c r="N75" s="19">
        <f>'SUB-9'!H77</f>
        <v>62</v>
      </c>
      <c r="O75" s="19">
        <f>'SUB-10'!H76</f>
        <v>73</v>
      </c>
      <c r="P75" s="19">
        <f>'SUB- NEC'!G76</f>
        <v>43</v>
      </c>
      <c r="Q75" s="19">
        <f t="shared" si="0"/>
        <v>561</v>
      </c>
      <c r="R75" s="19">
        <f t="shared" si="1"/>
        <v>56.1</v>
      </c>
      <c r="S75" s="19">
        <f>('SUB-1'!M75)+('SUB- 2'!L75)+('SUB-3'!M75)+('SUB-4'!M75)+('SUB-5'!M75)+('SUB-6'!J76)+('SUB-7'!J76)+('SUB-8'!J76)+('SUB-9'!J77)+('SUB-10'!J76)+('SUB- NEC'!J76)</f>
        <v>12</v>
      </c>
      <c r="T75" s="19" t="str">
        <f t="shared" si="2"/>
        <v>PASS</v>
      </c>
    </row>
    <row r="76" ht="14.25" customHeight="1" spans="4:20">
      <c r="D76" s="19">
        <f>'SUB-1'!D76</f>
        <v>62</v>
      </c>
      <c r="E76" s="19" t="str">
        <f>'SUB-1'!E76</f>
        <v>BTMC24O1062</v>
      </c>
      <c r="F76" s="19">
        <f>'SUB-1'!L76</f>
        <v>18</v>
      </c>
      <c r="G76" s="19">
        <f>'SUB- 2'!K76</f>
        <v>35</v>
      </c>
      <c r="H76" s="19">
        <f>'SUB-3'!L76</f>
        <v>33</v>
      </c>
      <c r="I76" s="19">
        <f>'SUB-4'!L76</f>
        <v>49</v>
      </c>
      <c r="J76" s="19">
        <f>'SUB-5'!L76</f>
        <v>42</v>
      </c>
      <c r="K76" s="19">
        <f>'SUB-6'!H77</f>
        <v>67</v>
      </c>
      <c r="L76" s="19">
        <f>'SUB-7'!H77</f>
        <v>42</v>
      </c>
      <c r="M76" s="19">
        <f>'SUB-8'!H77</f>
        <v>8</v>
      </c>
      <c r="N76" s="19">
        <f>'SUB-9'!H78</f>
        <v>65</v>
      </c>
      <c r="O76" s="19">
        <f>'SUB-10'!H77</f>
        <v>22</v>
      </c>
      <c r="P76" s="19">
        <f>'SUB- NEC'!G77</f>
        <v>3</v>
      </c>
      <c r="Q76" s="19">
        <f t="shared" si="0"/>
        <v>384</v>
      </c>
      <c r="R76" s="19">
        <f t="shared" si="1"/>
        <v>38.4</v>
      </c>
      <c r="S76" s="19">
        <f>('SUB-1'!M76)+('SUB- 2'!L76)+('SUB-3'!M76)+('SUB-4'!M76)+('SUB-5'!M76)+('SUB-6'!J77)+('SUB-7'!J77)+('SUB-8'!J77)+('SUB-9'!J78)+('SUB-10'!J77)+('SUB- NEC'!J77)</f>
        <v>5</v>
      </c>
      <c r="T76" s="19" t="str">
        <f t="shared" si="2"/>
        <v>FAIL</v>
      </c>
    </row>
    <row r="77" ht="14.25" customHeight="1" spans="4:20">
      <c r="D77" s="19">
        <f>'SUB-1'!D77</f>
        <v>63</v>
      </c>
      <c r="E77" s="19" t="str">
        <f>'SUB-1'!E77</f>
        <v>BTMC24O1063</v>
      </c>
      <c r="F77" s="19">
        <f>'SUB-1'!L77</f>
        <v>22</v>
      </c>
      <c r="G77" s="19">
        <f>'SUB- 2'!K77</f>
        <v>44</v>
      </c>
      <c r="H77" s="19">
        <f>'SUB-3'!L77</f>
        <v>40</v>
      </c>
      <c r="I77" s="19">
        <f>'SUB-4'!L77</f>
        <v>49</v>
      </c>
      <c r="J77" s="19">
        <f>'SUB-5'!L77</f>
        <v>30</v>
      </c>
      <c r="K77" s="19">
        <f>'SUB-6'!H78</f>
        <v>40</v>
      </c>
      <c r="L77" s="19">
        <f>'SUB-7'!H78</f>
        <v>73</v>
      </c>
      <c r="M77" s="19">
        <f>'SUB-8'!H78</f>
        <v>12</v>
      </c>
      <c r="N77" s="19">
        <f>'SUB-9'!H79</f>
        <v>50</v>
      </c>
      <c r="O77" s="19">
        <f>'SUB-10'!H78</f>
        <v>31</v>
      </c>
      <c r="P77" s="19">
        <f>'SUB- NEC'!G78</f>
        <v>19</v>
      </c>
      <c r="Q77" s="19">
        <f t="shared" si="0"/>
        <v>410</v>
      </c>
      <c r="R77" s="19">
        <f t="shared" si="1"/>
        <v>41</v>
      </c>
      <c r="S77" s="19">
        <f>('SUB-1'!M77)+('SUB- 2'!L77)+('SUB-3'!M77)+('SUB-4'!M77)+('SUB-5'!M77)+('SUB-6'!J78)+('SUB-7'!J78)+('SUB-8'!J78)+('SUB-9'!J79)+('SUB-10'!J78)+('SUB- NEC'!J78)</f>
        <v>7</v>
      </c>
      <c r="T77" s="19" t="str">
        <f t="shared" si="2"/>
        <v>PASS</v>
      </c>
    </row>
    <row r="78" ht="14.25" customHeight="1" spans="4:20">
      <c r="D78" s="19">
        <f>'SUB-1'!D78</f>
        <v>64</v>
      </c>
      <c r="E78" s="19" t="str">
        <f>'SUB-1'!E78</f>
        <v>BTMC24O1064</v>
      </c>
      <c r="F78" s="19">
        <f>'SUB-1'!L78</f>
        <v>22</v>
      </c>
      <c r="G78" s="19">
        <f>'SUB- 2'!K78</f>
        <v>45</v>
      </c>
      <c r="H78" s="19">
        <f>'SUB-3'!L78</f>
        <v>17</v>
      </c>
      <c r="I78" s="19">
        <f>'SUB-4'!L78</f>
        <v>42</v>
      </c>
      <c r="J78" s="19">
        <f>'SUB-5'!L78</f>
        <v>42</v>
      </c>
      <c r="K78" s="19">
        <f>'SUB-6'!H79</f>
        <v>44</v>
      </c>
      <c r="L78" s="19">
        <f>'SUB-7'!H79</f>
        <v>77</v>
      </c>
      <c r="M78" s="19">
        <f>'SUB-8'!H79</f>
        <v>7</v>
      </c>
      <c r="N78" s="19">
        <f>'SUB-9'!H80</f>
        <v>83</v>
      </c>
      <c r="O78" s="19">
        <f>'SUB-10'!H79</f>
        <v>77</v>
      </c>
      <c r="P78" s="19">
        <f>'SUB- NEC'!G79</f>
        <v>14</v>
      </c>
      <c r="Q78" s="19">
        <f t="shared" si="0"/>
        <v>470</v>
      </c>
      <c r="R78" s="19">
        <f t="shared" si="1"/>
        <v>47</v>
      </c>
      <c r="S78" s="19">
        <f>('SUB-1'!M78)+('SUB- 2'!L78)+('SUB-3'!M78)+('SUB-4'!M78)+('SUB-5'!M78)+('SUB-6'!J79)+('SUB-7'!J79)+('SUB-8'!J79)+('SUB-9'!J80)+('SUB-10'!J79)+('SUB- NEC'!J79)</f>
        <v>7</v>
      </c>
      <c r="T78" s="19" t="str">
        <f t="shared" si="2"/>
        <v>PASS</v>
      </c>
    </row>
    <row r="79" ht="14.25" customHeight="1" spans="4:20">
      <c r="D79" s="19">
        <f>'SUB-1'!D79</f>
        <v>65</v>
      </c>
      <c r="E79" s="19" t="str">
        <f>'SUB-1'!E79</f>
        <v>BTMC24O1065</v>
      </c>
      <c r="F79" s="19">
        <f>'SUB-1'!L79</f>
        <v>48</v>
      </c>
      <c r="G79" s="19">
        <f>'SUB- 2'!K79</f>
        <v>55</v>
      </c>
      <c r="H79" s="19">
        <f>'SUB-3'!L79</f>
        <v>45</v>
      </c>
      <c r="I79" s="19">
        <f>'SUB-4'!L79</f>
        <v>40</v>
      </c>
      <c r="J79" s="19">
        <f>'SUB-5'!L79</f>
        <v>46</v>
      </c>
      <c r="K79" s="19">
        <f>'SUB-6'!H80</f>
        <v>34</v>
      </c>
      <c r="L79" s="19">
        <f>'SUB-7'!H80</f>
        <v>80</v>
      </c>
      <c r="M79" s="19">
        <f>'SUB-8'!H80</f>
        <v>3</v>
      </c>
      <c r="N79" s="19">
        <f>'SUB-9'!H81</f>
        <v>12</v>
      </c>
      <c r="O79" s="19">
        <f>'SUB-10'!H80</f>
        <v>72</v>
      </c>
      <c r="P79" s="19">
        <f>'SUB- NEC'!G80</f>
        <v>0</v>
      </c>
      <c r="Q79" s="19">
        <f t="shared" ref="Q79:Q114" si="3">SUM(F79:P79)</f>
        <v>435</v>
      </c>
      <c r="R79" s="19">
        <f t="shared" ref="R79:R114" si="4">(Q79/1000)*100</f>
        <v>43.5</v>
      </c>
      <c r="S79" s="19">
        <f>('SUB-1'!M79)+('SUB- 2'!L79)+('SUB-3'!M79)+('SUB-4'!M79)+('SUB-5'!M79)+('SUB-6'!J80)+('SUB-7'!J80)+('SUB-8'!J80)+('SUB-9'!J81)+('SUB-10'!J80)+('SUB- NEC'!J80)</f>
        <v>8</v>
      </c>
      <c r="T79" s="19" t="str">
        <f t="shared" ref="T79:T114" si="5">IF(R79&lt;40,"FAIL","PASS")</f>
        <v>PASS</v>
      </c>
    </row>
    <row r="80" ht="14.25" customHeight="1" spans="4:20">
      <c r="D80" s="19">
        <f>'SUB-1'!D80</f>
        <v>66</v>
      </c>
      <c r="E80" s="19" t="str">
        <f>'SUB-1'!E80</f>
        <v>BTMC24O1066</v>
      </c>
      <c r="F80" s="19">
        <f>'SUB-1'!L80</f>
        <v>53</v>
      </c>
      <c r="G80" s="19">
        <f>'SUB- 2'!K80</f>
        <v>43</v>
      </c>
      <c r="H80" s="19">
        <f>'SUB-3'!L80</f>
        <v>45</v>
      </c>
      <c r="I80" s="19">
        <f>'SUB-4'!L80</f>
        <v>28</v>
      </c>
      <c r="J80" s="19">
        <f>'SUB-5'!L80</f>
        <v>50</v>
      </c>
      <c r="K80" s="19">
        <f>'SUB-6'!H81</f>
        <v>47</v>
      </c>
      <c r="L80" s="19">
        <f>'SUB-7'!H81</f>
        <v>29</v>
      </c>
      <c r="M80" s="19">
        <f>'SUB-8'!H81</f>
        <v>19</v>
      </c>
      <c r="N80" s="19">
        <f>'SUB-9'!H82</f>
        <v>44</v>
      </c>
      <c r="O80" s="19">
        <f>'SUB-10'!H81</f>
        <v>51</v>
      </c>
      <c r="P80" s="19">
        <f>'SUB- NEC'!G81</f>
        <v>31</v>
      </c>
      <c r="Q80" s="19">
        <f t="shared" si="3"/>
        <v>440</v>
      </c>
      <c r="R80" s="19">
        <f t="shared" si="4"/>
        <v>44</v>
      </c>
      <c r="S80" s="19">
        <f>('SUB-1'!M80)+('SUB- 2'!L80)+('SUB-3'!M80)+('SUB-4'!M80)+('SUB-5'!M80)+('SUB-6'!J81)+('SUB-7'!J81)+('SUB-8'!J81)+('SUB-9'!J82)+('SUB-10'!J81)+('SUB- NEC'!J81)</f>
        <v>10</v>
      </c>
      <c r="T80" s="19" t="str">
        <f t="shared" si="5"/>
        <v>PASS</v>
      </c>
    </row>
    <row r="81" ht="14.25" customHeight="1" spans="4:20">
      <c r="D81" s="19">
        <f>'SUB-1'!D81</f>
        <v>67</v>
      </c>
      <c r="E81" s="19" t="str">
        <f>'SUB-1'!E81</f>
        <v>BTMC24O1067</v>
      </c>
      <c r="F81" s="19">
        <f>'SUB-1'!L81</f>
        <v>44</v>
      </c>
      <c r="G81" s="19">
        <f>'SUB- 2'!K81</f>
        <v>48</v>
      </c>
      <c r="H81" s="19">
        <f>'SUB-3'!L81</f>
        <v>45</v>
      </c>
      <c r="I81" s="19">
        <f>'SUB-4'!L81</f>
        <v>39</v>
      </c>
      <c r="J81" s="19">
        <f>'SUB-5'!L81</f>
        <v>24</v>
      </c>
      <c r="K81" s="19">
        <f>'SUB-6'!H82</f>
        <v>8</v>
      </c>
      <c r="L81" s="19">
        <f>'SUB-7'!H82</f>
        <v>77</v>
      </c>
      <c r="M81" s="19">
        <f>'SUB-8'!H82</f>
        <v>29</v>
      </c>
      <c r="N81" s="19">
        <f>'SUB-9'!H83</f>
        <v>52</v>
      </c>
      <c r="O81" s="19">
        <f>'SUB-10'!H82</f>
        <v>33</v>
      </c>
      <c r="P81" s="19">
        <f>'SUB- NEC'!G82</f>
        <v>20</v>
      </c>
      <c r="Q81" s="19">
        <f t="shared" si="3"/>
        <v>419</v>
      </c>
      <c r="R81" s="19">
        <f t="shared" si="4"/>
        <v>41.9</v>
      </c>
      <c r="S81" s="19">
        <f>('SUB-1'!M81)+('SUB- 2'!L81)+('SUB-3'!M81)+('SUB-4'!M81)+('SUB-5'!M81)+('SUB-6'!J82)+('SUB-7'!J82)+('SUB-8'!J82)+('SUB-9'!J83)+('SUB-10'!J82)+('SUB- NEC'!J82)</f>
        <v>8</v>
      </c>
      <c r="T81" s="19" t="str">
        <f t="shared" si="5"/>
        <v>PASS</v>
      </c>
    </row>
    <row r="82" ht="14.25" customHeight="1" spans="4:20">
      <c r="D82" s="19">
        <f>'SUB-1'!D82</f>
        <v>68</v>
      </c>
      <c r="E82" s="19" t="str">
        <f>'SUB-1'!E82</f>
        <v>BTMC24O1068</v>
      </c>
      <c r="F82" s="19">
        <f>'SUB-1'!L82</f>
        <v>46</v>
      </c>
      <c r="G82" s="19">
        <f>'SUB- 2'!K82</f>
        <v>36</v>
      </c>
      <c r="H82" s="19">
        <f>'SUB-3'!L82</f>
        <v>51</v>
      </c>
      <c r="I82" s="19">
        <f>'SUB-4'!L82</f>
        <v>38</v>
      </c>
      <c r="J82" s="19">
        <f>'SUB-5'!L82</f>
        <v>42</v>
      </c>
      <c r="K82" s="19">
        <f>'SUB-6'!H83</f>
        <v>53</v>
      </c>
      <c r="L82" s="19">
        <f>'SUB-7'!H83</f>
        <v>70</v>
      </c>
      <c r="M82" s="19">
        <f>'SUB-8'!H83</f>
        <v>7</v>
      </c>
      <c r="N82" s="19">
        <f>'SUB-9'!H84</f>
        <v>33</v>
      </c>
      <c r="O82" s="19">
        <f>'SUB-10'!H83</f>
        <v>73</v>
      </c>
      <c r="P82" s="19">
        <f>'SUB- NEC'!G83</f>
        <v>24</v>
      </c>
      <c r="Q82" s="19">
        <f t="shared" si="3"/>
        <v>473</v>
      </c>
      <c r="R82" s="19">
        <f t="shared" si="4"/>
        <v>47.3</v>
      </c>
      <c r="S82" s="19">
        <f>('SUB-1'!M82)+('SUB- 2'!L82)+('SUB-3'!M82)+('SUB-4'!M82)+('SUB-5'!M82)+('SUB-6'!J83)+('SUB-7'!J83)+('SUB-8'!J83)+('SUB-9'!J84)+('SUB-10'!J83)+('SUB- NEC'!J83)</f>
        <v>10</v>
      </c>
      <c r="T82" s="19" t="str">
        <f t="shared" si="5"/>
        <v>PASS</v>
      </c>
    </row>
    <row r="83" ht="14.25" customHeight="1" spans="4:20">
      <c r="D83" s="19">
        <f>'SUB-1'!D83</f>
        <v>69</v>
      </c>
      <c r="E83" s="19" t="str">
        <f>'SUB-1'!E83</f>
        <v>BTMC24O1069</v>
      </c>
      <c r="F83" s="19">
        <f>'SUB-1'!L83</f>
        <v>45</v>
      </c>
      <c r="G83" s="19">
        <f>'SUB- 2'!K83</f>
        <v>35</v>
      </c>
      <c r="H83" s="19">
        <f>'SUB-3'!L83</f>
        <v>39</v>
      </c>
      <c r="I83" s="19">
        <f>'SUB-4'!L83</f>
        <v>53</v>
      </c>
      <c r="J83" s="19">
        <f>'SUB-5'!L83</f>
        <v>48</v>
      </c>
      <c r="K83" s="19">
        <f>'SUB-6'!H84</f>
        <v>51</v>
      </c>
      <c r="L83" s="19">
        <f>'SUB-7'!H84</f>
        <v>48</v>
      </c>
      <c r="M83" s="19">
        <f>'SUB-8'!H84</f>
        <v>27</v>
      </c>
      <c r="N83" s="19">
        <f>'SUB-9'!H85</f>
        <v>64</v>
      </c>
      <c r="O83" s="19">
        <f>'SUB-10'!H84</f>
        <v>15</v>
      </c>
      <c r="P83" s="19">
        <f>'SUB- NEC'!G84</f>
        <v>1</v>
      </c>
      <c r="Q83" s="19">
        <f t="shared" si="3"/>
        <v>426</v>
      </c>
      <c r="R83" s="19">
        <f t="shared" si="4"/>
        <v>42.6</v>
      </c>
      <c r="S83" s="19">
        <f>('SUB-1'!M83)+('SUB- 2'!L83)+('SUB-3'!M83)+('SUB-4'!M83)+('SUB-5'!M83)+('SUB-6'!J84)+('SUB-7'!J84)+('SUB-8'!J84)+('SUB-9'!J85)+('SUB-10'!J84)+('SUB- NEC'!J84)</f>
        <v>9</v>
      </c>
      <c r="T83" s="19" t="str">
        <f t="shared" si="5"/>
        <v>PASS</v>
      </c>
    </row>
    <row r="84" ht="14.25" customHeight="1" spans="4:20">
      <c r="D84" s="19">
        <f>'SUB-1'!D84</f>
        <v>70</v>
      </c>
      <c r="E84" s="19" t="str">
        <f>'SUB-1'!E84</f>
        <v>BTMC24O1070</v>
      </c>
      <c r="F84" s="19">
        <f>'SUB-1'!L84</f>
        <v>51</v>
      </c>
      <c r="G84" s="19">
        <f>'SUB- 2'!K84</f>
        <v>42</v>
      </c>
      <c r="H84" s="19">
        <f>'SUB-3'!L84</f>
        <v>70</v>
      </c>
      <c r="I84" s="19">
        <f>'SUB-4'!L84</f>
        <v>55</v>
      </c>
      <c r="J84" s="19">
        <f>'SUB-5'!L84</f>
        <v>56</v>
      </c>
      <c r="K84" s="19">
        <f>'SUB-6'!H85</f>
        <v>56</v>
      </c>
      <c r="L84" s="19">
        <f>'SUB-7'!H85</f>
        <v>90</v>
      </c>
      <c r="M84" s="19">
        <f>'SUB-8'!H85</f>
        <v>9</v>
      </c>
      <c r="N84" s="19">
        <f>'SUB-9'!H86</f>
        <v>29</v>
      </c>
      <c r="O84" s="19">
        <f>'SUB-10'!H85</f>
        <v>30</v>
      </c>
      <c r="P84" s="19">
        <f>'SUB- NEC'!G85</f>
        <v>13</v>
      </c>
      <c r="Q84" s="19">
        <f t="shared" si="3"/>
        <v>501</v>
      </c>
      <c r="R84" s="19">
        <f t="shared" si="4"/>
        <v>50.1</v>
      </c>
      <c r="S84" s="19">
        <f>('SUB-1'!M84)+('SUB- 2'!L84)+('SUB-3'!M84)+('SUB-4'!M84)+('SUB-5'!M84)+('SUB-6'!J85)+('SUB-7'!J85)+('SUB-8'!J85)+('SUB-9'!J86)+('SUB-10'!J85)+('SUB- NEC'!J85)</f>
        <v>11</v>
      </c>
      <c r="T84" s="19" t="str">
        <f t="shared" si="5"/>
        <v>PASS</v>
      </c>
    </row>
    <row r="85" ht="14.25" customHeight="1" spans="4:20">
      <c r="D85" s="19">
        <f>'SUB-1'!D85</f>
        <v>71</v>
      </c>
      <c r="E85" s="19" t="str">
        <f>'SUB-1'!E85</f>
        <v>BTMC24O1071</v>
      </c>
      <c r="F85" s="19">
        <f>'SUB-1'!L85</f>
        <v>66</v>
      </c>
      <c r="G85" s="19">
        <f>'SUB- 2'!K85</f>
        <v>47</v>
      </c>
      <c r="H85" s="19">
        <f>'SUB-3'!L85</f>
        <v>52</v>
      </c>
      <c r="I85" s="19">
        <f>'SUB-4'!L85</f>
        <v>22</v>
      </c>
      <c r="J85" s="19">
        <f>'SUB-5'!L85</f>
        <v>51</v>
      </c>
      <c r="K85" s="19">
        <f>'SUB-6'!H86</f>
        <v>52</v>
      </c>
      <c r="L85" s="19">
        <f>'SUB-7'!H86</f>
        <v>46</v>
      </c>
      <c r="M85" s="19">
        <f>'SUB-8'!H86</f>
        <v>21</v>
      </c>
      <c r="N85" s="19">
        <f>'SUB-9'!H87</f>
        <v>80</v>
      </c>
      <c r="O85" s="19">
        <f>'SUB-10'!H86</f>
        <v>36</v>
      </c>
      <c r="P85" s="19">
        <f>'SUB- NEC'!G86</f>
        <v>18</v>
      </c>
      <c r="Q85" s="19">
        <f t="shared" si="3"/>
        <v>491</v>
      </c>
      <c r="R85" s="19">
        <f t="shared" si="4"/>
        <v>49.1</v>
      </c>
      <c r="S85" s="19">
        <f>('SUB-1'!M85)+('SUB- 2'!L85)+('SUB-3'!M85)+('SUB-4'!M85)+('SUB-5'!M85)+('SUB-6'!J86)+('SUB-7'!J86)+('SUB-8'!J86)+('SUB-9'!J87)+('SUB-10'!J86)+('SUB- NEC'!J86)</f>
        <v>13</v>
      </c>
      <c r="T85" s="19" t="str">
        <f t="shared" si="5"/>
        <v>PASS</v>
      </c>
    </row>
    <row r="86" ht="14.25" customHeight="1" spans="4:20">
      <c r="D86" s="19">
        <f>'SUB-1'!D86</f>
        <v>72</v>
      </c>
      <c r="E86" s="19" t="str">
        <f>'SUB-1'!E86</f>
        <v>BTMC24O1072</v>
      </c>
      <c r="F86" s="19">
        <f>'SUB-1'!L86</f>
        <v>48</v>
      </c>
      <c r="G86" s="19">
        <f>'SUB- 2'!K86</f>
        <v>60</v>
      </c>
      <c r="H86" s="19">
        <f>'SUB-3'!L86</f>
        <v>48</v>
      </c>
      <c r="I86" s="19">
        <f>'SUB-4'!L86</f>
        <v>67</v>
      </c>
      <c r="J86" s="19">
        <f>'SUB-5'!L86</f>
        <v>51</v>
      </c>
      <c r="K86" s="19">
        <f>'SUB-6'!H87</f>
        <v>66</v>
      </c>
      <c r="L86" s="19">
        <f>'SUB-7'!H87</f>
        <v>29</v>
      </c>
      <c r="M86" s="19">
        <f>'SUB-8'!H87</f>
        <v>38</v>
      </c>
      <c r="N86" s="19">
        <f>'SUB-9'!H88</f>
        <v>83</v>
      </c>
      <c r="O86" s="19">
        <f>'SUB-10'!H87</f>
        <v>72</v>
      </c>
      <c r="P86" s="19">
        <f>'SUB- NEC'!G87</f>
        <v>44</v>
      </c>
      <c r="Q86" s="19">
        <f t="shared" si="3"/>
        <v>606</v>
      </c>
      <c r="R86" s="19">
        <f t="shared" si="4"/>
        <v>60.6</v>
      </c>
      <c r="S86" s="19">
        <f>('SUB-1'!M86)+('SUB- 2'!L86)+('SUB-3'!M86)+('SUB-4'!M86)+('SUB-5'!M86)+('SUB-6'!J87)+('SUB-7'!J87)+('SUB-8'!J87)+('SUB-9'!J88)+('SUB-10'!J87)+('SUB- NEC'!J87)</f>
        <v>13</v>
      </c>
      <c r="T86" s="19" t="str">
        <f t="shared" si="5"/>
        <v>PASS</v>
      </c>
    </row>
    <row r="87" ht="14.25" customHeight="1" spans="4:20">
      <c r="D87" s="19">
        <f>'SUB-1'!D87</f>
        <v>73</v>
      </c>
      <c r="E87" s="19" t="str">
        <f>'SUB-1'!E87</f>
        <v>BTMC24O1073</v>
      </c>
      <c r="F87" s="19">
        <f>'SUB-1'!L87</f>
        <v>48</v>
      </c>
      <c r="G87" s="19">
        <f>'SUB- 2'!K87</f>
        <v>32</v>
      </c>
      <c r="H87" s="19">
        <f>'SUB-3'!L87</f>
        <v>32</v>
      </c>
      <c r="I87" s="19">
        <f>'SUB-4'!L87</f>
        <v>47</v>
      </c>
      <c r="J87" s="19">
        <f>'SUB-5'!L87</f>
        <v>34</v>
      </c>
      <c r="K87" s="19">
        <f>'SUB-6'!H88</f>
        <v>41</v>
      </c>
      <c r="L87" s="19">
        <f>'SUB-7'!H88</f>
        <v>89</v>
      </c>
      <c r="M87" s="19">
        <f>'SUB-8'!H88</f>
        <v>6</v>
      </c>
      <c r="N87" s="19">
        <f>'SUB-9'!H89</f>
        <v>69</v>
      </c>
      <c r="O87" s="19">
        <f>'SUB-10'!H88</f>
        <v>78</v>
      </c>
      <c r="P87" s="19">
        <f>'SUB- NEC'!G88</f>
        <v>32</v>
      </c>
      <c r="Q87" s="19">
        <f t="shared" si="3"/>
        <v>508</v>
      </c>
      <c r="R87" s="19">
        <f t="shared" si="4"/>
        <v>50.8</v>
      </c>
      <c r="S87" s="19">
        <f>('SUB-1'!M87)+('SUB- 2'!L87)+('SUB-3'!M87)+('SUB-4'!M87)+('SUB-5'!M87)+('SUB-6'!J88)+('SUB-7'!J88)+('SUB-8'!J88)+('SUB-9'!J89)+('SUB-10'!J88)+('SUB- NEC'!J88)</f>
        <v>7</v>
      </c>
      <c r="T87" s="19" t="str">
        <f t="shared" si="5"/>
        <v>PASS</v>
      </c>
    </row>
    <row r="88" ht="14.25" customHeight="1" spans="4:20">
      <c r="D88" s="19">
        <f>'SUB-1'!D88</f>
        <v>74</v>
      </c>
      <c r="E88" s="19" t="str">
        <f>'SUB-1'!E88</f>
        <v>BTMC24O1074</v>
      </c>
      <c r="F88" s="19">
        <f>'SUB-1'!L88</f>
        <v>32</v>
      </c>
      <c r="G88" s="19">
        <f>'SUB- 2'!K88</f>
        <v>67</v>
      </c>
      <c r="H88" s="19">
        <f>'SUB-3'!L88</f>
        <v>38</v>
      </c>
      <c r="I88" s="19">
        <f>'SUB-4'!L88</f>
        <v>52</v>
      </c>
      <c r="J88" s="19">
        <f>'SUB-5'!L88</f>
        <v>73</v>
      </c>
      <c r="K88" s="19">
        <f>'SUB-6'!H89</f>
        <v>48</v>
      </c>
      <c r="L88" s="19">
        <f>'SUB-7'!H89</f>
        <v>46</v>
      </c>
      <c r="M88" s="19">
        <f>'SUB-8'!H89</f>
        <v>10</v>
      </c>
      <c r="N88" s="19">
        <f>'SUB-9'!H90</f>
        <v>29</v>
      </c>
      <c r="O88" s="19">
        <f>'SUB-10'!H89</f>
        <v>7</v>
      </c>
      <c r="P88" s="19">
        <f>'SUB- NEC'!G89</f>
        <v>14</v>
      </c>
      <c r="Q88" s="19">
        <f t="shared" si="3"/>
        <v>416</v>
      </c>
      <c r="R88" s="19">
        <f t="shared" si="4"/>
        <v>41.6</v>
      </c>
      <c r="S88" s="19">
        <f>('SUB-1'!M88)+('SUB- 2'!L88)+('SUB-3'!M88)+('SUB-4'!M88)+('SUB-5'!M88)+('SUB-6'!J89)+('SUB-7'!J89)+('SUB-8'!J89)+('SUB-9'!J90)+('SUB-10'!J89)+('SUB- NEC'!J89)</f>
        <v>9</v>
      </c>
      <c r="T88" s="19" t="str">
        <f t="shared" si="5"/>
        <v>PASS</v>
      </c>
    </row>
    <row r="89" ht="14.25" customHeight="1" spans="4:20">
      <c r="D89" s="19">
        <f>'SUB-1'!D89</f>
        <v>75</v>
      </c>
      <c r="E89" s="19" t="str">
        <f>'SUB-1'!E89</f>
        <v>BTMC24O1075</v>
      </c>
      <c r="F89" s="19">
        <f>'SUB-1'!L89</f>
        <v>90</v>
      </c>
      <c r="G89" s="19">
        <f>'SUB- 2'!K89</f>
        <v>47</v>
      </c>
      <c r="H89" s="19">
        <f>'SUB-3'!L89</f>
        <v>52</v>
      </c>
      <c r="I89" s="19">
        <f>'SUB-4'!L89</f>
        <v>71</v>
      </c>
      <c r="J89" s="19">
        <f>'SUB-5'!L89</f>
        <v>42</v>
      </c>
      <c r="K89" s="19">
        <f>'SUB-6'!H90</f>
        <v>28</v>
      </c>
      <c r="L89" s="19">
        <f>'SUB-7'!H90</f>
        <v>56</v>
      </c>
      <c r="M89" s="19">
        <f>'SUB-8'!H90</f>
        <v>24</v>
      </c>
      <c r="N89" s="19">
        <f>'SUB-9'!H91</f>
        <v>12</v>
      </c>
      <c r="O89" s="19">
        <f>'SUB-10'!H90</f>
        <v>75</v>
      </c>
      <c r="P89" s="19">
        <f>'SUB- NEC'!G90</f>
        <v>44</v>
      </c>
      <c r="Q89" s="19">
        <f t="shared" si="3"/>
        <v>541</v>
      </c>
      <c r="R89" s="19">
        <f t="shared" si="4"/>
        <v>54.1</v>
      </c>
      <c r="S89" s="19">
        <f>('SUB-1'!M89)+('SUB- 2'!L89)+('SUB-3'!M89)+('SUB-4'!M89)+('SUB-5'!M89)+('SUB-6'!J90)+('SUB-7'!J90)+('SUB-8'!J90)+('SUB-9'!J91)+('SUB-10'!J90)+('SUB- NEC'!J90)</f>
        <v>13</v>
      </c>
      <c r="T89" s="19" t="str">
        <f t="shared" si="5"/>
        <v>PASS</v>
      </c>
    </row>
    <row r="90" ht="14.25" customHeight="1" spans="4:20">
      <c r="D90" s="19">
        <f>'SUB-1'!D90</f>
        <v>76</v>
      </c>
      <c r="E90" s="19" t="str">
        <f>'SUB-1'!E90</f>
        <v>BTMC24O1076</v>
      </c>
      <c r="F90" s="19">
        <f>'SUB-1'!L90</f>
        <v>48</v>
      </c>
      <c r="G90" s="19">
        <f>'SUB- 2'!K90</f>
        <v>64</v>
      </c>
      <c r="H90" s="19">
        <f>'SUB-3'!L90</f>
        <v>55</v>
      </c>
      <c r="I90" s="19">
        <f>'SUB-4'!L90</f>
        <v>27</v>
      </c>
      <c r="J90" s="19">
        <f>'SUB-5'!L90</f>
        <v>50</v>
      </c>
      <c r="K90" s="19">
        <f>'SUB-6'!H91</f>
        <v>41</v>
      </c>
      <c r="L90" s="19">
        <f>'SUB-7'!H91</f>
        <v>84</v>
      </c>
      <c r="M90" s="19">
        <f>'SUB-8'!H91</f>
        <v>7</v>
      </c>
      <c r="N90" s="19">
        <f>'SUB-9'!H92</f>
        <v>8</v>
      </c>
      <c r="O90" s="19">
        <f>'SUB-10'!H91</f>
        <v>38</v>
      </c>
      <c r="P90" s="19">
        <f>'SUB- NEC'!G91</f>
        <v>39</v>
      </c>
      <c r="Q90" s="19">
        <f t="shared" si="3"/>
        <v>461</v>
      </c>
      <c r="R90" s="19">
        <f t="shared" si="4"/>
        <v>46.1</v>
      </c>
      <c r="S90" s="19">
        <f>('SUB-1'!M90)+('SUB- 2'!L90)+('SUB-3'!M90)+('SUB-4'!M90)+('SUB-5'!M90)+('SUB-6'!J91)+('SUB-7'!J91)+('SUB-8'!J91)+('SUB-9'!J92)+('SUB-10'!J91)+('SUB- NEC'!J91)</f>
        <v>10</v>
      </c>
      <c r="T90" s="19" t="str">
        <f t="shared" si="5"/>
        <v>PASS</v>
      </c>
    </row>
    <row r="91" ht="14.25" customHeight="1" spans="4:20">
      <c r="D91" s="19">
        <f>'SUB-1'!D91</f>
        <v>77</v>
      </c>
      <c r="E91" s="19" t="str">
        <f>'SUB-1'!E91</f>
        <v>BTMC24O1077</v>
      </c>
      <c r="F91" s="19">
        <f>'SUB-1'!L91</f>
        <v>42</v>
      </c>
      <c r="G91" s="19">
        <f>'SUB- 2'!K91</f>
        <v>32</v>
      </c>
      <c r="H91" s="19">
        <f>'SUB-3'!L91</f>
        <v>32</v>
      </c>
      <c r="I91" s="19">
        <f>'SUB-4'!L91</f>
        <v>61</v>
      </c>
      <c r="J91" s="19">
        <f>'SUB-5'!L91</f>
        <v>52</v>
      </c>
      <c r="K91" s="19">
        <f>'SUB-6'!H92</f>
        <v>68</v>
      </c>
      <c r="L91" s="19">
        <f>'SUB-7'!H92</f>
        <v>65</v>
      </c>
      <c r="M91" s="19">
        <f>'SUB-8'!H92</f>
        <v>24</v>
      </c>
      <c r="N91" s="19">
        <f>'SUB-9'!H93</f>
        <v>8</v>
      </c>
      <c r="O91" s="19">
        <f>'SUB-10'!H92</f>
        <v>50</v>
      </c>
      <c r="P91" s="19">
        <f>'SUB- NEC'!G92</f>
        <v>38</v>
      </c>
      <c r="Q91" s="19">
        <f t="shared" si="3"/>
        <v>472</v>
      </c>
      <c r="R91" s="19">
        <f t="shared" si="4"/>
        <v>47.2</v>
      </c>
      <c r="S91" s="19">
        <f>('SUB-1'!M91)+('SUB- 2'!L91)+('SUB-3'!M91)+('SUB-4'!M91)+('SUB-5'!M91)+('SUB-6'!J92)+('SUB-7'!J92)+('SUB-8'!J92)+('SUB-9'!J93)+('SUB-10'!J92)+('SUB- NEC'!J92)</f>
        <v>10</v>
      </c>
      <c r="T91" s="19" t="str">
        <f t="shared" si="5"/>
        <v>PASS</v>
      </c>
    </row>
    <row r="92" ht="14.25" customHeight="1" spans="4:20">
      <c r="D92" s="19">
        <f>'SUB-1'!D92</f>
        <v>78</v>
      </c>
      <c r="E92" s="19" t="str">
        <f>'SUB-1'!E92</f>
        <v>BTMC24O1078</v>
      </c>
      <c r="F92" s="19">
        <f>'SUB-1'!L92</f>
        <v>52</v>
      </c>
      <c r="G92" s="19">
        <f>'SUB- 2'!K92</f>
        <v>27</v>
      </c>
      <c r="H92" s="19">
        <f>'SUB-3'!L92</f>
        <v>35</v>
      </c>
      <c r="I92" s="19">
        <f>'SUB-4'!L92</f>
        <v>50</v>
      </c>
      <c r="J92" s="19">
        <f>'SUB-5'!L92</f>
        <v>37</v>
      </c>
      <c r="K92" s="19">
        <f>'SUB-6'!H93</f>
        <v>53</v>
      </c>
      <c r="L92" s="19">
        <f>'SUB-7'!H93</f>
        <v>53</v>
      </c>
      <c r="M92" s="19">
        <f>'SUB-8'!H93</f>
        <v>28</v>
      </c>
      <c r="N92" s="19">
        <f>'SUB-9'!H94</f>
        <v>52</v>
      </c>
      <c r="O92" s="19">
        <f>'SUB-10'!H93</f>
        <v>80</v>
      </c>
      <c r="P92" s="19">
        <f>'SUB- NEC'!G93</f>
        <v>19</v>
      </c>
      <c r="Q92" s="19">
        <f t="shared" si="3"/>
        <v>486</v>
      </c>
      <c r="R92" s="19">
        <f t="shared" si="4"/>
        <v>48.6</v>
      </c>
      <c r="S92" s="19">
        <f>('SUB-1'!M92)+('SUB- 2'!L92)+('SUB-3'!M92)+('SUB-4'!M92)+('SUB-5'!M92)+('SUB-6'!J93)+('SUB-7'!J93)+('SUB-8'!J93)+('SUB-9'!J94)+('SUB-10'!J93)+('SUB- NEC'!J93)</f>
        <v>10</v>
      </c>
      <c r="T92" s="19" t="str">
        <f t="shared" si="5"/>
        <v>PASS</v>
      </c>
    </row>
    <row r="93" ht="14.25" customHeight="1" spans="4:20">
      <c r="D93" s="19">
        <f>'SUB-1'!D93</f>
        <v>79</v>
      </c>
      <c r="E93" s="19" t="str">
        <f>'SUB-1'!E93</f>
        <v>BTMC24O1079</v>
      </c>
      <c r="F93" s="19">
        <f>'SUB-1'!L93</f>
        <v>73</v>
      </c>
      <c r="G93" s="19">
        <f>'SUB- 2'!K93</f>
        <v>35</v>
      </c>
      <c r="H93" s="19">
        <f>'SUB-3'!L93</f>
        <v>73</v>
      </c>
      <c r="I93" s="19">
        <f>'SUB-4'!L93</f>
        <v>46</v>
      </c>
      <c r="J93" s="19">
        <f>'SUB-5'!L93</f>
        <v>62</v>
      </c>
      <c r="K93" s="19">
        <f>'SUB-6'!H94</f>
        <v>37</v>
      </c>
      <c r="L93" s="19">
        <f>'SUB-7'!H94</f>
        <v>37</v>
      </c>
      <c r="M93" s="19">
        <f>'SUB-8'!H94</f>
        <v>35</v>
      </c>
      <c r="N93" s="19">
        <f>'SUB-9'!H95</f>
        <v>35</v>
      </c>
      <c r="O93" s="19">
        <f>'SUB-10'!H94</f>
        <v>55</v>
      </c>
      <c r="P93" s="19">
        <f>'SUB- NEC'!G94</f>
        <v>25</v>
      </c>
      <c r="Q93" s="19">
        <f t="shared" si="3"/>
        <v>513</v>
      </c>
      <c r="R93" s="19">
        <f t="shared" si="4"/>
        <v>51.3</v>
      </c>
      <c r="S93" s="19">
        <f>('SUB-1'!M93)+('SUB- 2'!L93)+('SUB-3'!M93)+('SUB-4'!M93)+('SUB-5'!M93)+('SUB-6'!J94)+('SUB-7'!J94)+('SUB-8'!J94)+('SUB-9'!J95)+('SUB-10'!J94)+('SUB- NEC'!J94)</f>
        <v>13</v>
      </c>
      <c r="T93" s="19" t="str">
        <f t="shared" si="5"/>
        <v>PASS</v>
      </c>
    </row>
    <row r="94" ht="14.25" customHeight="1" spans="4:20">
      <c r="D94" s="19">
        <f>'SUB-1'!D94</f>
        <v>80</v>
      </c>
      <c r="E94" s="19" t="str">
        <f>'SUB-1'!E94</f>
        <v>BTMC24O1080</v>
      </c>
      <c r="F94" s="19">
        <f>'SUB-1'!L94</f>
        <v>60</v>
      </c>
      <c r="G94" s="19">
        <f>'SUB- 2'!K94</f>
        <v>52</v>
      </c>
      <c r="H94" s="19">
        <f>'SUB-3'!L94</f>
        <v>78</v>
      </c>
      <c r="I94" s="19">
        <f>'SUB-4'!L94</f>
        <v>28</v>
      </c>
      <c r="J94" s="19">
        <f>'SUB-5'!L94</f>
        <v>48</v>
      </c>
      <c r="K94" s="19">
        <f>'SUB-6'!H95</f>
        <v>28</v>
      </c>
      <c r="L94" s="19">
        <f>'SUB-7'!H95</f>
        <v>31</v>
      </c>
      <c r="M94" s="19">
        <f>'SUB-8'!H95</f>
        <v>39</v>
      </c>
      <c r="N94" s="19">
        <f>'SUB-9'!H96</f>
        <v>33</v>
      </c>
      <c r="O94" s="19">
        <f>'SUB-10'!H95</f>
        <v>66</v>
      </c>
      <c r="P94" s="19">
        <f>'SUB- NEC'!G95</f>
        <v>17</v>
      </c>
      <c r="Q94" s="19">
        <f t="shared" si="3"/>
        <v>480</v>
      </c>
      <c r="R94" s="19">
        <f t="shared" si="4"/>
        <v>48</v>
      </c>
      <c r="S94" s="19">
        <f>('SUB-1'!M94)+('SUB- 2'!L94)+('SUB-3'!M94)+('SUB-4'!M94)+('SUB-5'!M94)+('SUB-6'!J95)+('SUB-7'!J95)+('SUB-8'!J95)+('SUB-9'!J96)+('SUB-10'!J95)+('SUB- NEC'!J95)</f>
        <v>11</v>
      </c>
      <c r="T94" s="19" t="str">
        <f t="shared" si="5"/>
        <v>PASS</v>
      </c>
    </row>
    <row r="95" ht="14.25" customHeight="1" spans="4:20">
      <c r="D95" s="19">
        <f>'SUB-1'!D95</f>
        <v>81</v>
      </c>
      <c r="E95" s="19" t="str">
        <f>'SUB-1'!E95</f>
        <v>BTMC24O1081</v>
      </c>
      <c r="F95" s="19">
        <f>'SUB-1'!L95</f>
        <v>27</v>
      </c>
      <c r="G95" s="19">
        <f>'SUB- 2'!K95</f>
        <v>45</v>
      </c>
      <c r="H95" s="19">
        <f>'SUB-3'!L95</f>
        <v>47</v>
      </c>
      <c r="I95" s="19">
        <f>'SUB-4'!L95</f>
        <v>36</v>
      </c>
      <c r="J95" s="19">
        <f>'SUB-5'!L95</f>
        <v>35</v>
      </c>
      <c r="K95" s="19">
        <f>'SUB-6'!H96</f>
        <v>77</v>
      </c>
      <c r="L95" s="19">
        <f>'SUB-7'!H96</f>
        <v>70</v>
      </c>
      <c r="M95" s="19">
        <f>'SUB-8'!H96</f>
        <v>17</v>
      </c>
      <c r="N95" s="19">
        <f>'SUB-9'!H97</f>
        <v>67</v>
      </c>
      <c r="O95" s="19">
        <f>'SUB-10'!H96</f>
        <v>65</v>
      </c>
      <c r="P95" s="19">
        <f>'SUB- NEC'!G96</f>
        <v>9</v>
      </c>
      <c r="Q95" s="19">
        <f t="shared" si="3"/>
        <v>495</v>
      </c>
      <c r="R95" s="19">
        <f t="shared" si="4"/>
        <v>49.5</v>
      </c>
      <c r="S95" s="19">
        <f>('SUB-1'!M95)+('SUB- 2'!L95)+('SUB-3'!M95)+('SUB-4'!M95)+('SUB-5'!M95)+('SUB-6'!J96)+('SUB-7'!J96)+('SUB-8'!J96)+('SUB-9'!J97)+('SUB-10'!J96)+('SUB- NEC'!J96)</f>
        <v>8</v>
      </c>
      <c r="T95" s="19" t="str">
        <f t="shared" si="5"/>
        <v>PASS</v>
      </c>
    </row>
    <row r="96" ht="14.25" customHeight="1" spans="4:20">
      <c r="D96" s="19">
        <f>'SUB-1'!D96</f>
        <v>82</v>
      </c>
      <c r="E96" s="19" t="str">
        <f>'SUB-1'!E96</f>
        <v>BTMC24O1082</v>
      </c>
      <c r="F96" s="19">
        <f>'SUB-1'!L96</f>
        <v>28</v>
      </c>
      <c r="G96" s="19">
        <f>'SUB- 2'!K96</f>
        <v>60</v>
      </c>
      <c r="H96" s="19">
        <f>'SUB-3'!L96</f>
        <v>39</v>
      </c>
      <c r="I96" s="19">
        <f>'SUB-4'!L96</f>
        <v>47</v>
      </c>
      <c r="J96" s="19">
        <f>'SUB-5'!L96</f>
        <v>60</v>
      </c>
      <c r="K96" s="19">
        <f>'SUB-6'!H97</f>
        <v>61</v>
      </c>
      <c r="L96" s="19">
        <f>'SUB-7'!H97</f>
        <v>66</v>
      </c>
      <c r="M96" s="19">
        <f>'SUB-8'!H97</f>
        <v>3</v>
      </c>
      <c r="N96" s="19">
        <f>'SUB-9'!H98</f>
        <v>17</v>
      </c>
      <c r="O96" s="19">
        <f>'SUB-10'!H97</f>
        <v>64</v>
      </c>
      <c r="P96" s="19">
        <f>'SUB- NEC'!G97</f>
        <v>50</v>
      </c>
      <c r="Q96" s="19">
        <f t="shared" si="3"/>
        <v>495</v>
      </c>
      <c r="R96" s="19">
        <f t="shared" si="4"/>
        <v>49.5</v>
      </c>
      <c r="S96" s="19">
        <f>('SUB-1'!M96)+('SUB- 2'!L96)+('SUB-3'!M96)+('SUB-4'!M96)+('SUB-5'!M96)+('SUB-6'!J97)+('SUB-7'!J97)+('SUB-8'!J97)+('SUB-9'!J98)+('SUB-10'!J97)+('SUB- NEC'!J97)</f>
        <v>10</v>
      </c>
      <c r="T96" s="19" t="str">
        <f t="shared" si="5"/>
        <v>PASS</v>
      </c>
    </row>
    <row r="97" ht="14.25" customHeight="1" spans="4:20">
      <c r="D97" s="19">
        <f>'SUB-1'!D97</f>
        <v>83</v>
      </c>
      <c r="E97" s="19" t="str">
        <f>'SUB-1'!E97</f>
        <v>BTMC24O1083</v>
      </c>
      <c r="F97" s="19">
        <f>'SUB-1'!L97</f>
        <v>31</v>
      </c>
      <c r="G97" s="19">
        <f>'SUB- 2'!K97</f>
        <v>33</v>
      </c>
      <c r="H97" s="19">
        <f>'SUB-3'!L97</f>
        <v>70</v>
      </c>
      <c r="I97" s="19">
        <f>'SUB-4'!L97</f>
        <v>71</v>
      </c>
      <c r="J97" s="19">
        <f>'SUB-5'!L97</f>
        <v>56</v>
      </c>
      <c r="K97" s="19">
        <f>'SUB-6'!H98</f>
        <v>75</v>
      </c>
      <c r="L97" s="19">
        <f>'SUB-7'!H98</f>
        <v>62</v>
      </c>
      <c r="M97" s="19">
        <f>'SUB-8'!H98</f>
        <v>12</v>
      </c>
      <c r="N97" s="19">
        <f>'SUB-9'!H99</f>
        <v>46</v>
      </c>
      <c r="O97" s="19">
        <f>'SUB-10'!H98</f>
        <v>26</v>
      </c>
      <c r="P97" s="19">
        <f>'SUB- NEC'!G98</f>
        <v>10</v>
      </c>
      <c r="Q97" s="19">
        <f t="shared" si="3"/>
        <v>492</v>
      </c>
      <c r="R97" s="19">
        <f t="shared" si="4"/>
        <v>49.2</v>
      </c>
      <c r="S97" s="19">
        <f>('SUB-1'!M97)+('SUB- 2'!L97)+('SUB-3'!M97)+('SUB-4'!M97)+('SUB-5'!M97)+('SUB-6'!J98)+('SUB-7'!J98)+('SUB-8'!J98)+('SUB-9'!J99)+('SUB-10'!J98)+('SUB- NEC'!J98)</f>
        <v>9</v>
      </c>
      <c r="T97" s="19" t="str">
        <f t="shared" si="5"/>
        <v>PASS</v>
      </c>
    </row>
    <row r="98" ht="14.25" customHeight="1" spans="4:20">
      <c r="D98" s="19">
        <f>'SUB-1'!D98</f>
        <v>84</v>
      </c>
      <c r="E98" s="19" t="str">
        <f>'SUB-1'!E98</f>
        <v>BTMC24O1084</v>
      </c>
      <c r="F98" s="19">
        <f>'SUB-1'!L98</f>
        <v>58</v>
      </c>
      <c r="G98" s="19">
        <f>'SUB- 2'!K98</f>
        <v>58</v>
      </c>
      <c r="H98" s="19">
        <f>'SUB-3'!L98</f>
        <v>63</v>
      </c>
      <c r="I98" s="19">
        <f>'SUB-4'!L98</f>
        <v>54</v>
      </c>
      <c r="J98" s="19">
        <f>'SUB-5'!L98</f>
        <v>27</v>
      </c>
      <c r="K98" s="19">
        <f>'SUB-6'!H99</f>
        <v>64</v>
      </c>
      <c r="L98" s="19">
        <f>'SUB-7'!H99</f>
        <v>8</v>
      </c>
      <c r="M98" s="19">
        <f>'SUB-8'!H99</f>
        <v>10</v>
      </c>
      <c r="N98" s="19">
        <f>'SUB-9'!H100</f>
        <v>67</v>
      </c>
      <c r="O98" s="19">
        <f>'SUB-10'!H99</f>
        <v>23</v>
      </c>
      <c r="P98" s="19">
        <f>'SUB- NEC'!G99</f>
        <v>45</v>
      </c>
      <c r="Q98" s="19">
        <f t="shared" si="3"/>
        <v>477</v>
      </c>
      <c r="R98" s="19">
        <f t="shared" si="4"/>
        <v>47.7</v>
      </c>
      <c r="S98" s="19">
        <f>('SUB-1'!M98)+('SUB- 2'!L98)+('SUB-3'!M98)+('SUB-4'!M98)+('SUB-5'!M98)+('SUB-6'!J99)+('SUB-7'!J99)+('SUB-8'!J99)+('SUB-9'!J100)+('SUB-10'!J99)+('SUB- NEC'!J99)</f>
        <v>11</v>
      </c>
      <c r="T98" s="19" t="str">
        <f t="shared" si="5"/>
        <v>PASS</v>
      </c>
    </row>
    <row r="99" ht="14.25" customHeight="1" spans="4:20">
      <c r="D99" s="19">
        <f>'SUB-1'!D99</f>
        <v>85</v>
      </c>
      <c r="E99" s="19" t="str">
        <f>'SUB-1'!E99</f>
        <v>BTMC24O1085</v>
      </c>
      <c r="F99" s="19">
        <f>'SUB-1'!L99</f>
        <v>39</v>
      </c>
      <c r="G99" s="19">
        <f>'SUB- 2'!K99</f>
        <v>72</v>
      </c>
      <c r="H99" s="19">
        <f>'SUB-3'!L99</f>
        <v>50</v>
      </c>
      <c r="I99" s="19">
        <f>'SUB-4'!L99</f>
        <v>64</v>
      </c>
      <c r="J99" s="19">
        <f>'SUB-5'!L99</f>
        <v>42</v>
      </c>
      <c r="K99" s="19">
        <f>'SUB-6'!H100</f>
        <v>36</v>
      </c>
      <c r="L99" s="19">
        <f>'SUB-7'!H100</f>
        <v>70</v>
      </c>
      <c r="M99" s="19">
        <f>'SUB-8'!H100</f>
        <v>10</v>
      </c>
      <c r="N99" s="19">
        <f>'SUB-9'!H101</f>
        <v>31</v>
      </c>
      <c r="O99" s="19">
        <f>'SUB-10'!H100</f>
        <v>43</v>
      </c>
      <c r="P99" s="19">
        <f>'SUB- NEC'!G100</f>
        <v>33</v>
      </c>
      <c r="Q99" s="19">
        <f t="shared" si="3"/>
        <v>490</v>
      </c>
      <c r="R99" s="19">
        <f t="shared" si="4"/>
        <v>49</v>
      </c>
      <c r="S99" s="19">
        <f>('SUB-1'!M99)+('SUB- 2'!L99)+('SUB-3'!M99)+('SUB-4'!M99)+('SUB-5'!M99)+('SUB-6'!J100)+('SUB-7'!J100)+('SUB-8'!J100)+('SUB-9'!J101)+('SUB-10'!J100)+('SUB- NEC'!J100)</f>
        <v>11</v>
      </c>
      <c r="T99" s="19" t="str">
        <f t="shared" si="5"/>
        <v>PASS</v>
      </c>
    </row>
    <row r="100" ht="14.25" customHeight="1" spans="4:20">
      <c r="D100" s="19">
        <f>'SUB-1'!D100</f>
        <v>86</v>
      </c>
      <c r="E100" s="19" t="str">
        <f>'SUB-1'!E100</f>
        <v>BTMC24O1086</v>
      </c>
      <c r="F100" s="19">
        <f>'SUB-1'!L100</f>
        <v>49</v>
      </c>
      <c r="G100" s="19">
        <f>'SUB- 2'!K100</f>
        <v>44</v>
      </c>
      <c r="H100" s="19">
        <f>'SUB-3'!L100</f>
        <v>43</v>
      </c>
      <c r="I100" s="19">
        <f>'SUB-4'!L100</f>
        <v>67</v>
      </c>
      <c r="J100" s="19">
        <f>'SUB-5'!L100</f>
        <v>51</v>
      </c>
      <c r="K100" s="19">
        <f>'SUB-6'!H101</f>
        <v>47</v>
      </c>
      <c r="L100" s="19">
        <f>'SUB-7'!H101</f>
        <v>53</v>
      </c>
      <c r="M100" s="19">
        <f>'SUB-8'!H101</f>
        <v>46</v>
      </c>
      <c r="N100" s="19">
        <f>'SUB-9'!H102</f>
        <v>61</v>
      </c>
      <c r="O100" s="19">
        <f>'SUB-10'!H101</f>
        <v>37</v>
      </c>
      <c r="P100" s="19">
        <f>'SUB- NEC'!G101</f>
        <v>4</v>
      </c>
      <c r="Q100" s="19">
        <f t="shared" si="3"/>
        <v>502</v>
      </c>
      <c r="R100" s="19">
        <f t="shared" si="4"/>
        <v>50.2</v>
      </c>
      <c r="S100" s="19">
        <f>('SUB-1'!M100)+('SUB- 2'!L100)+('SUB-3'!M100)+('SUB-4'!M100)+('SUB-5'!M100)+('SUB-6'!J101)+('SUB-7'!J101)+('SUB-8'!J101)+('SUB-9'!J102)+('SUB-10'!J101)+('SUB- NEC'!J101)</f>
        <v>12</v>
      </c>
      <c r="T100" s="19" t="str">
        <f t="shared" si="5"/>
        <v>PASS</v>
      </c>
    </row>
    <row r="101" ht="14.25" customHeight="1" spans="4:20">
      <c r="D101" s="19">
        <f>'SUB-1'!D101</f>
        <v>87</v>
      </c>
      <c r="E101" s="19" t="str">
        <f>'SUB-1'!E101</f>
        <v>BTMC24O1087</v>
      </c>
      <c r="F101" s="19">
        <f>'SUB-1'!L101</f>
        <v>97</v>
      </c>
      <c r="G101" s="19">
        <f>'SUB- 2'!K101</f>
        <v>90</v>
      </c>
      <c r="H101" s="19">
        <f>'SUB-3'!L101</f>
        <v>95</v>
      </c>
      <c r="I101" s="19">
        <f>'SUB-4'!L101</f>
        <v>90</v>
      </c>
      <c r="J101" s="19">
        <f>'SUB-5'!L101</f>
        <v>90</v>
      </c>
      <c r="K101" s="19">
        <f>'SUB-6'!H102</f>
        <v>93</v>
      </c>
      <c r="L101" s="19">
        <f>'SUB-7'!H102</f>
        <v>89</v>
      </c>
      <c r="M101" s="19">
        <f>'SUB-8'!H102</f>
        <v>50</v>
      </c>
      <c r="N101" s="19">
        <f>'SUB-9'!H103</f>
        <v>97</v>
      </c>
      <c r="O101" s="19">
        <f>'SUB-10'!H102</f>
        <v>100</v>
      </c>
      <c r="P101" s="19">
        <f>'SUB- NEC'!G102</f>
        <v>32</v>
      </c>
      <c r="Q101" s="19">
        <f t="shared" si="3"/>
        <v>923</v>
      </c>
      <c r="R101" s="19">
        <f t="shared" si="4"/>
        <v>92.3</v>
      </c>
      <c r="S101" s="19">
        <f>('SUB-1'!M101)+('SUB- 2'!L101)+('SUB-3'!M101)+('SUB-4'!M101)+('SUB-5'!M101)+('SUB-6'!J102)+('SUB-7'!J102)+('SUB-8'!J102)+('SUB-9'!J103)+('SUB-10'!J102)+('SUB- NEC'!J102)</f>
        <v>20</v>
      </c>
      <c r="T101" s="19" t="str">
        <f t="shared" si="5"/>
        <v>PASS</v>
      </c>
    </row>
    <row r="102" ht="14.25" customHeight="1" spans="4:20">
      <c r="D102" s="19">
        <f>'SUB-1'!D102</f>
        <v>88</v>
      </c>
      <c r="E102" s="19" t="str">
        <f>'SUB-1'!E102</f>
        <v>BTMC24O1088</v>
      </c>
      <c r="F102" s="19">
        <f>'SUB-1'!L102</f>
        <v>82</v>
      </c>
      <c r="G102" s="19">
        <f>'SUB- 2'!K102</f>
        <v>85</v>
      </c>
      <c r="H102" s="19">
        <f>'SUB-3'!L102</f>
        <v>78</v>
      </c>
      <c r="I102" s="19">
        <f>'SUB-4'!L102</f>
        <v>81</v>
      </c>
      <c r="J102" s="19">
        <f>'SUB-5'!L102</f>
        <v>83</v>
      </c>
      <c r="K102" s="19">
        <f>'SUB-6'!H103</f>
        <v>87</v>
      </c>
      <c r="L102" s="19">
        <f>'SUB-7'!H103</f>
        <v>96</v>
      </c>
      <c r="M102" s="19">
        <f>'SUB-8'!H103</f>
        <v>37</v>
      </c>
      <c r="N102" s="19">
        <f>'SUB-9'!H104</f>
        <v>84</v>
      </c>
      <c r="O102" s="19">
        <f>'SUB-10'!H103</f>
        <v>77</v>
      </c>
      <c r="P102" s="19">
        <f>'SUB- NEC'!G103</f>
        <v>36</v>
      </c>
      <c r="Q102" s="19">
        <f t="shared" si="3"/>
        <v>826</v>
      </c>
      <c r="R102" s="19">
        <f t="shared" si="4"/>
        <v>82.6</v>
      </c>
      <c r="S102" s="19">
        <f>('SUB-1'!M102)+('SUB- 2'!L102)+('SUB-3'!M102)+('SUB-4'!M102)+('SUB-5'!M102)+('SUB-6'!J103)+('SUB-7'!J103)+('SUB-8'!J103)+('SUB-9'!J104)+('SUB-10'!J103)+('SUB- NEC'!J103)</f>
        <v>20</v>
      </c>
      <c r="T102" s="19" t="str">
        <f t="shared" si="5"/>
        <v>PASS</v>
      </c>
    </row>
    <row r="103" ht="14.25" customHeight="1" spans="4:20">
      <c r="D103" s="19">
        <f>'SUB-1'!D103</f>
        <v>89</v>
      </c>
      <c r="E103" s="19" t="str">
        <f>'SUB-1'!E103</f>
        <v>BTMC24O1089</v>
      </c>
      <c r="F103" s="19">
        <f>'SUB-1'!L103</f>
        <v>57</v>
      </c>
      <c r="G103" s="19">
        <f>'SUB- 2'!K103</f>
        <v>30</v>
      </c>
      <c r="H103" s="19">
        <f>'SUB-3'!L103</f>
        <v>59</v>
      </c>
      <c r="I103" s="19">
        <f>'SUB-4'!L103</f>
        <v>54</v>
      </c>
      <c r="J103" s="19">
        <f>'SUB-5'!L103</f>
        <v>24</v>
      </c>
      <c r="K103" s="19">
        <f>'SUB-6'!H104</f>
        <v>52</v>
      </c>
      <c r="L103" s="19">
        <f>'SUB-7'!H104</f>
        <v>85</v>
      </c>
      <c r="M103" s="19">
        <f>'SUB-8'!H104</f>
        <v>30</v>
      </c>
      <c r="N103" s="19">
        <f>'SUB-9'!H105</f>
        <v>53</v>
      </c>
      <c r="O103" s="19">
        <f>'SUB-10'!H104</f>
        <v>16</v>
      </c>
      <c r="P103" s="19">
        <f>'SUB- NEC'!G104</f>
        <v>30</v>
      </c>
      <c r="Q103" s="19">
        <f t="shared" si="3"/>
        <v>490</v>
      </c>
      <c r="R103" s="19">
        <f t="shared" si="4"/>
        <v>49</v>
      </c>
      <c r="S103" s="19">
        <f>('SUB-1'!M103)+('SUB- 2'!L103)+('SUB-3'!M103)+('SUB-4'!M103)+('SUB-5'!M103)+('SUB-6'!J104)+('SUB-7'!J104)+('SUB-8'!J104)+('SUB-9'!J105)+('SUB-10'!J104)+('SUB- NEC'!J104)</f>
        <v>11</v>
      </c>
      <c r="T103" s="19" t="str">
        <f t="shared" si="5"/>
        <v>PASS</v>
      </c>
    </row>
    <row r="104" ht="14.25" customHeight="1" spans="4:20">
      <c r="D104" s="19">
        <f>'SUB-1'!D104</f>
        <v>90</v>
      </c>
      <c r="E104" s="19" t="str">
        <f>'SUB-1'!E104</f>
        <v>BTMC24O1090</v>
      </c>
      <c r="F104" s="19">
        <f>'SUB-1'!L104</f>
        <v>51</v>
      </c>
      <c r="G104" s="19">
        <f>'SUB- 2'!K104</f>
        <v>48</v>
      </c>
      <c r="H104" s="19">
        <f>'SUB-3'!L104</f>
        <v>52</v>
      </c>
      <c r="I104" s="19">
        <f>'SUB-4'!L104</f>
        <v>36</v>
      </c>
      <c r="J104" s="19">
        <f>'SUB-5'!L104</f>
        <v>24</v>
      </c>
      <c r="K104" s="19">
        <f>'SUB-6'!H105</f>
        <v>67</v>
      </c>
      <c r="L104" s="19">
        <f>'SUB-7'!H105</f>
        <v>19</v>
      </c>
      <c r="M104" s="19">
        <f>'SUB-8'!H105</f>
        <v>32</v>
      </c>
      <c r="N104" s="19">
        <f>'SUB-9'!H106</f>
        <v>43</v>
      </c>
      <c r="O104" s="19">
        <f>'SUB-10'!H105</f>
        <v>65</v>
      </c>
      <c r="P104" s="19">
        <f>'SUB- NEC'!G105</f>
        <v>31</v>
      </c>
      <c r="Q104" s="19">
        <f t="shared" si="3"/>
        <v>468</v>
      </c>
      <c r="R104" s="19">
        <f t="shared" si="4"/>
        <v>46.8</v>
      </c>
      <c r="S104" s="19">
        <f>('SUB-1'!M104)+('SUB- 2'!L104)+('SUB-3'!M104)+('SUB-4'!M104)+('SUB-5'!M104)+('SUB-6'!J105)+('SUB-7'!J105)+('SUB-8'!J105)+('SUB-9'!J106)+('SUB-10'!J105)+('SUB- NEC'!J105)</f>
        <v>11</v>
      </c>
      <c r="T104" s="19" t="str">
        <f t="shared" si="5"/>
        <v>PASS</v>
      </c>
    </row>
    <row r="105" ht="14.25" customHeight="1" spans="4:20">
      <c r="D105" s="19">
        <f>'SUB-1'!D105</f>
        <v>91</v>
      </c>
      <c r="E105" s="19" t="str">
        <f>'SUB-1'!E105</f>
        <v>BTMC24O1091</v>
      </c>
      <c r="F105" s="19">
        <f>'SUB-1'!L105</f>
        <v>47</v>
      </c>
      <c r="G105" s="19">
        <f>'SUB- 2'!K105</f>
        <v>54</v>
      </c>
      <c r="H105" s="19">
        <f>'SUB-3'!L105</f>
        <v>48</v>
      </c>
      <c r="I105" s="19">
        <f>'SUB-4'!L105</f>
        <v>56</v>
      </c>
      <c r="J105" s="19">
        <f>'SUB-5'!L105</f>
        <v>54</v>
      </c>
      <c r="K105" s="19">
        <f>'SUB-6'!H106</f>
        <v>48</v>
      </c>
      <c r="L105" s="19">
        <f>'SUB-7'!H106</f>
        <v>47</v>
      </c>
      <c r="M105" s="19">
        <f>'SUB-8'!H106</f>
        <v>6</v>
      </c>
      <c r="N105" s="19">
        <f>'SUB-9'!H107</f>
        <v>2</v>
      </c>
      <c r="O105" s="19">
        <f>'SUB-10'!H106</f>
        <v>25</v>
      </c>
      <c r="P105" s="19">
        <f>'SUB- NEC'!G106</f>
        <v>3</v>
      </c>
      <c r="Q105" s="19">
        <f t="shared" si="3"/>
        <v>390</v>
      </c>
      <c r="R105" s="19">
        <f t="shared" si="4"/>
        <v>39</v>
      </c>
      <c r="S105" s="19">
        <f>('SUB-1'!M105)+('SUB- 2'!L105)+('SUB-3'!M105)+('SUB-4'!M105)+('SUB-5'!M105)+('SUB-6'!J106)+('SUB-7'!J106)+('SUB-8'!J106)+('SUB-9'!J107)+('SUB-10'!J106)+('SUB- NEC'!J106)</f>
        <v>10</v>
      </c>
      <c r="T105" s="19" t="str">
        <f t="shared" si="5"/>
        <v>FAIL</v>
      </c>
    </row>
    <row r="106" ht="14.25" customHeight="1" spans="4:20">
      <c r="D106" s="19">
        <f>'SUB-1'!D106</f>
        <v>92</v>
      </c>
      <c r="E106" s="19" t="str">
        <f>'SUB-1'!E106</f>
        <v>BTMC24O1092</v>
      </c>
      <c r="F106" s="19">
        <f>'SUB-1'!L106</f>
        <v>28</v>
      </c>
      <c r="G106" s="19">
        <f>'SUB- 2'!K106</f>
        <v>25</v>
      </c>
      <c r="H106" s="19">
        <f>'SUB-3'!L106</f>
        <v>56</v>
      </c>
      <c r="I106" s="19">
        <f>'SUB-4'!L106</f>
        <v>44</v>
      </c>
      <c r="J106" s="19">
        <f>'SUB-5'!L106</f>
        <v>67</v>
      </c>
      <c r="K106" s="19">
        <f>'SUB-6'!H107</f>
        <v>57</v>
      </c>
      <c r="L106" s="19">
        <f>'SUB-7'!H107</f>
        <v>18</v>
      </c>
      <c r="M106" s="19">
        <f>'SUB-8'!H107</f>
        <v>19</v>
      </c>
      <c r="N106" s="19">
        <f>'SUB-9'!H108</f>
        <v>36</v>
      </c>
      <c r="O106" s="19">
        <f>'SUB-10'!H107</f>
        <v>23</v>
      </c>
      <c r="P106" s="19">
        <f>'SUB- NEC'!G107</f>
        <v>13</v>
      </c>
      <c r="Q106" s="19">
        <f t="shared" si="3"/>
        <v>386</v>
      </c>
      <c r="R106" s="19">
        <f t="shared" si="4"/>
        <v>38.6</v>
      </c>
      <c r="S106" s="19">
        <f>('SUB-1'!M106)+('SUB- 2'!L106)+('SUB-3'!M106)+('SUB-4'!M106)+('SUB-5'!M106)+('SUB-6'!J107)+('SUB-7'!J107)+('SUB-8'!J107)+('SUB-9'!J108)+('SUB-10'!J107)+('SUB- NEC'!J107)</f>
        <v>8</v>
      </c>
      <c r="T106" s="19" t="str">
        <f t="shared" si="5"/>
        <v>FAIL</v>
      </c>
    </row>
    <row r="107" ht="14.25" customHeight="1" spans="4:20">
      <c r="D107" s="19">
        <f>'SUB-1'!D107</f>
        <v>93</v>
      </c>
      <c r="E107" s="19" t="str">
        <f>'SUB-1'!E107</f>
        <v>BTMC24O1093</v>
      </c>
      <c r="F107" s="19">
        <f>'SUB-1'!L107</f>
        <v>55</v>
      </c>
      <c r="G107" s="19">
        <f>'SUB- 2'!K107</f>
        <v>33</v>
      </c>
      <c r="H107" s="19">
        <f>'SUB-3'!L107</f>
        <v>26</v>
      </c>
      <c r="I107" s="19">
        <f>'SUB-4'!L107</f>
        <v>51</v>
      </c>
      <c r="J107" s="19">
        <f>'SUB-5'!L107</f>
        <v>27</v>
      </c>
      <c r="K107" s="19">
        <f>'SUB-6'!H108</f>
        <v>74</v>
      </c>
      <c r="L107" s="19">
        <f>'SUB-7'!H108</f>
        <v>96</v>
      </c>
      <c r="M107" s="19">
        <f>'SUB-8'!H108</f>
        <v>11</v>
      </c>
      <c r="N107" s="19">
        <f>'SUB-9'!H109</f>
        <v>41</v>
      </c>
      <c r="O107" s="19">
        <f>'SUB-10'!H108</f>
        <v>24</v>
      </c>
      <c r="P107" s="19">
        <f>'SUB- NEC'!G108</f>
        <v>49</v>
      </c>
      <c r="Q107" s="19">
        <f t="shared" si="3"/>
        <v>487</v>
      </c>
      <c r="R107" s="19">
        <f t="shared" si="4"/>
        <v>48.7</v>
      </c>
      <c r="S107" s="19">
        <f>('SUB-1'!M107)+('SUB- 2'!L107)+('SUB-3'!M107)+('SUB-4'!M107)+('SUB-5'!M107)+('SUB-6'!J108)+('SUB-7'!J108)+('SUB-8'!J108)+('SUB-9'!J109)+('SUB-10'!J108)+('SUB- NEC'!J108)</f>
        <v>8</v>
      </c>
      <c r="T107" s="19" t="str">
        <f t="shared" si="5"/>
        <v>PASS</v>
      </c>
    </row>
    <row r="108" ht="14.25" customHeight="1" spans="4:20">
      <c r="D108" s="19">
        <f>'SUB-1'!D108</f>
        <v>94</v>
      </c>
      <c r="E108" s="19" t="str">
        <f>'SUB-1'!E108</f>
        <v>BTMC24O1094</v>
      </c>
      <c r="F108" s="19">
        <f>'SUB-1'!L108</f>
        <v>56</v>
      </c>
      <c r="G108" s="19">
        <f>'SUB- 2'!K108</f>
        <v>47</v>
      </c>
      <c r="H108" s="19">
        <f>'SUB-3'!L108</f>
        <v>50</v>
      </c>
      <c r="I108" s="19">
        <f>'SUB-4'!L108</f>
        <v>68</v>
      </c>
      <c r="J108" s="19">
        <f>'SUB-5'!L108</f>
        <v>46</v>
      </c>
      <c r="K108" s="19">
        <f>'SUB-6'!H109</f>
        <v>83</v>
      </c>
      <c r="L108" s="19">
        <f>'SUB-7'!H109</f>
        <v>18</v>
      </c>
      <c r="M108" s="19">
        <f>'SUB-8'!H109</f>
        <v>12</v>
      </c>
      <c r="N108" s="19">
        <f>'SUB-9'!H110</f>
        <v>22</v>
      </c>
      <c r="O108" s="19">
        <f>'SUB-10'!H109</f>
        <v>62</v>
      </c>
      <c r="P108" s="19">
        <f>'SUB- NEC'!G109</f>
        <v>38</v>
      </c>
      <c r="Q108" s="19">
        <f t="shared" si="3"/>
        <v>502</v>
      </c>
      <c r="R108" s="19">
        <f t="shared" si="4"/>
        <v>50.2</v>
      </c>
      <c r="S108" s="19">
        <f>('SUB-1'!M108)+('SUB- 2'!L108)+('SUB-3'!M108)+('SUB-4'!M108)+('SUB-5'!M108)+('SUB-6'!J109)+('SUB-7'!J109)+('SUB-8'!J109)+('SUB-9'!J110)+('SUB-10'!J109)+('SUB- NEC'!J109)</f>
        <v>10</v>
      </c>
      <c r="T108" s="19" t="str">
        <f t="shared" si="5"/>
        <v>PASS</v>
      </c>
    </row>
    <row r="109" ht="14.25" customHeight="1" spans="4:20">
      <c r="D109" s="19">
        <f>'SUB-1'!D109</f>
        <v>95</v>
      </c>
      <c r="E109" s="19" t="str">
        <f>'SUB-1'!E109</f>
        <v>BTMC24O1095</v>
      </c>
      <c r="F109" s="19">
        <f>'SUB-1'!L109</f>
        <v>63</v>
      </c>
      <c r="G109" s="19">
        <f>'SUB- 2'!K109</f>
        <v>33</v>
      </c>
      <c r="H109" s="19">
        <f>'SUB-3'!L109</f>
        <v>60</v>
      </c>
      <c r="I109" s="19">
        <f>'SUB-4'!L109</f>
        <v>54</v>
      </c>
      <c r="J109" s="19">
        <f>'SUB-5'!L109</f>
        <v>42</v>
      </c>
      <c r="K109" s="19">
        <f>'SUB-6'!H110</f>
        <v>55</v>
      </c>
      <c r="L109" s="19">
        <f>'SUB-7'!H110</f>
        <v>69</v>
      </c>
      <c r="M109" s="19">
        <f>'SUB-8'!H110</f>
        <v>43</v>
      </c>
      <c r="N109" s="19">
        <f>'SUB-9'!H111</f>
        <v>66</v>
      </c>
      <c r="O109" s="19">
        <f>'SUB-10'!H110</f>
        <v>87</v>
      </c>
      <c r="P109" s="19">
        <f>'SUB- NEC'!G110</f>
        <v>31</v>
      </c>
      <c r="Q109" s="19">
        <f t="shared" si="3"/>
        <v>603</v>
      </c>
      <c r="R109" s="19">
        <f t="shared" si="4"/>
        <v>60.3</v>
      </c>
      <c r="S109" s="19">
        <f>('SUB-1'!M109)+('SUB- 2'!L109)+('SUB-3'!M109)+('SUB-4'!M109)+('SUB-5'!M109)+('SUB-6'!J110)+('SUB-7'!J110)+('SUB-8'!J110)+('SUB-9'!J111)+('SUB-10'!J110)+('SUB- NEC'!J110)</f>
        <v>13</v>
      </c>
      <c r="T109" s="19" t="str">
        <f t="shared" si="5"/>
        <v>PASS</v>
      </c>
    </row>
    <row r="110" ht="14.25" customHeight="1" spans="4:20">
      <c r="D110" s="19">
        <f>'SUB-1'!D110</f>
        <v>96</v>
      </c>
      <c r="E110" s="19" t="str">
        <f>'SUB-1'!E110</f>
        <v>BTMC24O1096</v>
      </c>
      <c r="F110" s="19">
        <f>'SUB-1'!L110</f>
        <v>51</v>
      </c>
      <c r="G110" s="19">
        <f>'SUB- 2'!K110</f>
        <v>51</v>
      </c>
      <c r="H110" s="19">
        <f>'SUB-3'!L110</f>
        <v>65</v>
      </c>
      <c r="I110" s="19">
        <f>'SUB-4'!L110</f>
        <v>50</v>
      </c>
      <c r="J110" s="19">
        <f>'SUB-5'!L110</f>
        <v>68</v>
      </c>
      <c r="K110" s="19">
        <f>'SUB-6'!H111</f>
        <v>35</v>
      </c>
      <c r="L110" s="19">
        <f>'SUB-7'!H111</f>
        <v>58</v>
      </c>
      <c r="M110" s="19">
        <f>'SUB-8'!H111</f>
        <v>25</v>
      </c>
      <c r="N110" s="19">
        <f>'SUB-9'!H112</f>
        <v>56</v>
      </c>
      <c r="O110" s="19">
        <f>'SUB-10'!H111</f>
        <v>82</v>
      </c>
      <c r="P110" s="19">
        <f>'SUB- NEC'!G111</f>
        <v>3</v>
      </c>
      <c r="Q110" s="19">
        <f t="shared" si="3"/>
        <v>544</v>
      </c>
      <c r="R110" s="19">
        <f t="shared" si="4"/>
        <v>54.4</v>
      </c>
      <c r="S110" s="19">
        <f>('SUB-1'!M110)+('SUB- 2'!L110)+('SUB-3'!M110)+('SUB-4'!M110)+('SUB-5'!M110)+('SUB-6'!J111)+('SUB-7'!J111)+('SUB-8'!J111)+('SUB-9'!J112)+('SUB-10'!J111)+('SUB- NEC'!J111)</f>
        <v>14</v>
      </c>
      <c r="T110" s="19" t="str">
        <f t="shared" si="5"/>
        <v>PASS</v>
      </c>
    </row>
    <row r="111" ht="14.25" customHeight="1" spans="4:20">
      <c r="D111" s="19">
        <f>'SUB-1'!D111</f>
        <v>97</v>
      </c>
      <c r="E111" s="19" t="str">
        <f>'SUB-1'!E111</f>
        <v>BTMC24O1097</v>
      </c>
      <c r="F111" s="19">
        <f>'SUB-1'!L111</f>
        <v>59</v>
      </c>
      <c r="G111" s="19">
        <f>'SUB- 2'!K111</f>
        <v>48</v>
      </c>
      <c r="H111" s="19">
        <f>'SUB-3'!L111</f>
        <v>58</v>
      </c>
      <c r="I111" s="19">
        <f>'SUB-4'!L111</f>
        <v>55</v>
      </c>
      <c r="J111" s="19">
        <f>'SUB-5'!L111</f>
        <v>75</v>
      </c>
      <c r="K111" s="19">
        <f>'SUB-6'!H112</f>
        <v>56</v>
      </c>
      <c r="L111" s="19">
        <f>'SUB-7'!H112</f>
        <v>34</v>
      </c>
      <c r="M111" s="19">
        <f>'SUB-8'!H112</f>
        <v>39</v>
      </c>
      <c r="N111" s="19">
        <f>'SUB-9'!H113</f>
        <v>68</v>
      </c>
      <c r="O111" s="19">
        <f>'SUB-10'!H112</f>
        <v>76</v>
      </c>
      <c r="P111" s="19">
        <f>'SUB- NEC'!G112</f>
        <v>34</v>
      </c>
      <c r="Q111" s="19">
        <f t="shared" si="3"/>
        <v>602</v>
      </c>
      <c r="R111" s="19">
        <f t="shared" si="4"/>
        <v>60.2</v>
      </c>
      <c r="S111" s="19">
        <f>('SUB-1'!M111)+('SUB- 2'!L111)+('SUB-3'!M111)+('SUB-4'!M111)+('SUB-5'!M111)+('SUB-6'!J112)+('SUB-7'!J112)+('SUB-8'!J112)+('SUB-9'!J113)+('SUB-10'!J112)+('SUB- NEC'!J112)</f>
        <v>14</v>
      </c>
      <c r="T111" s="19" t="str">
        <f t="shared" si="5"/>
        <v>PASS</v>
      </c>
    </row>
    <row r="112" ht="14.25" customHeight="1" spans="4:20">
      <c r="D112" s="19">
        <f>'SUB-1'!D112</f>
        <v>98</v>
      </c>
      <c r="E112" s="19" t="str">
        <f>'SUB-1'!E112</f>
        <v>BTMC24O1098</v>
      </c>
      <c r="F112" s="19">
        <f>'SUB-1'!L112</f>
        <v>28</v>
      </c>
      <c r="G112" s="19">
        <f>'SUB- 2'!K112</f>
        <v>49</v>
      </c>
      <c r="H112" s="19">
        <f>'SUB-3'!L112</f>
        <v>42</v>
      </c>
      <c r="I112" s="19">
        <f>'SUB-4'!L112</f>
        <v>63</v>
      </c>
      <c r="J112" s="19">
        <f>'SUB-5'!L112</f>
        <v>33</v>
      </c>
      <c r="K112" s="19">
        <f>'SUB-6'!H113</f>
        <v>13</v>
      </c>
      <c r="L112" s="19">
        <f>'SUB-7'!H113</f>
        <v>8</v>
      </c>
      <c r="M112" s="19">
        <f>'SUB-8'!H113</f>
        <v>12</v>
      </c>
      <c r="N112" s="19">
        <f>'SUB-9'!H114</f>
        <v>35</v>
      </c>
      <c r="O112" s="19">
        <f>'SUB-10'!H113</f>
        <v>41</v>
      </c>
      <c r="P112" s="19">
        <f>'SUB- NEC'!G113</f>
        <v>49</v>
      </c>
      <c r="Q112" s="19">
        <f t="shared" si="3"/>
        <v>373</v>
      </c>
      <c r="R112" s="19">
        <f t="shared" si="4"/>
        <v>37.3</v>
      </c>
      <c r="S112" s="19">
        <f>('SUB-1'!M112)+('SUB- 2'!L112)+('SUB-3'!M112)+('SUB-4'!M112)+('SUB-5'!M112)+('SUB-6'!J113)+('SUB-7'!J113)+('SUB-8'!J113)+('SUB-9'!J114)+('SUB-10'!J113)+('SUB- NEC'!J113)</f>
        <v>7</v>
      </c>
      <c r="T112" s="19" t="str">
        <f t="shared" si="5"/>
        <v>FAIL</v>
      </c>
    </row>
    <row r="113" ht="14.25" customHeight="1" spans="4:20">
      <c r="D113" s="19">
        <f>'SUB-1'!D113</f>
        <v>99</v>
      </c>
      <c r="E113" s="19" t="str">
        <f>'SUB-1'!E113</f>
        <v>BTMC24O1099</v>
      </c>
      <c r="F113" s="19">
        <f>'SUB-1'!L113</f>
        <v>58</v>
      </c>
      <c r="G113" s="19">
        <f>'SUB- 2'!K113</f>
        <v>44</v>
      </c>
      <c r="H113" s="19">
        <f>'SUB-3'!L113</f>
        <v>43</v>
      </c>
      <c r="I113" s="19">
        <f>'SUB-4'!L113</f>
        <v>31</v>
      </c>
      <c r="J113" s="19">
        <f>'SUB-5'!L113</f>
        <v>37</v>
      </c>
      <c r="K113" s="19">
        <f>'SUB-6'!H114</f>
        <v>12</v>
      </c>
      <c r="L113" s="19">
        <f>'SUB-7'!H114</f>
        <v>43</v>
      </c>
      <c r="M113" s="19">
        <f>'SUB-8'!H114</f>
        <v>29</v>
      </c>
      <c r="N113" s="19">
        <f>'SUB-9'!H115</f>
        <v>53</v>
      </c>
      <c r="O113" s="19">
        <f>'SUB-10'!H114</f>
        <v>12</v>
      </c>
      <c r="P113" s="19">
        <f>'SUB- NEC'!G114</f>
        <v>8</v>
      </c>
      <c r="Q113" s="19">
        <f t="shared" si="3"/>
        <v>370</v>
      </c>
      <c r="R113" s="19">
        <f t="shared" si="4"/>
        <v>37</v>
      </c>
      <c r="S113" s="19">
        <f>('SUB-1'!M113)+('SUB- 2'!L113)+('SUB-3'!M113)+('SUB-4'!M113)+('SUB-5'!M113)+('SUB-6'!J114)+('SUB-7'!J114)+('SUB-8'!J114)+('SUB-9'!J115)+('SUB-10'!J114)+('SUB- NEC'!J114)</f>
        <v>8</v>
      </c>
      <c r="T113" s="19" t="str">
        <f t="shared" si="5"/>
        <v>FAIL</v>
      </c>
    </row>
    <row r="114" ht="14.25" customHeight="1" spans="4:20">
      <c r="D114" s="19">
        <f>'SUB-1'!D114</f>
        <v>100</v>
      </c>
      <c r="E114" s="19" t="str">
        <f>'SUB-1'!E114</f>
        <v>BTMC24O1100</v>
      </c>
      <c r="F114" s="19">
        <f>'SUB-1'!L114</f>
        <v>28</v>
      </c>
      <c r="G114" s="19">
        <f>'SUB- 2'!K114</f>
        <v>55</v>
      </c>
      <c r="H114" s="19">
        <f>'SUB-3'!L114</f>
        <v>66</v>
      </c>
      <c r="I114" s="19">
        <f>'SUB-4'!L114</f>
        <v>36</v>
      </c>
      <c r="J114" s="19">
        <f>'SUB-5'!L114</f>
        <v>58</v>
      </c>
      <c r="K114" s="19">
        <f>'SUB-6'!H115</f>
        <v>39</v>
      </c>
      <c r="L114" s="19">
        <f>'SUB-7'!H115</f>
        <v>95</v>
      </c>
      <c r="M114" s="19">
        <f>'SUB-8'!H115</f>
        <v>34</v>
      </c>
      <c r="N114" s="19">
        <f>'SUB-9'!H116</f>
        <v>26</v>
      </c>
      <c r="O114" s="19">
        <f>'SUB-10'!H115</f>
        <v>79</v>
      </c>
      <c r="P114" s="19">
        <f>'SUB- NEC'!G115</f>
        <v>27</v>
      </c>
      <c r="Q114" s="19">
        <f t="shared" si="3"/>
        <v>543</v>
      </c>
      <c r="R114" s="19">
        <f t="shared" si="4"/>
        <v>54.3</v>
      </c>
      <c r="S114" s="19">
        <f>('SUB-1'!M114)+('SUB- 2'!L114)+('SUB-3'!M114)+('SUB-4'!M114)+('SUB-5'!M114)+('SUB-6'!J115)+('SUB-7'!J115)+('SUB-8'!J115)+('SUB-9'!J116)+('SUB-10'!J115)+('SUB- NEC'!J115)</f>
        <v>12</v>
      </c>
      <c r="T114" s="19" t="str">
        <f t="shared" si="5"/>
        <v>PASS</v>
      </c>
    </row>
  </sheetData>
  <mergeCells count="9">
    <mergeCell ref="D4:Q4"/>
    <mergeCell ref="D5:Q5"/>
    <mergeCell ref="D6:Q6"/>
    <mergeCell ref="G7:L7"/>
    <mergeCell ref="D8:Q8"/>
    <mergeCell ref="D9:Q9"/>
    <mergeCell ref="V14:Y14"/>
    <mergeCell ref="V17:Y17"/>
    <mergeCell ref="D2:Q3"/>
  </mergeCells>
  <conditionalFormatting sqref="T15:T114">
    <cfRule type="containsText" dxfId="0" priority="2" operator="between" text="FAIL">
      <formula>NOT(ISERROR(SEARCH("FAIL",T15)))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Y114"/>
  <sheetViews>
    <sheetView zoomScale="65" zoomScaleNormal="65" workbookViewId="0">
      <selection activeCell="C15" sqref="C15:E15"/>
    </sheetView>
  </sheetViews>
  <sheetFormatPr defaultColWidth="9" defaultRowHeight="14.4"/>
  <cols>
    <col min="2" max="2" width="6.26851851851852" style="1" customWidth="1"/>
    <col min="18" max="18" width="10.0925925925926" style="1" customWidth="1"/>
    <col min="20" max="20" width="9.36111111111111" style="1" customWidth="1"/>
    <col min="21" max="21" width="19" style="1" customWidth="1"/>
  </cols>
  <sheetData>
    <row r="1" ht="14.25" customHeight="1" spans="1:22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0"/>
    </row>
    <row r="2" ht="14.25" customHeight="1" spans="1:22">
      <c r="A2" s="66" t="s">
        <v>26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ht="14.25" customHeight="1" spans="1:2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ht="24" customHeight="1" spans="1:22">
      <c r="A4" s="11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4" customHeight="1" spans="1:22">
      <c r="A5" s="67" t="s">
        <v>28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 ht="22.5" customHeight="1" spans="1:22">
      <c r="A6" s="68" t="s">
        <v>29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</row>
    <row r="7" ht="22.5" customHeight="1" spans="1:22">
      <c r="A7" s="69" t="s">
        <v>30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</row>
    <row r="8" ht="23.25" customHeight="1" spans="1:22">
      <c r="A8" s="70" t="s">
        <v>60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ht="23.25" customHeight="1" spans="1:22">
      <c r="A9" s="70" t="s">
        <v>61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3" ht="14.25" customHeight="1" spans="1:22">
      <c r="B13" s="71" t="s">
        <v>82</v>
      </c>
      <c r="C13" s="72" t="s">
        <v>63</v>
      </c>
      <c r="D13" s="72"/>
      <c r="E13" s="72"/>
      <c r="F13" s="72" t="s">
        <v>83</v>
      </c>
      <c r="G13" s="72"/>
      <c r="H13" s="72"/>
      <c r="I13" s="72" t="s">
        <v>84</v>
      </c>
      <c r="J13" s="72"/>
      <c r="K13" s="72"/>
      <c r="L13" s="72" t="s">
        <v>85</v>
      </c>
      <c r="M13" s="72"/>
      <c r="N13" s="72"/>
      <c r="O13" s="72" t="s">
        <v>86</v>
      </c>
      <c r="P13" s="72"/>
      <c r="Q13" s="72"/>
      <c r="R13" s="73" t="s">
        <v>87</v>
      </c>
      <c r="S13" s="73"/>
      <c r="T13" s="72" t="s">
        <v>88</v>
      </c>
      <c r="U13" s="73" t="s">
        <v>89</v>
      </c>
      <c r="V13" s="74"/>
    </row>
    <row r="14" ht="14.25" customHeight="1" spans="1:22">
      <c r="B14" s="75"/>
      <c r="C14" s="76"/>
      <c r="D14" s="76"/>
      <c r="E14" s="77"/>
      <c r="F14" s="78"/>
      <c r="G14" s="76"/>
      <c r="H14" s="77"/>
      <c r="I14" s="78"/>
      <c r="J14" s="76"/>
      <c r="K14" s="77"/>
      <c r="L14" s="78"/>
      <c r="M14" s="76"/>
      <c r="N14" s="77"/>
      <c r="O14" s="78"/>
      <c r="P14" s="76"/>
      <c r="Q14" s="77"/>
      <c r="R14" s="78"/>
      <c r="S14" s="77"/>
      <c r="T14" s="79"/>
      <c r="U14" s="79"/>
    </row>
    <row r="15" ht="27" customHeight="1" spans="1:22">
      <c r="B15" s="80">
        <v>1</v>
      </c>
      <c r="C15" s="81" t="s">
        <v>90</v>
      </c>
      <c r="D15" s="81"/>
      <c r="E15" s="81"/>
      <c r="F15" s="82" t="s">
        <v>91</v>
      </c>
      <c r="G15" s="82"/>
      <c r="H15" s="82"/>
      <c r="I15" s="83" t="s">
        <v>92</v>
      </c>
      <c r="J15" s="83"/>
      <c r="K15" s="83"/>
      <c r="L15" s="83" t="s">
        <v>93</v>
      </c>
      <c r="M15" s="83"/>
      <c r="N15" s="83"/>
      <c r="O15" s="83" t="s">
        <v>94</v>
      </c>
      <c r="P15" s="83"/>
      <c r="Q15" s="83"/>
      <c r="R15" s="84">
        <v>38546</v>
      </c>
      <c r="S15" s="84"/>
      <c r="T15" s="85" t="s">
        <v>95</v>
      </c>
      <c r="U15" s="86" t="s">
        <v>96</v>
      </c>
    </row>
    <row r="16" ht="27" customHeight="1" spans="1:22">
      <c r="B16" s="80">
        <v>2</v>
      </c>
      <c r="C16" s="81" t="s">
        <v>97</v>
      </c>
      <c r="D16" s="81"/>
      <c r="E16" s="81"/>
      <c r="F16" s="87" t="s">
        <v>98</v>
      </c>
      <c r="G16" s="87"/>
      <c r="H16" s="87"/>
      <c r="I16" s="83" t="s">
        <v>99</v>
      </c>
      <c r="J16" s="83"/>
      <c r="K16" s="83"/>
      <c r="L16" s="83" t="s">
        <v>100</v>
      </c>
      <c r="M16" s="83"/>
      <c r="N16" s="83"/>
      <c r="O16" s="83" t="s">
        <v>101</v>
      </c>
      <c r="P16" s="83"/>
      <c r="Q16" s="83"/>
      <c r="R16" s="84">
        <v>38547</v>
      </c>
      <c r="S16" s="84"/>
      <c r="T16" s="88" t="s">
        <v>95</v>
      </c>
      <c r="U16" s="89" t="s">
        <v>96</v>
      </c>
    </row>
    <row r="17" ht="27" customHeight="1" spans="2:21">
      <c r="B17" s="80">
        <v>3</v>
      </c>
      <c r="C17" s="81" t="s">
        <v>102</v>
      </c>
      <c r="D17" s="81"/>
      <c r="E17" s="81"/>
      <c r="F17" s="87" t="s">
        <v>103</v>
      </c>
      <c r="G17" s="87"/>
      <c r="H17" s="87"/>
      <c r="I17" s="83" t="s">
        <v>104</v>
      </c>
      <c r="J17" s="83"/>
      <c r="K17" s="83"/>
      <c r="L17" s="83" t="s">
        <v>105</v>
      </c>
      <c r="M17" s="83"/>
      <c r="N17" s="83"/>
      <c r="O17" s="83" t="s">
        <v>106</v>
      </c>
      <c r="P17" s="83"/>
      <c r="Q17" s="83"/>
      <c r="R17" s="84">
        <v>38548</v>
      </c>
      <c r="S17" s="84"/>
      <c r="T17" s="88" t="s">
        <v>95</v>
      </c>
      <c r="U17" s="89" t="s">
        <v>96</v>
      </c>
    </row>
    <row r="18" ht="27" customHeight="1" spans="2:21">
      <c r="B18" s="80">
        <v>4</v>
      </c>
      <c r="C18" s="81" t="s">
        <v>107</v>
      </c>
      <c r="D18" s="81"/>
      <c r="E18" s="81"/>
      <c r="F18" s="87" t="s">
        <v>108</v>
      </c>
      <c r="G18" s="87"/>
      <c r="H18" s="87"/>
      <c r="I18" s="83" t="s">
        <v>109</v>
      </c>
      <c r="J18" s="83"/>
      <c r="K18" s="83"/>
      <c r="L18" s="83" t="s">
        <v>110</v>
      </c>
      <c r="M18" s="83"/>
      <c r="N18" s="83"/>
      <c r="O18" s="83" t="s">
        <v>111</v>
      </c>
      <c r="P18" s="83"/>
      <c r="Q18" s="83"/>
      <c r="R18" s="84">
        <v>38549</v>
      </c>
      <c r="S18" s="84"/>
      <c r="T18" s="88" t="s">
        <v>95</v>
      </c>
      <c r="U18" s="89" t="s">
        <v>96</v>
      </c>
    </row>
    <row r="19" ht="27" customHeight="1" spans="2:21">
      <c r="B19" s="80">
        <v>5</v>
      </c>
      <c r="C19" s="81" t="s">
        <v>112</v>
      </c>
      <c r="D19" s="81"/>
      <c r="E19" s="81"/>
      <c r="F19" s="87" t="s">
        <v>113</v>
      </c>
      <c r="G19" s="87"/>
      <c r="H19" s="87"/>
      <c r="I19" s="83" t="s">
        <v>114</v>
      </c>
      <c r="J19" s="83"/>
      <c r="K19" s="83"/>
      <c r="L19" s="83" t="s">
        <v>115</v>
      </c>
      <c r="M19" s="83"/>
      <c r="N19" s="83"/>
      <c r="O19" s="83" t="s">
        <v>116</v>
      </c>
      <c r="P19" s="83"/>
      <c r="Q19" s="83"/>
      <c r="R19" s="84">
        <v>38550</v>
      </c>
      <c r="S19" s="84"/>
      <c r="T19" s="88" t="s">
        <v>95</v>
      </c>
      <c r="U19" s="89" t="s">
        <v>96</v>
      </c>
    </row>
    <row r="20" ht="27" customHeight="1" spans="2:21">
      <c r="B20" s="80">
        <v>6</v>
      </c>
      <c r="C20" s="81" t="s">
        <v>117</v>
      </c>
      <c r="D20" s="81"/>
      <c r="E20" s="81"/>
      <c r="F20" s="87" t="s">
        <v>118</v>
      </c>
      <c r="G20" s="87"/>
      <c r="H20" s="87"/>
      <c r="I20" s="83" t="s">
        <v>119</v>
      </c>
      <c r="J20" s="83"/>
      <c r="K20" s="83"/>
      <c r="L20" s="83" t="s">
        <v>120</v>
      </c>
      <c r="M20" s="83"/>
      <c r="N20" s="83"/>
      <c r="O20" s="83" t="s">
        <v>121</v>
      </c>
      <c r="P20" s="83"/>
      <c r="Q20" s="83"/>
      <c r="R20" s="84">
        <v>38551</v>
      </c>
      <c r="S20" s="84"/>
      <c r="T20" s="88" t="s">
        <v>95</v>
      </c>
      <c r="U20" s="89" t="s">
        <v>96</v>
      </c>
    </row>
    <row r="21" ht="27" customHeight="1" spans="2:21">
      <c r="B21" s="80">
        <v>7</v>
      </c>
      <c r="C21" s="81" t="s">
        <v>122</v>
      </c>
      <c r="D21" s="81"/>
      <c r="E21" s="81"/>
      <c r="F21" s="87" t="s">
        <v>123</v>
      </c>
      <c r="G21" s="87"/>
      <c r="H21" s="87"/>
      <c r="I21" s="83" t="s">
        <v>124</v>
      </c>
      <c r="J21" s="83"/>
      <c r="K21" s="83"/>
      <c r="L21" s="83" t="s">
        <v>125</v>
      </c>
      <c r="M21" s="83"/>
      <c r="N21" s="83"/>
      <c r="O21" s="83" t="s">
        <v>126</v>
      </c>
      <c r="P21" s="83"/>
      <c r="Q21" s="83"/>
      <c r="R21" s="84">
        <v>38552</v>
      </c>
      <c r="S21" s="84"/>
      <c r="T21" s="88" t="s">
        <v>95</v>
      </c>
      <c r="U21" s="89" t="s">
        <v>96</v>
      </c>
    </row>
    <row r="22" ht="27" customHeight="1" spans="2:21">
      <c r="B22" s="80">
        <v>8</v>
      </c>
      <c r="C22" s="81" t="s">
        <v>127</v>
      </c>
      <c r="D22" s="81"/>
      <c r="E22" s="81"/>
      <c r="F22" s="87" t="s">
        <v>128</v>
      </c>
      <c r="G22" s="87"/>
      <c r="H22" s="87"/>
      <c r="I22" s="83" t="s">
        <v>129</v>
      </c>
      <c r="J22" s="83"/>
      <c r="K22" s="83"/>
      <c r="L22" s="83" t="s">
        <v>130</v>
      </c>
      <c r="M22" s="83"/>
      <c r="N22" s="83"/>
      <c r="O22" s="83" t="s">
        <v>131</v>
      </c>
      <c r="P22" s="83"/>
      <c r="Q22" s="83"/>
      <c r="R22" s="84">
        <v>38553</v>
      </c>
      <c r="S22" s="84"/>
      <c r="T22" s="88" t="s">
        <v>95</v>
      </c>
      <c r="U22" s="89" t="s">
        <v>96</v>
      </c>
    </row>
    <row r="23" ht="27" customHeight="1" spans="2:21">
      <c r="B23" s="80">
        <v>9</v>
      </c>
      <c r="C23" s="81" t="s">
        <v>132</v>
      </c>
      <c r="D23" s="81"/>
      <c r="E23" s="81"/>
      <c r="F23" s="87" t="s">
        <v>133</v>
      </c>
      <c r="G23" s="87"/>
      <c r="H23" s="87"/>
      <c r="I23" s="83" t="s">
        <v>134</v>
      </c>
      <c r="J23" s="83"/>
      <c r="K23" s="83"/>
      <c r="L23" s="83" t="s">
        <v>135</v>
      </c>
      <c r="M23" s="83"/>
      <c r="N23" s="83"/>
      <c r="O23" s="83" t="s">
        <v>136</v>
      </c>
      <c r="P23" s="83"/>
      <c r="Q23" s="83"/>
      <c r="R23" s="84">
        <v>38554</v>
      </c>
      <c r="S23" s="84"/>
      <c r="T23" s="88" t="s">
        <v>95</v>
      </c>
      <c r="U23" s="89" t="s">
        <v>96</v>
      </c>
    </row>
    <row r="24" ht="27" customHeight="1" spans="2:21">
      <c r="B24" s="80">
        <v>10</v>
      </c>
      <c r="C24" s="81" t="s">
        <v>137</v>
      </c>
      <c r="D24" s="81"/>
      <c r="E24" s="81"/>
      <c r="F24" s="87" t="s">
        <v>133</v>
      </c>
      <c r="G24" s="87"/>
      <c r="H24" s="87"/>
      <c r="I24" s="83" t="s">
        <v>138</v>
      </c>
      <c r="J24" s="83"/>
      <c r="K24" s="83"/>
      <c r="L24" s="83" t="s">
        <v>139</v>
      </c>
      <c r="M24" s="83"/>
      <c r="N24" s="83"/>
      <c r="O24" s="83" t="s">
        <v>140</v>
      </c>
      <c r="P24" s="83"/>
      <c r="Q24" s="83"/>
      <c r="R24" s="84">
        <v>38555</v>
      </c>
      <c r="S24" s="84"/>
      <c r="T24" s="88" t="s">
        <v>95</v>
      </c>
      <c r="U24" s="89" t="s">
        <v>96</v>
      </c>
    </row>
    <row r="25" ht="27" customHeight="1" spans="2:21">
      <c r="B25" s="80">
        <v>11</v>
      </c>
      <c r="C25" s="81" t="s">
        <v>141</v>
      </c>
      <c r="D25" s="81"/>
      <c r="E25" s="81"/>
      <c r="F25" s="87" t="s">
        <v>142</v>
      </c>
      <c r="G25" s="87"/>
      <c r="H25" s="87"/>
      <c r="I25" s="83" t="s">
        <v>143</v>
      </c>
      <c r="J25" s="83"/>
      <c r="K25" s="83"/>
      <c r="L25" s="83" t="s">
        <v>144</v>
      </c>
      <c r="M25" s="83"/>
      <c r="N25" s="83"/>
      <c r="O25" s="83" t="s">
        <v>145</v>
      </c>
      <c r="P25" s="83"/>
      <c r="Q25" s="83"/>
      <c r="R25" s="84">
        <v>38556</v>
      </c>
      <c r="S25" s="84"/>
      <c r="T25" s="88" t="s">
        <v>95</v>
      </c>
      <c r="U25" s="89" t="s">
        <v>96</v>
      </c>
    </row>
    <row r="26" ht="27" customHeight="1" spans="2:21">
      <c r="B26" s="80">
        <v>12</v>
      </c>
      <c r="C26" s="81" t="s">
        <v>146</v>
      </c>
      <c r="D26" s="81"/>
      <c r="E26" s="81"/>
      <c r="F26" s="87" t="s">
        <v>147</v>
      </c>
      <c r="G26" s="87"/>
      <c r="H26" s="87"/>
      <c r="I26" s="83" t="s">
        <v>148</v>
      </c>
      <c r="J26" s="83"/>
      <c r="K26" s="83"/>
      <c r="L26" s="83" t="s">
        <v>149</v>
      </c>
      <c r="M26" s="83"/>
      <c r="N26" s="83"/>
      <c r="O26" s="83" t="s">
        <v>150</v>
      </c>
      <c r="P26" s="83"/>
      <c r="Q26" s="83"/>
      <c r="R26" s="84">
        <v>38557</v>
      </c>
      <c r="S26" s="84"/>
      <c r="T26" s="88" t="s">
        <v>95</v>
      </c>
      <c r="U26" s="89" t="s">
        <v>96</v>
      </c>
    </row>
    <row r="27" ht="27" customHeight="1" spans="2:21">
      <c r="B27" s="80">
        <v>13</v>
      </c>
      <c r="C27" s="81" t="s">
        <v>151</v>
      </c>
      <c r="D27" s="81"/>
      <c r="E27" s="81"/>
      <c r="F27" s="87" t="s">
        <v>152</v>
      </c>
      <c r="G27" s="87"/>
      <c r="H27" s="87"/>
      <c r="I27" s="83" t="s">
        <v>153</v>
      </c>
      <c r="J27" s="83"/>
      <c r="K27" s="83"/>
      <c r="L27" s="83" t="s">
        <v>154</v>
      </c>
      <c r="M27" s="83"/>
      <c r="N27" s="83"/>
      <c r="O27" s="83" t="s">
        <v>155</v>
      </c>
      <c r="P27" s="83"/>
      <c r="Q27" s="83"/>
      <c r="R27" s="84">
        <v>38558</v>
      </c>
      <c r="S27" s="84"/>
      <c r="T27" s="88" t="s">
        <v>95</v>
      </c>
      <c r="U27" s="89" t="s">
        <v>96</v>
      </c>
    </row>
    <row r="28" ht="25.5" customHeight="1" spans="2:21">
      <c r="B28" s="80">
        <v>14</v>
      </c>
      <c r="C28" s="81" t="s">
        <v>156</v>
      </c>
      <c r="D28" s="81"/>
      <c r="E28" s="81"/>
      <c r="F28" s="87" t="s">
        <v>157</v>
      </c>
      <c r="G28" s="87"/>
      <c r="H28" s="87"/>
      <c r="I28" s="83" t="s">
        <v>158</v>
      </c>
      <c r="J28" s="83"/>
      <c r="K28" s="83"/>
      <c r="L28" s="90" t="s">
        <v>159</v>
      </c>
      <c r="M28" s="90"/>
      <c r="N28" s="90"/>
      <c r="O28" s="83" t="s">
        <v>160</v>
      </c>
      <c r="P28" s="83"/>
      <c r="Q28" s="83"/>
      <c r="R28" s="84">
        <v>38559</v>
      </c>
      <c r="S28" s="84"/>
      <c r="T28" s="88" t="s">
        <v>95</v>
      </c>
      <c r="U28" s="89" t="s">
        <v>96</v>
      </c>
    </row>
    <row r="29" ht="27" customHeight="1" spans="2:21">
      <c r="B29" s="80">
        <v>15</v>
      </c>
      <c r="C29" s="81" t="s">
        <v>161</v>
      </c>
      <c r="D29" s="81"/>
      <c r="E29" s="81"/>
      <c r="F29" s="87" t="s">
        <v>162</v>
      </c>
      <c r="G29" s="87"/>
      <c r="H29" s="87"/>
      <c r="I29" s="83" t="s">
        <v>163</v>
      </c>
      <c r="J29" s="83"/>
      <c r="K29" s="83"/>
      <c r="L29" s="83" t="s">
        <v>164</v>
      </c>
      <c r="M29" s="83"/>
      <c r="N29" s="83"/>
      <c r="O29" s="83" t="s">
        <v>165</v>
      </c>
      <c r="P29" s="83"/>
      <c r="Q29" s="83"/>
      <c r="R29" s="84">
        <v>38560</v>
      </c>
      <c r="S29" s="84"/>
      <c r="T29" s="88" t="s">
        <v>95</v>
      </c>
      <c r="U29" s="89" t="s">
        <v>96</v>
      </c>
    </row>
    <row r="30" ht="27" customHeight="1" spans="2:21">
      <c r="B30" s="80">
        <v>16</v>
      </c>
      <c r="C30" s="81" t="s">
        <v>166</v>
      </c>
      <c r="D30" s="81"/>
      <c r="E30" s="81"/>
      <c r="F30" s="87" t="s">
        <v>167</v>
      </c>
      <c r="G30" s="87"/>
      <c r="H30" s="87"/>
      <c r="I30" s="83" t="s">
        <v>168</v>
      </c>
      <c r="J30" s="83"/>
      <c r="K30" s="83"/>
      <c r="L30" s="83" t="s">
        <v>169</v>
      </c>
      <c r="M30" s="83"/>
      <c r="N30" s="83"/>
      <c r="O30" s="83" t="s">
        <v>170</v>
      </c>
      <c r="P30" s="83"/>
      <c r="Q30" s="83"/>
      <c r="R30" s="84">
        <v>38561</v>
      </c>
      <c r="S30" s="84"/>
      <c r="T30" s="88" t="s">
        <v>95</v>
      </c>
      <c r="U30" s="89" t="s">
        <v>96</v>
      </c>
    </row>
    <row r="31" ht="27" customHeight="1" spans="2:21">
      <c r="B31" s="80">
        <v>17</v>
      </c>
      <c r="C31" s="81" t="s">
        <v>171</v>
      </c>
      <c r="D31" s="81"/>
      <c r="E31" s="81"/>
      <c r="F31" s="87" t="s">
        <v>172</v>
      </c>
      <c r="G31" s="87"/>
      <c r="H31" s="87"/>
      <c r="I31" s="83" t="s">
        <v>173</v>
      </c>
      <c r="J31" s="83"/>
      <c r="K31" s="83"/>
      <c r="L31" s="83" t="s">
        <v>174</v>
      </c>
      <c r="M31" s="83"/>
      <c r="N31" s="83"/>
      <c r="O31" s="83" t="s">
        <v>175</v>
      </c>
      <c r="P31" s="83"/>
      <c r="Q31" s="83"/>
      <c r="R31" s="84">
        <v>38562</v>
      </c>
      <c r="S31" s="84"/>
      <c r="T31" s="88" t="s">
        <v>95</v>
      </c>
      <c r="U31" s="89" t="s">
        <v>96</v>
      </c>
    </row>
    <row r="32" ht="27" customHeight="1" spans="2:21">
      <c r="B32" s="80">
        <v>18</v>
      </c>
      <c r="C32" s="81" t="s">
        <v>176</v>
      </c>
      <c r="D32" s="81"/>
      <c r="E32" s="81"/>
      <c r="F32" s="87" t="s">
        <v>177</v>
      </c>
      <c r="G32" s="87"/>
      <c r="H32" s="87"/>
      <c r="I32" s="83" t="s">
        <v>178</v>
      </c>
      <c r="J32" s="83"/>
      <c r="K32" s="83"/>
      <c r="L32" s="83" t="s">
        <v>179</v>
      </c>
      <c r="M32" s="83"/>
      <c r="N32" s="83"/>
      <c r="O32" s="83" t="s">
        <v>180</v>
      </c>
      <c r="P32" s="83"/>
      <c r="Q32" s="83"/>
      <c r="R32" s="84">
        <v>38563</v>
      </c>
      <c r="S32" s="84"/>
      <c r="T32" s="88" t="s">
        <v>95</v>
      </c>
      <c r="U32" s="89" t="s">
        <v>96</v>
      </c>
    </row>
    <row r="33" ht="27" customHeight="1" spans="2:21">
      <c r="B33" s="80">
        <v>19</v>
      </c>
      <c r="C33" s="81" t="s">
        <v>181</v>
      </c>
      <c r="D33" s="81"/>
      <c r="E33" s="81"/>
      <c r="F33" s="87" t="s">
        <v>182</v>
      </c>
      <c r="G33" s="87"/>
      <c r="H33" s="87"/>
      <c r="I33" s="83" t="s">
        <v>183</v>
      </c>
      <c r="J33" s="83"/>
      <c r="K33" s="83"/>
      <c r="L33" s="83" t="s">
        <v>184</v>
      </c>
      <c r="M33" s="83"/>
      <c r="N33" s="83"/>
      <c r="O33" s="83" t="s">
        <v>185</v>
      </c>
      <c r="P33" s="83"/>
      <c r="Q33" s="83"/>
      <c r="R33" s="84">
        <v>38564</v>
      </c>
      <c r="S33" s="84"/>
      <c r="T33" s="88" t="s">
        <v>95</v>
      </c>
      <c r="U33" s="89" t="s">
        <v>96</v>
      </c>
    </row>
    <row r="34" ht="27" customHeight="1" spans="2:21">
      <c r="B34" s="80">
        <v>20</v>
      </c>
      <c r="C34" s="81" t="s">
        <v>186</v>
      </c>
      <c r="D34" s="81"/>
      <c r="E34" s="81"/>
      <c r="F34" s="87" t="s">
        <v>187</v>
      </c>
      <c r="G34" s="87"/>
      <c r="H34" s="87"/>
      <c r="I34" s="83" t="s">
        <v>188</v>
      </c>
      <c r="J34" s="83"/>
      <c r="K34" s="83"/>
      <c r="L34" s="83" t="s">
        <v>189</v>
      </c>
      <c r="M34" s="83"/>
      <c r="N34" s="83"/>
      <c r="O34" s="83" t="s">
        <v>190</v>
      </c>
      <c r="P34" s="83"/>
      <c r="Q34" s="83"/>
      <c r="R34" s="84">
        <v>38565</v>
      </c>
      <c r="S34" s="84"/>
      <c r="T34" s="88" t="s">
        <v>95</v>
      </c>
      <c r="U34" s="89" t="s">
        <v>96</v>
      </c>
    </row>
    <row r="35" ht="27" customHeight="1" spans="2:21">
      <c r="B35" s="80">
        <v>21</v>
      </c>
      <c r="C35" s="81" t="s">
        <v>40</v>
      </c>
      <c r="D35" s="81"/>
      <c r="E35" s="81"/>
      <c r="F35" s="87" t="s">
        <v>191</v>
      </c>
      <c r="G35" s="87"/>
      <c r="H35" s="87"/>
      <c r="I35" s="83" t="s">
        <v>192</v>
      </c>
      <c r="J35" s="83"/>
      <c r="K35" s="83"/>
      <c r="L35" s="83" t="s">
        <v>193</v>
      </c>
      <c r="M35" s="83"/>
      <c r="N35" s="83"/>
      <c r="O35" s="83" t="s">
        <v>194</v>
      </c>
      <c r="P35" s="83"/>
      <c r="Q35" s="83"/>
      <c r="R35" s="84">
        <v>38566</v>
      </c>
      <c r="S35" s="84"/>
      <c r="T35" s="88" t="s">
        <v>95</v>
      </c>
      <c r="U35" s="89" t="s">
        <v>96</v>
      </c>
    </row>
    <row r="36" ht="27" customHeight="1" spans="2:21">
      <c r="B36" s="80">
        <v>22</v>
      </c>
      <c r="C36" s="81" t="s">
        <v>195</v>
      </c>
      <c r="D36" s="81"/>
      <c r="E36" s="81"/>
      <c r="F36" s="87" t="s">
        <v>196</v>
      </c>
      <c r="G36" s="87"/>
      <c r="H36" s="87"/>
      <c r="I36" s="83" t="s">
        <v>197</v>
      </c>
      <c r="J36" s="83"/>
      <c r="K36" s="83"/>
      <c r="L36" s="83" t="s">
        <v>198</v>
      </c>
      <c r="M36" s="83"/>
      <c r="N36" s="83"/>
      <c r="O36" s="83" t="s">
        <v>199</v>
      </c>
      <c r="P36" s="83"/>
      <c r="Q36" s="83"/>
      <c r="R36" s="84">
        <v>38567</v>
      </c>
      <c r="S36" s="84"/>
      <c r="T36" s="88" t="s">
        <v>95</v>
      </c>
      <c r="U36" s="89" t="s">
        <v>96</v>
      </c>
    </row>
    <row r="37" ht="27" customHeight="1" spans="2:21">
      <c r="B37" s="80">
        <v>23</v>
      </c>
      <c r="C37" s="81" t="s">
        <v>200</v>
      </c>
      <c r="D37" s="81"/>
      <c r="E37" s="81"/>
      <c r="F37" s="87" t="s">
        <v>201</v>
      </c>
      <c r="G37" s="87"/>
      <c r="H37" s="87"/>
      <c r="I37" s="83" t="s">
        <v>202</v>
      </c>
      <c r="J37" s="83"/>
      <c r="K37" s="83"/>
      <c r="L37" s="83" t="s">
        <v>203</v>
      </c>
      <c r="M37" s="83"/>
      <c r="N37" s="83"/>
      <c r="O37" s="83" t="s">
        <v>204</v>
      </c>
      <c r="P37" s="83"/>
      <c r="Q37" s="83"/>
      <c r="R37" s="84">
        <v>38568</v>
      </c>
      <c r="S37" s="84"/>
      <c r="T37" s="88" t="s">
        <v>95</v>
      </c>
      <c r="U37" s="89" t="s">
        <v>96</v>
      </c>
    </row>
    <row r="38" ht="27" customHeight="1" spans="2:21">
      <c r="B38" s="80">
        <v>24</v>
      </c>
      <c r="C38" s="81" t="s">
        <v>205</v>
      </c>
      <c r="D38" s="81"/>
      <c r="E38" s="81"/>
      <c r="F38" s="87" t="s">
        <v>206</v>
      </c>
      <c r="G38" s="87"/>
      <c r="H38" s="87"/>
      <c r="I38" s="83" t="s">
        <v>207</v>
      </c>
      <c r="J38" s="83"/>
      <c r="K38" s="83"/>
      <c r="L38" s="83" t="s">
        <v>208</v>
      </c>
      <c r="M38" s="83"/>
      <c r="N38" s="83"/>
      <c r="O38" s="83" t="s">
        <v>209</v>
      </c>
      <c r="P38" s="83"/>
      <c r="Q38" s="83"/>
      <c r="R38" s="84">
        <v>38569</v>
      </c>
      <c r="S38" s="84"/>
      <c r="T38" s="88" t="s">
        <v>95</v>
      </c>
      <c r="U38" s="89" t="s">
        <v>96</v>
      </c>
    </row>
    <row r="39" ht="27" customHeight="1" spans="2:21">
      <c r="B39" s="80">
        <v>25</v>
      </c>
      <c r="C39" s="81" t="s">
        <v>210</v>
      </c>
      <c r="D39" s="81"/>
      <c r="E39" s="81"/>
      <c r="F39" s="87" t="s">
        <v>211</v>
      </c>
      <c r="G39" s="87"/>
      <c r="H39" s="87"/>
      <c r="I39" s="83" t="s">
        <v>212</v>
      </c>
      <c r="J39" s="83"/>
      <c r="K39" s="83"/>
      <c r="L39" s="83" t="s">
        <v>213</v>
      </c>
      <c r="M39" s="83"/>
      <c r="N39" s="83"/>
      <c r="O39" s="83" t="s">
        <v>214</v>
      </c>
      <c r="P39" s="83"/>
      <c r="Q39" s="83"/>
      <c r="R39" s="84">
        <v>38570</v>
      </c>
      <c r="S39" s="84"/>
      <c r="T39" s="88" t="s">
        <v>95</v>
      </c>
      <c r="U39" s="89" t="s">
        <v>96</v>
      </c>
    </row>
    <row r="40" ht="27" customHeight="1" spans="2:21">
      <c r="B40" s="80">
        <v>26</v>
      </c>
      <c r="C40" s="81" t="s">
        <v>215</v>
      </c>
      <c r="D40" s="81"/>
      <c r="E40" s="81"/>
      <c r="F40" s="87" t="s">
        <v>216</v>
      </c>
      <c r="G40" s="87"/>
      <c r="H40" s="87"/>
      <c r="I40" s="83" t="s">
        <v>217</v>
      </c>
      <c r="J40" s="83"/>
      <c r="K40" s="83"/>
      <c r="L40" s="83" t="s">
        <v>218</v>
      </c>
      <c r="M40" s="83"/>
      <c r="N40" s="83"/>
      <c r="O40" s="83" t="s">
        <v>219</v>
      </c>
      <c r="P40" s="83"/>
      <c r="Q40" s="83"/>
      <c r="R40" s="84">
        <v>38571</v>
      </c>
      <c r="S40" s="84"/>
      <c r="T40" s="88" t="s">
        <v>95</v>
      </c>
      <c r="U40" s="89" t="s">
        <v>96</v>
      </c>
    </row>
    <row r="41" ht="27" customHeight="1" spans="2:21">
      <c r="B41" s="80">
        <v>27</v>
      </c>
      <c r="C41" s="81" t="s">
        <v>220</v>
      </c>
      <c r="D41" s="81"/>
      <c r="E41" s="81"/>
      <c r="F41" s="87" t="s">
        <v>221</v>
      </c>
      <c r="G41" s="87"/>
      <c r="H41" s="87"/>
      <c r="I41" s="83" t="s">
        <v>222</v>
      </c>
      <c r="J41" s="83"/>
      <c r="K41" s="83"/>
      <c r="L41" s="83" t="s">
        <v>223</v>
      </c>
      <c r="M41" s="83"/>
      <c r="N41" s="83"/>
      <c r="O41" s="83" t="s">
        <v>224</v>
      </c>
      <c r="P41" s="83"/>
      <c r="Q41" s="83"/>
      <c r="R41" s="84">
        <v>38572</v>
      </c>
      <c r="S41" s="84"/>
      <c r="T41" s="88" t="s">
        <v>95</v>
      </c>
      <c r="U41" s="89" t="s">
        <v>96</v>
      </c>
    </row>
    <row r="42" ht="27" customHeight="1" spans="2:21">
      <c r="B42" s="80">
        <v>28</v>
      </c>
      <c r="C42" s="81" t="s">
        <v>225</v>
      </c>
      <c r="D42" s="81"/>
      <c r="E42" s="81"/>
      <c r="F42" s="87" t="s">
        <v>226</v>
      </c>
      <c r="G42" s="87"/>
      <c r="H42" s="87"/>
      <c r="I42" s="83" t="s">
        <v>227</v>
      </c>
      <c r="J42" s="83"/>
      <c r="K42" s="83"/>
      <c r="L42" s="83" t="s">
        <v>228</v>
      </c>
      <c r="M42" s="83"/>
      <c r="N42" s="83"/>
      <c r="O42" s="83" t="s">
        <v>229</v>
      </c>
      <c r="P42" s="83"/>
      <c r="Q42" s="83"/>
      <c r="R42" s="84">
        <v>38573</v>
      </c>
      <c r="S42" s="84"/>
      <c r="T42" s="88" t="s">
        <v>95</v>
      </c>
      <c r="U42" s="89" t="s">
        <v>96</v>
      </c>
    </row>
    <row r="43" ht="27" customHeight="1" spans="2:21">
      <c r="B43" s="80">
        <v>29</v>
      </c>
      <c r="C43" s="81" t="s">
        <v>230</v>
      </c>
      <c r="D43" s="81"/>
      <c r="E43" s="81"/>
      <c r="F43" s="87" t="s">
        <v>231</v>
      </c>
      <c r="G43" s="87"/>
      <c r="H43" s="87"/>
      <c r="I43" s="83" t="s">
        <v>232</v>
      </c>
      <c r="J43" s="83"/>
      <c r="K43" s="83"/>
      <c r="L43" s="83" t="s">
        <v>233</v>
      </c>
      <c r="M43" s="83"/>
      <c r="N43" s="83"/>
      <c r="O43" s="83" t="s">
        <v>234</v>
      </c>
      <c r="P43" s="83"/>
      <c r="Q43" s="83"/>
      <c r="R43" s="84">
        <v>38574</v>
      </c>
      <c r="S43" s="84"/>
      <c r="T43" s="88" t="s">
        <v>95</v>
      </c>
      <c r="U43" s="89" t="s">
        <v>96</v>
      </c>
    </row>
    <row r="44" ht="27" customHeight="1" spans="2:21">
      <c r="B44" s="80">
        <v>30</v>
      </c>
      <c r="C44" s="81" t="s">
        <v>235</v>
      </c>
      <c r="D44" s="81"/>
      <c r="E44" s="81"/>
      <c r="F44" s="87" t="s">
        <v>236</v>
      </c>
      <c r="G44" s="87"/>
      <c r="H44" s="87"/>
      <c r="I44" s="83" t="s">
        <v>237</v>
      </c>
      <c r="J44" s="83"/>
      <c r="K44" s="83"/>
      <c r="L44" s="83" t="s">
        <v>238</v>
      </c>
      <c r="M44" s="83"/>
      <c r="N44" s="83"/>
      <c r="O44" s="83" t="s">
        <v>239</v>
      </c>
      <c r="P44" s="83"/>
      <c r="Q44" s="83"/>
      <c r="R44" s="84">
        <v>38575</v>
      </c>
      <c r="S44" s="84"/>
      <c r="T44" s="88" t="s">
        <v>95</v>
      </c>
      <c r="U44" s="89" t="s">
        <v>96</v>
      </c>
    </row>
    <row r="45" ht="27" customHeight="1" spans="2:21">
      <c r="B45" s="80">
        <v>31</v>
      </c>
      <c r="C45" s="81" t="s">
        <v>240</v>
      </c>
      <c r="D45" s="81"/>
      <c r="E45" s="81"/>
      <c r="F45" s="87" t="s">
        <v>241</v>
      </c>
      <c r="G45" s="87"/>
      <c r="H45" s="87"/>
      <c r="I45" s="83" t="s">
        <v>242</v>
      </c>
      <c r="J45" s="83"/>
      <c r="K45" s="83"/>
      <c r="L45" s="83" t="s">
        <v>243</v>
      </c>
      <c r="M45" s="83"/>
      <c r="N45" s="83"/>
      <c r="O45" s="83" t="s">
        <v>244</v>
      </c>
      <c r="P45" s="83"/>
      <c r="Q45" s="83"/>
      <c r="R45" s="84">
        <v>38576</v>
      </c>
      <c r="S45" s="84"/>
      <c r="T45" s="88" t="s">
        <v>95</v>
      </c>
      <c r="U45" s="89" t="s">
        <v>96</v>
      </c>
    </row>
    <row r="46" ht="27" customHeight="1" spans="2:21">
      <c r="B46" s="80">
        <v>32</v>
      </c>
      <c r="C46" s="81" t="s">
        <v>245</v>
      </c>
      <c r="D46" s="81"/>
      <c r="E46" s="81"/>
      <c r="F46" s="87" t="s">
        <v>246</v>
      </c>
      <c r="G46" s="87"/>
      <c r="H46" s="87"/>
      <c r="I46" s="83" t="s">
        <v>247</v>
      </c>
      <c r="J46" s="83"/>
      <c r="K46" s="83"/>
      <c r="L46" s="83" t="s">
        <v>248</v>
      </c>
      <c r="M46" s="83"/>
      <c r="N46" s="83"/>
      <c r="O46" s="83" t="s">
        <v>249</v>
      </c>
      <c r="P46" s="83"/>
      <c r="Q46" s="83"/>
      <c r="R46" s="84">
        <v>38577</v>
      </c>
      <c r="S46" s="84"/>
      <c r="T46" s="88" t="s">
        <v>95</v>
      </c>
      <c r="U46" s="89" t="s">
        <v>96</v>
      </c>
    </row>
    <row r="47" ht="27" customHeight="1" spans="2:21">
      <c r="B47" s="80">
        <v>33</v>
      </c>
      <c r="C47" s="81" t="s">
        <v>250</v>
      </c>
      <c r="D47" s="81"/>
      <c r="E47" s="81"/>
      <c r="F47" s="87" t="s">
        <v>251</v>
      </c>
      <c r="G47" s="87"/>
      <c r="H47" s="87"/>
      <c r="I47" s="83" t="s">
        <v>252</v>
      </c>
      <c r="J47" s="83"/>
      <c r="K47" s="83"/>
      <c r="L47" s="83" t="s">
        <v>253</v>
      </c>
      <c r="M47" s="83"/>
      <c r="N47" s="83"/>
      <c r="O47" s="83" t="s">
        <v>254</v>
      </c>
      <c r="P47" s="83"/>
      <c r="Q47" s="83"/>
      <c r="R47" s="84">
        <v>38578</v>
      </c>
      <c r="S47" s="84"/>
      <c r="T47" s="88" t="s">
        <v>95</v>
      </c>
      <c r="U47" s="89" t="s">
        <v>96</v>
      </c>
    </row>
    <row r="48" ht="27" customHeight="1" spans="2:21">
      <c r="B48" s="80">
        <v>34</v>
      </c>
      <c r="C48" s="81" t="s">
        <v>255</v>
      </c>
      <c r="D48" s="81"/>
      <c r="E48" s="81"/>
      <c r="F48" s="87" t="s">
        <v>256</v>
      </c>
      <c r="G48" s="87"/>
      <c r="H48" s="87"/>
      <c r="I48" s="83" t="s">
        <v>257</v>
      </c>
      <c r="J48" s="83"/>
      <c r="K48" s="83"/>
      <c r="L48" s="83" t="s">
        <v>258</v>
      </c>
      <c r="M48" s="83"/>
      <c r="N48" s="83"/>
      <c r="O48" s="83" t="s">
        <v>259</v>
      </c>
      <c r="P48" s="83"/>
      <c r="Q48" s="83"/>
      <c r="R48" s="84">
        <v>38579</v>
      </c>
      <c r="S48" s="84"/>
      <c r="T48" s="88" t="s">
        <v>95</v>
      </c>
      <c r="U48" s="89" t="s">
        <v>96</v>
      </c>
    </row>
    <row r="49" ht="27" customHeight="1" spans="2:25">
      <c r="B49" s="80">
        <v>35</v>
      </c>
      <c r="C49" s="81" t="s">
        <v>260</v>
      </c>
      <c r="D49" s="81"/>
      <c r="E49" s="81"/>
      <c r="F49" s="87" t="s">
        <v>261</v>
      </c>
      <c r="G49" s="87"/>
      <c r="H49" s="87"/>
      <c r="I49" s="83" t="s">
        <v>262</v>
      </c>
      <c r="J49" s="83"/>
      <c r="K49" s="83"/>
      <c r="L49" s="83" t="s">
        <v>263</v>
      </c>
      <c r="M49" s="83"/>
      <c r="N49" s="83"/>
      <c r="O49" s="83" t="s">
        <v>264</v>
      </c>
      <c r="P49" s="83"/>
      <c r="Q49" s="83"/>
      <c r="R49" s="84">
        <v>38580</v>
      </c>
      <c r="S49" s="84"/>
      <c r="T49" s="88" t="s">
        <v>95</v>
      </c>
      <c r="U49" s="89" t="s">
        <v>96</v>
      </c>
    </row>
    <row r="50" ht="27" customHeight="1" spans="2:25">
      <c r="B50" s="80">
        <v>36</v>
      </c>
      <c r="C50" s="81" t="s">
        <v>265</v>
      </c>
      <c r="D50" s="81"/>
      <c r="E50" s="81"/>
      <c r="F50" s="87" t="s">
        <v>266</v>
      </c>
      <c r="G50" s="87"/>
      <c r="H50" s="87"/>
      <c r="I50" s="83" t="s">
        <v>267</v>
      </c>
      <c r="J50" s="83"/>
      <c r="K50" s="83"/>
      <c r="L50" s="83" t="s">
        <v>268</v>
      </c>
      <c r="M50" s="83"/>
      <c r="N50" s="83"/>
      <c r="O50" s="83" t="s">
        <v>269</v>
      </c>
      <c r="P50" s="83"/>
      <c r="Q50" s="83"/>
      <c r="R50" s="84">
        <v>38581</v>
      </c>
      <c r="S50" s="84"/>
      <c r="T50" s="88" t="s">
        <v>95</v>
      </c>
      <c r="U50" s="89" t="s">
        <v>96</v>
      </c>
    </row>
    <row r="51" ht="27" customHeight="1" spans="2:25">
      <c r="B51" s="80">
        <v>37</v>
      </c>
      <c r="C51" s="81" t="s">
        <v>270</v>
      </c>
      <c r="D51" s="81"/>
      <c r="E51" s="81"/>
      <c r="F51" s="87" t="s">
        <v>271</v>
      </c>
      <c r="G51" s="87"/>
      <c r="H51" s="87"/>
      <c r="I51" s="83" t="s">
        <v>272</v>
      </c>
      <c r="J51" s="83"/>
      <c r="K51" s="83"/>
      <c r="L51" s="83" t="s">
        <v>273</v>
      </c>
      <c r="M51" s="83"/>
      <c r="N51" s="83"/>
      <c r="O51" s="83" t="s">
        <v>274</v>
      </c>
      <c r="P51" s="83"/>
      <c r="Q51" s="83"/>
      <c r="R51" s="84">
        <v>38582</v>
      </c>
      <c r="S51" s="84"/>
      <c r="T51" s="88" t="s">
        <v>95</v>
      </c>
      <c r="U51" s="89" t="s">
        <v>96</v>
      </c>
    </row>
    <row r="52" ht="27" customHeight="1" spans="2:25">
      <c r="B52" s="80">
        <v>38</v>
      </c>
      <c r="C52" s="81" t="s">
        <v>275</v>
      </c>
      <c r="D52" s="81"/>
      <c r="E52" s="81"/>
      <c r="F52" s="87" t="s">
        <v>276</v>
      </c>
      <c r="G52" s="87"/>
      <c r="H52" s="87"/>
      <c r="I52" s="83" t="s">
        <v>277</v>
      </c>
      <c r="J52" s="83"/>
      <c r="K52" s="83"/>
      <c r="L52" s="83" t="s">
        <v>278</v>
      </c>
      <c r="M52" s="83"/>
      <c r="N52" s="83"/>
      <c r="O52" s="83" t="s">
        <v>279</v>
      </c>
      <c r="P52" s="83"/>
      <c r="Q52" s="83"/>
      <c r="R52" s="84">
        <v>38583</v>
      </c>
      <c r="S52" s="84"/>
      <c r="T52" s="88" t="s">
        <v>95</v>
      </c>
      <c r="U52" s="89" t="s">
        <v>96</v>
      </c>
      <c r="W52" s="91"/>
      <c r="X52" s="91"/>
      <c r="Y52" s="91"/>
    </row>
    <row r="53" ht="27" customHeight="1" spans="2:25">
      <c r="B53" s="80">
        <v>39</v>
      </c>
      <c r="C53" s="81" t="s">
        <v>280</v>
      </c>
      <c r="D53" s="81"/>
      <c r="E53" s="81"/>
      <c r="F53" s="87" t="s">
        <v>281</v>
      </c>
      <c r="G53" s="87"/>
      <c r="H53" s="87"/>
      <c r="I53" s="83" t="s">
        <v>282</v>
      </c>
      <c r="J53" s="83"/>
      <c r="K53" s="83"/>
      <c r="L53" s="83" t="s">
        <v>283</v>
      </c>
      <c r="M53" s="83"/>
      <c r="N53" s="83"/>
      <c r="O53" s="83" t="s">
        <v>284</v>
      </c>
      <c r="P53" s="83"/>
      <c r="Q53" s="83"/>
      <c r="R53" s="84">
        <v>38584</v>
      </c>
      <c r="S53" s="84"/>
      <c r="T53" s="88" t="s">
        <v>95</v>
      </c>
      <c r="U53" s="89" t="s">
        <v>96</v>
      </c>
    </row>
    <row r="54" ht="27" customHeight="1" spans="2:25">
      <c r="B54" s="80">
        <v>40</v>
      </c>
      <c r="C54" s="81" t="s">
        <v>285</v>
      </c>
      <c r="D54" s="81"/>
      <c r="E54" s="81"/>
      <c r="F54" s="87" t="s">
        <v>286</v>
      </c>
      <c r="G54" s="87"/>
      <c r="H54" s="87"/>
      <c r="I54" s="83" t="s">
        <v>287</v>
      </c>
      <c r="J54" s="83"/>
      <c r="K54" s="83"/>
      <c r="L54" s="83" t="s">
        <v>288</v>
      </c>
      <c r="M54" s="83"/>
      <c r="N54" s="83"/>
      <c r="O54" s="83" t="s">
        <v>289</v>
      </c>
      <c r="P54" s="83"/>
      <c r="Q54" s="83"/>
      <c r="R54" s="84">
        <v>38585</v>
      </c>
      <c r="S54" s="84"/>
      <c r="T54" s="88" t="s">
        <v>95</v>
      </c>
      <c r="U54" s="89" t="s">
        <v>96</v>
      </c>
    </row>
    <row r="55" ht="27" customHeight="1" spans="2:25">
      <c r="B55" s="80">
        <v>41</v>
      </c>
      <c r="C55" s="81" t="s">
        <v>290</v>
      </c>
      <c r="D55" s="81"/>
      <c r="E55" s="81"/>
      <c r="F55" s="87" t="s">
        <v>291</v>
      </c>
      <c r="G55" s="87"/>
      <c r="H55" s="87"/>
      <c r="I55" s="83" t="s">
        <v>292</v>
      </c>
      <c r="J55" s="83"/>
      <c r="K55" s="83"/>
      <c r="L55" s="83" t="s">
        <v>293</v>
      </c>
      <c r="M55" s="83"/>
      <c r="N55" s="83"/>
      <c r="O55" s="83" t="s">
        <v>294</v>
      </c>
      <c r="P55" s="83"/>
      <c r="Q55" s="83"/>
      <c r="R55" s="84">
        <v>38586</v>
      </c>
      <c r="S55" s="84"/>
      <c r="T55" s="88" t="s">
        <v>95</v>
      </c>
      <c r="U55" s="89" t="s">
        <v>96</v>
      </c>
    </row>
    <row r="56" ht="27" customHeight="1" spans="2:25">
      <c r="B56" s="80">
        <v>42</v>
      </c>
      <c r="C56" s="81" t="s">
        <v>295</v>
      </c>
      <c r="D56" s="81"/>
      <c r="E56" s="81"/>
      <c r="F56" s="87" t="s">
        <v>296</v>
      </c>
      <c r="G56" s="87"/>
      <c r="H56" s="87"/>
      <c r="I56" s="83" t="s">
        <v>297</v>
      </c>
      <c r="J56" s="83"/>
      <c r="K56" s="83"/>
      <c r="L56" s="83" t="s">
        <v>298</v>
      </c>
      <c r="M56" s="83"/>
      <c r="N56" s="83"/>
      <c r="O56" s="83" t="s">
        <v>299</v>
      </c>
      <c r="P56" s="83"/>
      <c r="Q56" s="83"/>
      <c r="R56" s="84">
        <v>38587</v>
      </c>
      <c r="S56" s="84"/>
      <c r="T56" s="88" t="s">
        <v>95</v>
      </c>
      <c r="U56" s="89" t="s">
        <v>96</v>
      </c>
    </row>
    <row r="57" ht="27" customHeight="1" spans="2:25">
      <c r="B57" s="80">
        <v>43</v>
      </c>
      <c r="C57" s="81" t="s">
        <v>300</v>
      </c>
      <c r="D57" s="81"/>
      <c r="E57" s="81"/>
      <c r="F57" s="87" t="s">
        <v>301</v>
      </c>
      <c r="G57" s="87"/>
      <c r="H57" s="87"/>
      <c r="I57" s="83" t="s">
        <v>302</v>
      </c>
      <c r="J57" s="83"/>
      <c r="K57" s="83"/>
      <c r="L57" s="83" t="s">
        <v>303</v>
      </c>
      <c r="M57" s="83"/>
      <c r="N57" s="83"/>
      <c r="O57" s="83" t="s">
        <v>304</v>
      </c>
      <c r="P57" s="83"/>
      <c r="Q57" s="83"/>
      <c r="R57" s="84">
        <v>38588</v>
      </c>
      <c r="S57" s="84"/>
      <c r="T57" s="88" t="s">
        <v>95</v>
      </c>
      <c r="U57" s="89" t="s">
        <v>96</v>
      </c>
    </row>
    <row r="58" ht="27" customHeight="1" spans="2:25">
      <c r="B58" s="80">
        <v>44</v>
      </c>
      <c r="C58" s="81" t="s">
        <v>305</v>
      </c>
      <c r="D58" s="81"/>
      <c r="E58" s="81"/>
      <c r="F58" s="87" t="s">
        <v>306</v>
      </c>
      <c r="G58" s="87"/>
      <c r="H58" s="87"/>
      <c r="I58" s="83" t="s">
        <v>307</v>
      </c>
      <c r="J58" s="83"/>
      <c r="K58" s="83"/>
      <c r="L58" s="83" t="s">
        <v>308</v>
      </c>
      <c r="M58" s="83"/>
      <c r="N58" s="83"/>
      <c r="O58" s="83" t="s">
        <v>309</v>
      </c>
      <c r="P58" s="83"/>
      <c r="Q58" s="83"/>
      <c r="R58" s="84">
        <v>38589</v>
      </c>
      <c r="S58" s="84"/>
      <c r="T58" s="88" t="s">
        <v>95</v>
      </c>
      <c r="U58" s="89" t="s">
        <v>96</v>
      </c>
    </row>
    <row r="59" ht="27" customHeight="1" spans="2:25">
      <c r="B59" s="80">
        <v>45</v>
      </c>
      <c r="C59" s="81" t="s">
        <v>310</v>
      </c>
      <c r="D59" s="81"/>
      <c r="E59" s="81"/>
      <c r="F59" s="87" t="s">
        <v>311</v>
      </c>
      <c r="G59" s="87"/>
      <c r="H59" s="87"/>
      <c r="I59" s="83" t="s">
        <v>312</v>
      </c>
      <c r="J59" s="83"/>
      <c r="K59" s="83"/>
      <c r="L59" s="83" t="s">
        <v>313</v>
      </c>
      <c r="M59" s="83"/>
      <c r="N59" s="83"/>
      <c r="O59" s="83" t="s">
        <v>314</v>
      </c>
      <c r="P59" s="83"/>
      <c r="Q59" s="83"/>
      <c r="R59" s="84">
        <v>38590</v>
      </c>
      <c r="S59" s="84"/>
      <c r="T59" s="88" t="s">
        <v>95</v>
      </c>
      <c r="U59" s="89" t="s">
        <v>96</v>
      </c>
    </row>
    <row r="60" ht="27" customHeight="1" spans="2:25">
      <c r="B60" s="80">
        <v>46</v>
      </c>
      <c r="C60" s="81" t="s">
        <v>315</v>
      </c>
      <c r="D60" s="81"/>
      <c r="E60" s="81"/>
      <c r="F60" s="87" t="s">
        <v>316</v>
      </c>
      <c r="G60" s="87"/>
      <c r="H60" s="87"/>
      <c r="I60" s="83" t="s">
        <v>317</v>
      </c>
      <c r="J60" s="83"/>
      <c r="K60" s="83"/>
      <c r="L60" s="83" t="s">
        <v>318</v>
      </c>
      <c r="M60" s="83"/>
      <c r="N60" s="83"/>
      <c r="O60" s="83" t="s">
        <v>319</v>
      </c>
      <c r="P60" s="83"/>
      <c r="Q60" s="83"/>
      <c r="R60" s="84">
        <v>38591</v>
      </c>
      <c r="S60" s="84"/>
      <c r="T60" s="88" t="s">
        <v>95</v>
      </c>
      <c r="U60" s="89" t="s">
        <v>96</v>
      </c>
    </row>
    <row r="61" ht="27" customHeight="1" spans="2:25">
      <c r="B61" s="80">
        <v>47</v>
      </c>
      <c r="C61" s="81" t="s">
        <v>320</v>
      </c>
      <c r="D61" s="81"/>
      <c r="E61" s="81"/>
      <c r="F61" s="87" t="s">
        <v>321</v>
      </c>
      <c r="G61" s="87"/>
      <c r="H61" s="87"/>
      <c r="I61" s="83" t="s">
        <v>322</v>
      </c>
      <c r="J61" s="83"/>
      <c r="K61" s="83"/>
      <c r="L61" s="83" t="s">
        <v>323</v>
      </c>
      <c r="M61" s="83"/>
      <c r="N61" s="83"/>
      <c r="O61" s="83" t="s">
        <v>324</v>
      </c>
      <c r="P61" s="83"/>
      <c r="Q61" s="83"/>
      <c r="R61" s="84">
        <v>38592</v>
      </c>
      <c r="S61" s="84"/>
      <c r="T61" s="88" t="s">
        <v>95</v>
      </c>
      <c r="U61" s="89" t="s">
        <v>96</v>
      </c>
    </row>
    <row r="62" ht="27" customHeight="1" spans="2:25">
      <c r="B62" s="80">
        <v>48</v>
      </c>
      <c r="C62" s="81" t="s">
        <v>325</v>
      </c>
      <c r="D62" s="81"/>
      <c r="E62" s="81"/>
      <c r="F62" s="87" t="s">
        <v>326</v>
      </c>
      <c r="G62" s="87"/>
      <c r="H62" s="87"/>
      <c r="I62" s="83" t="s">
        <v>327</v>
      </c>
      <c r="J62" s="83"/>
      <c r="K62" s="83"/>
      <c r="L62" s="83" t="s">
        <v>328</v>
      </c>
      <c r="M62" s="83"/>
      <c r="N62" s="83"/>
      <c r="O62" s="83" t="s">
        <v>329</v>
      </c>
      <c r="P62" s="83"/>
      <c r="Q62" s="83"/>
      <c r="R62" s="84">
        <v>38593</v>
      </c>
      <c r="S62" s="84"/>
      <c r="T62" s="88" t="s">
        <v>95</v>
      </c>
      <c r="U62" s="89" t="s">
        <v>96</v>
      </c>
    </row>
    <row r="63" ht="27" customHeight="1" spans="2:25">
      <c r="B63" s="80">
        <v>49</v>
      </c>
      <c r="C63" s="81" t="s">
        <v>330</v>
      </c>
      <c r="D63" s="81"/>
      <c r="E63" s="81"/>
      <c r="F63" s="87" t="s">
        <v>331</v>
      </c>
      <c r="G63" s="87"/>
      <c r="H63" s="87"/>
      <c r="I63" s="83" t="s">
        <v>332</v>
      </c>
      <c r="J63" s="83"/>
      <c r="K63" s="83"/>
      <c r="L63" s="83" t="s">
        <v>333</v>
      </c>
      <c r="M63" s="83"/>
      <c r="N63" s="83"/>
      <c r="O63" s="83" t="s">
        <v>334</v>
      </c>
      <c r="P63" s="83"/>
      <c r="Q63" s="83"/>
      <c r="R63" s="84">
        <v>38594</v>
      </c>
      <c r="S63" s="84"/>
      <c r="T63" s="88" t="s">
        <v>95</v>
      </c>
      <c r="U63" s="89" t="s">
        <v>96</v>
      </c>
    </row>
    <row r="64" ht="27" customHeight="1" spans="2:25">
      <c r="B64" s="80">
        <v>50</v>
      </c>
      <c r="C64" s="81" t="s">
        <v>335</v>
      </c>
      <c r="D64" s="81"/>
      <c r="E64" s="81"/>
      <c r="F64" s="87" t="s">
        <v>336</v>
      </c>
      <c r="G64" s="87"/>
      <c r="H64" s="87"/>
      <c r="I64" s="83" t="s">
        <v>337</v>
      </c>
      <c r="J64" s="83"/>
      <c r="K64" s="83"/>
      <c r="L64" s="83" t="s">
        <v>338</v>
      </c>
      <c r="M64" s="83"/>
      <c r="N64" s="83"/>
      <c r="O64" s="83" t="s">
        <v>339</v>
      </c>
      <c r="P64" s="83"/>
      <c r="Q64" s="83"/>
      <c r="R64" s="84">
        <v>38595</v>
      </c>
      <c r="S64" s="84"/>
      <c r="T64" s="88" t="s">
        <v>95</v>
      </c>
      <c r="U64" s="89" t="s">
        <v>96</v>
      </c>
    </row>
    <row r="65" ht="27" customHeight="1" spans="2:21">
      <c r="B65" s="80">
        <v>51</v>
      </c>
      <c r="C65" s="81" t="s">
        <v>340</v>
      </c>
      <c r="D65" s="81"/>
      <c r="E65" s="81"/>
      <c r="F65" s="87" t="s">
        <v>341</v>
      </c>
      <c r="G65" s="87"/>
      <c r="H65" s="87"/>
      <c r="I65" s="83" t="s">
        <v>342</v>
      </c>
      <c r="J65" s="83"/>
      <c r="K65" s="83"/>
      <c r="L65" s="83" t="s">
        <v>343</v>
      </c>
      <c r="M65" s="83"/>
      <c r="N65" s="83"/>
      <c r="O65" s="83" t="s">
        <v>344</v>
      </c>
      <c r="P65" s="83"/>
      <c r="Q65" s="83"/>
      <c r="R65" s="84">
        <v>38596</v>
      </c>
      <c r="S65" s="84"/>
      <c r="T65" s="88" t="s">
        <v>95</v>
      </c>
      <c r="U65" s="89" t="s">
        <v>96</v>
      </c>
    </row>
    <row r="66" ht="27" customHeight="1" spans="2:21">
      <c r="B66" s="80">
        <v>52</v>
      </c>
      <c r="C66" s="81" t="s">
        <v>345</v>
      </c>
      <c r="D66" s="81"/>
      <c r="E66" s="81"/>
      <c r="F66" s="87" t="s">
        <v>346</v>
      </c>
      <c r="G66" s="87"/>
      <c r="H66" s="87"/>
      <c r="I66" s="83" t="s">
        <v>347</v>
      </c>
      <c r="J66" s="83"/>
      <c r="K66" s="83"/>
      <c r="L66" s="83" t="s">
        <v>348</v>
      </c>
      <c r="M66" s="83"/>
      <c r="N66" s="83"/>
      <c r="O66" s="83" t="s">
        <v>349</v>
      </c>
      <c r="P66" s="83"/>
      <c r="Q66" s="83"/>
      <c r="R66" s="84">
        <v>38597</v>
      </c>
      <c r="S66" s="84"/>
      <c r="T66" s="88" t="s">
        <v>95</v>
      </c>
      <c r="U66" s="89" t="s">
        <v>96</v>
      </c>
    </row>
    <row r="67" ht="27" customHeight="1" spans="2:21">
      <c r="B67" s="80">
        <v>53</v>
      </c>
      <c r="C67" s="81" t="s">
        <v>350</v>
      </c>
      <c r="D67" s="81"/>
      <c r="E67" s="81"/>
      <c r="F67" s="87" t="s">
        <v>351</v>
      </c>
      <c r="G67" s="87"/>
      <c r="H67" s="87"/>
      <c r="I67" s="83" t="s">
        <v>352</v>
      </c>
      <c r="J67" s="83"/>
      <c r="K67" s="83"/>
      <c r="L67" s="83" t="s">
        <v>353</v>
      </c>
      <c r="M67" s="83"/>
      <c r="N67" s="83"/>
      <c r="O67" s="83" t="s">
        <v>354</v>
      </c>
      <c r="P67" s="83"/>
      <c r="Q67" s="83"/>
      <c r="R67" s="84">
        <v>38598</v>
      </c>
      <c r="S67" s="84"/>
      <c r="T67" s="88" t="s">
        <v>95</v>
      </c>
      <c r="U67" s="89" t="s">
        <v>96</v>
      </c>
    </row>
    <row r="68" ht="27" customHeight="1" spans="2:21">
      <c r="B68" s="80">
        <v>54</v>
      </c>
      <c r="C68" s="81" t="s">
        <v>355</v>
      </c>
      <c r="D68" s="81"/>
      <c r="E68" s="81"/>
      <c r="F68" s="87" t="s">
        <v>356</v>
      </c>
      <c r="G68" s="87"/>
      <c r="H68" s="87"/>
      <c r="I68" s="83" t="s">
        <v>357</v>
      </c>
      <c r="J68" s="83"/>
      <c r="K68" s="83"/>
      <c r="L68" s="83" t="s">
        <v>358</v>
      </c>
      <c r="M68" s="83"/>
      <c r="N68" s="83"/>
      <c r="O68" s="83" t="s">
        <v>359</v>
      </c>
      <c r="P68" s="83"/>
      <c r="Q68" s="83"/>
      <c r="R68" s="84">
        <v>38599</v>
      </c>
      <c r="S68" s="84"/>
      <c r="T68" s="88" t="s">
        <v>95</v>
      </c>
      <c r="U68" s="89" t="s">
        <v>96</v>
      </c>
    </row>
    <row r="69" ht="27" customHeight="1" spans="2:21">
      <c r="B69" s="80">
        <v>55</v>
      </c>
      <c r="C69" s="81" t="s">
        <v>360</v>
      </c>
      <c r="D69" s="81"/>
      <c r="E69" s="81"/>
      <c r="F69" s="87" t="s">
        <v>361</v>
      </c>
      <c r="G69" s="87"/>
      <c r="H69" s="87"/>
      <c r="I69" s="83" t="s">
        <v>362</v>
      </c>
      <c r="J69" s="83"/>
      <c r="K69" s="83"/>
      <c r="L69" s="83" t="s">
        <v>363</v>
      </c>
      <c r="M69" s="83"/>
      <c r="N69" s="83"/>
      <c r="O69" s="83" t="s">
        <v>364</v>
      </c>
      <c r="P69" s="83"/>
      <c r="Q69" s="83"/>
      <c r="R69" s="84">
        <v>38600</v>
      </c>
      <c r="S69" s="84"/>
      <c r="T69" s="88" t="s">
        <v>95</v>
      </c>
      <c r="U69" s="89" t="s">
        <v>96</v>
      </c>
    </row>
    <row r="70" ht="27" customHeight="1" spans="2:21">
      <c r="B70" s="80">
        <v>56</v>
      </c>
      <c r="C70" s="81" t="s">
        <v>365</v>
      </c>
      <c r="D70" s="81"/>
      <c r="E70" s="81"/>
      <c r="F70" s="87" t="s">
        <v>361</v>
      </c>
      <c r="G70" s="87"/>
      <c r="H70" s="87"/>
      <c r="I70" s="83" t="s">
        <v>366</v>
      </c>
      <c r="J70" s="83"/>
      <c r="K70" s="83"/>
      <c r="L70" s="83" t="s">
        <v>367</v>
      </c>
      <c r="M70" s="83"/>
      <c r="N70" s="83"/>
      <c r="O70" s="83" t="s">
        <v>368</v>
      </c>
      <c r="P70" s="83"/>
      <c r="Q70" s="83"/>
      <c r="R70" s="84">
        <v>38601</v>
      </c>
      <c r="S70" s="84"/>
      <c r="T70" s="88" t="s">
        <v>95</v>
      </c>
      <c r="U70" s="89" t="s">
        <v>96</v>
      </c>
    </row>
    <row r="71" ht="27" customHeight="1" spans="2:21">
      <c r="B71" s="80">
        <v>57</v>
      </c>
      <c r="C71" s="81" t="s">
        <v>369</v>
      </c>
      <c r="D71" s="81"/>
      <c r="E71" s="81"/>
      <c r="F71" s="87" t="s">
        <v>370</v>
      </c>
      <c r="G71" s="87"/>
      <c r="H71" s="87"/>
      <c r="I71" s="83" t="s">
        <v>371</v>
      </c>
      <c r="J71" s="83"/>
      <c r="K71" s="83"/>
      <c r="L71" s="83" t="s">
        <v>372</v>
      </c>
      <c r="M71" s="83"/>
      <c r="N71" s="83"/>
      <c r="O71" s="83" t="s">
        <v>373</v>
      </c>
      <c r="P71" s="83"/>
      <c r="Q71" s="83"/>
      <c r="R71" s="84">
        <v>38602</v>
      </c>
      <c r="S71" s="84"/>
      <c r="T71" s="88" t="s">
        <v>95</v>
      </c>
      <c r="U71" s="89" t="s">
        <v>96</v>
      </c>
    </row>
    <row r="72" ht="27" customHeight="1" spans="2:21">
      <c r="B72" s="80">
        <v>58</v>
      </c>
      <c r="C72" s="81" t="s">
        <v>374</v>
      </c>
      <c r="D72" s="81"/>
      <c r="E72" s="81"/>
      <c r="F72" s="87" t="s">
        <v>375</v>
      </c>
      <c r="G72" s="87"/>
      <c r="H72" s="87"/>
      <c r="I72" s="83" t="s">
        <v>376</v>
      </c>
      <c r="J72" s="83"/>
      <c r="K72" s="83"/>
      <c r="L72" s="83" t="s">
        <v>377</v>
      </c>
      <c r="M72" s="83"/>
      <c r="N72" s="83"/>
      <c r="O72" s="90" t="s">
        <v>378</v>
      </c>
      <c r="P72" s="90"/>
      <c r="Q72" s="90"/>
      <c r="R72" s="84">
        <v>38603</v>
      </c>
      <c r="S72" s="84"/>
      <c r="T72" s="88" t="s">
        <v>95</v>
      </c>
      <c r="U72" s="89" t="s">
        <v>96</v>
      </c>
    </row>
    <row r="73" ht="27" customHeight="1" spans="2:21">
      <c r="B73" s="80">
        <v>59</v>
      </c>
      <c r="C73" s="81" t="s">
        <v>379</v>
      </c>
      <c r="D73" s="81"/>
      <c r="E73" s="81"/>
      <c r="F73" s="87" t="s">
        <v>380</v>
      </c>
      <c r="G73" s="87"/>
      <c r="H73" s="87"/>
      <c r="I73" s="83" t="s">
        <v>381</v>
      </c>
      <c r="J73" s="83"/>
      <c r="K73" s="83"/>
      <c r="L73" s="83" t="s">
        <v>382</v>
      </c>
      <c r="M73" s="83"/>
      <c r="N73" s="83"/>
      <c r="O73" s="83" t="s">
        <v>383</v>
      </c>
      <c r="P73" s="83"/>
      <c r="Q73" s="83"/>
      <c r="R73" s="84">
        <v>38604</v>
      </c>
      <c r="S73" s="84"/>
      <c r="T73" s="88" t="s">
        <v>95</v>
      </c>
      <c r="U73" s="89" t="s">
        <v>96</v>
      </c>
    </row>
    <row r="74" ht="27" customHeight="1" spans="2:21">
      <c r="B74" s="80">
        <v>60</v>
      </c>
      <c r="C74" s="81" t="s">
        <v>384</v>
      </c>
      <c r="D74" s="81"/>
      <c r="E74" s="81"/>
      <c r="F74" s="87" t="s">
        <v>385</v>
      </c>
      <c r="G74" s="87"/>
      <c r="H74" s="87"/>
      <c r="I74" s="83" t="s">
        <v>386</v>
      </c>
      <c r="J74" s="83"/>
      <c r="K74" s="83"/>
      <c r="L74" s="83" t="s">
        <v>387</v>
      </c>
      <c r="M74" s="83"/>
      <c r="N74" s="83"/>
      <c r="O74" s="83" t="s">
        <v>388</v>
      </c>
      <c r="P74" s="83"/>
      <c r="Q74" s="83"/>
      <c r="R74" s="84">
        <v>38605</v>
      </c>
      <c r="S74" s="84"/>
      <c r="T74" s="88" t="s">
        <v>95</v>
      </c>
      <c r="U74" s="89" t="s">
        <v>96</v>
      </c>
    </row>
    <row r="75" ht="27" customHeight="1" spans="2:21">
      <c r="B75" s="80">
        <v>61</v>
      </c>
      <c r="C75" s="81" t="s">
        <v>389</v>
      </c>
      <c r="D75" s="81"/>
      <c r="E75" s="81"/>
      <c r="F75" s="87" t="s">
        <v>390</v>
      </c>
      <c r="G75" s="87"/>
      <c r="H75" s="87"/>
      <c r="I75" s="83" t="s">
        <v>391</v>
      </c>
      <c r="J75" s="83"/>
      <c r="K75" s="83"/>
      <c r="L75" s="83" t="s">
        <v>392</v>
      </c>
      <c r="M75" s="83"/>
      <c r="N75" s="83"/>
      <c r="O75" s="83" t="s">
        <v>393</v>
      </c>
      <c r="P75" s="83"/>
      <c r="Q75" s="83"/>
      <c r="R75" s="84">
        <v>38606</v>
      </c>
      <c r="S75" s="84"/>
      <c r="T75" s="88" t="s">
        <v>95</v>
      </c>
      <c r="U75" s="89" t="s">
        <v>96</v>
      </c>
    </row>
    <row r="76" ht="27" customHeight="1" spans="2:21">
      <c r="B76" s="80">
        <v>62</v>
      </c>
      <c r="C76" s="81" t="s">
        <v>394</v>
      </c>
      <c r="D76" s="81"/>
      <c r="E76" s="81"/>
      <c r="F76" s="87" t="s">
        <v>395</v>
      </c>
      <c r="G76" s="87"/>
      <c r="H76" s="87"/>
      <c r="I76" s="83" t="s">
        <v>396</v>
      </c>
      <c r="J76" s="83"/>
      <c r="K76" s="83"/>
      <c r="L76" s="83" t="s">
        <v>397</v>
      </c>
      <c r="M76" s="83"/>
      <c r="N76" s="83"/>
      <c r="O76" s="83" t="s">
        <v>398</v>
      </c>
      <c r="P76" s="83"/>
      <c r="Q76" s="83"/>
      <c r="R76" s="84">
        <v>38607</v>
      </c>
      <c r="S76" s="84"/>
      <c r="T76" s="88" t="s">
        <v>95</v>
      </c>
      <c r="U76" s="89" t="s">
        <v>96</v>
      </c>
    </row>
    <row r="77" ht="27" customHeight="1" spans="2:21">
      <c r="B77" s="80">
        <v>63</v>
      </c>
      <c r="C77" s="81" t="s">
        <v>399</v>
      </c>
      <c r="D77" s="81"/>
      <c r="E77" s="81"/>
      <c r="F77" s="87" t="s">
        <v>400</v>
      </c>
      <c r="G77" s="87"/>
      <c r="H77" s="87"/>
      <c r="I77" s="83" t="s">
        <v>160</v>
      </c>
      <c r="J77" s="83"/>
      <c r="K77" s="83"/>
      <c r="L77" s="83" t="s">
        <v>401</v>
      </c>
      <c r="M77" s="83"/>
      <c r="N77" s="83"/>
      <c r="O77" s="83" t="s">
        <v>402</v>
      </c>
      <c r="P77" s="83"/>
      <c r="Q77" s="83"/>
      <c r="R77" s="84">
        <v>38608</v>
      </c>
      <c r="S77" s="84"/>
      <c r="T77" s="88" t="s">
        <v>95</v>
      </c>
      <c r="U77" s="89" t="s">
        <v>96</v>
      </c>
    </row>
    <row r="78" ht="27" customHeight="1" spans="2:21">
      <c r="B78" s="80">
        <v>64</v>
      </c>
      <c r="C78" s="81" t="s">
        <v>403</v>
      </c>
      <c r="D78" s="81"/>
      <c r="E78" s="81"/>
      <c r="F78" s="87" t="s">
        <v>404</v>
      </c>
      <c r="G78" s="87"/>
      <c r="H78" s="87"/>
      <c r="I78" s="83" t="s">
        <v>405</v>
      </c>
      <c r="J78" s="83"/>
      <c r="K78" s="83"/>
      <c r="L78" s="83" t="s">
        <v>406</v>
      </c>
      <c r="M78" s="83"/>
      <c r="N78" s="83"/>
      <c r="O78" s="83" t="s">
        <v>407</v>
      </c>
      <c r="P78" s="83"/>
      <c r="Q78" s="83"/>
      <c r="R78" s="84">
        <v>38609</v>
      </c>
      <c r="S78" s="84"/>
      <c r="T78" s="88" t="s">
        <v>95</v>
      </c>
      <c r="U78" s="89" t="s">
        <v>96</v>
      </c>
    </row>
    <row r="79" ht="27" customHeight="1" spans="2:21">
      <c r="B79" s="80">
        <v>65</v>
      </c>
      <c r="C79" s="81" t="s">
        <v>408</v>
      </c>
      <c r="D79" s="81"/>
      <c r="E79" s="81"/>
      <c r="F79" s="87" t="s">
        <v>409</v>
      </c>
      <c r="G79" s="87"/>
      <c r="H79" s="87"/>
      <c r="I79" s="83" t="s">
        <v>410</v>
      </c>
      <c r="J79" s="83"/>
      <c r="K79" s="83"/>
      <c r="L79" s="83" t="s">
        <v>411</v>
      </c>
      <c r="M79" s="83"/>
      <c r="N79" s="83"/>
      <c r="O79" s="83" t="s">
        <v>412</v>
      </c>
      <c r="P79" s="83"/>
      <c r="Q79" s="83"/>
      <c r="R79" s="84">
        <v>38610</v>
      </c>
      <c r="S79" s="84"/>
      <c r="T79" s="88" t="s">
        <v>95</v>
      </c>
      <c r="U79" s="89" t="s">
        <v>96</v>
      </c>
    </row>
    <row r="80" ht="27" customHeight="1" spans="2:21">
      <c r="B80" s="80">
        <v>66</v>
      </c>
      <c r="C80" s="81" t="s">
        <v>413</v>
      </c>
      <c r="D80" s="81"/>
      <c r="E80" s="81"/>
      <c r="F80" s="87" t="s">
        <v>414</v>
      </c>
      <c r="G80" s="87"/>
      <c r="H80" s="87"/>
      <c r="I80" s="83" t="s">
        <v>415</v>
      </c>
      <c r="J80" s="83"/>
      <c r="K80" s="83"/>
      <c r="L80" s="83" t="s">
        <v>416</v>
      </c>
      <c r="M80" s="83"/>
      <c r="N80" s="83"/>
      <c r="O80" s="83" t="s">
        <v>417</v>
      </c>
      <c r="P80" s="83"/>
      <c r="Q80" s="83"/>
      <c r="R80" s="84">
        <v>38611</v>
      </c>
      <c r="S80" s="84"/>
      <c r="T80" s="88" t="s">
        <v>95</v>
      </c>
      <c r="U80" s="89" t="s">
        <v>96</v>
      </c>
    </row>
    <row r="81" ht="27" customHeight="1" spans="2:25">
      <c r="B81" s="80">
        <v>67</v>
      </c>
      <c r="C81" s="81" t="s">
        <v>418</v>
      </c>
      <c r="D81" s="81"/>
      <c r="E81" s="81"/>
      <c r="F81" s="87" t="s">
        <v>414</v>
      </c>
      <c r="G81" s="87"/>
      <c r="H81" s="87"/>
      <c r="I81" s="83" t="s">
        <v>419</v>
      </c>
      <c r="J81" s="83"/>
      <c r="K81" s="83"/>
      <c r="L81" s="83" t="s">
        <v>420</v>
      </c>
      <c r="M81" s="83"/>
      <c r="N81" s="83"/>
      <c r="O81" s="83" t="s">
        <v>421</v>
      </c>
      <c r="P81" s="83"/>
      <c r="Q81" s="83"/>
      <c r="R81" s="84">
        <v>38612</v>
      </c>
      <c r="S81" s="84"/>
      <c r="T81" s="88" t="s">
        <v>95</v>
      </c>
      <c r="U81" s="89" t="s">
        <v>96</v>
      </c>
    </row>
    <row r="82" ht="27" customHeight="1" spans="2:25">
      <c r="B82" s="80">
        <v>68</v>
      </c>
      <c r="C82" s="81" t="s">
        <v>422</v>
      </c>
      <c r="D82" s="81"/>
      <c r="E82" s="81"/>
      <c r="F82" s="87" t="s">
        <v>423</v>
      </c>
      <c r="G82" s="87"/>
      <c r="H82" s="87"/>
      <c r="I82" s="83" t="s">
        <v>424</v>
      </c>
      <c r="J82" s="83"/>
      <c r="K82" s="83"/>
      <c r="L82" s="83" t="s">
        <v>425</v>
      </c>
      <c r="M82" s="83"/>
      <c r="N82" s="83"/>
      <c r="O82" s="83" t="s">
        <v>426</v>
      </c>
      <c r="P82" s="83"/>
      <c r="Q82" s="83"/>
      <c r="R82" s="84">
        <v>38613</v>
      </c>
      <c r="S82" s="84"/>
      <c r="T82" s="88" t="s">
        <v>95</v>
      </c>
      <c r="U82" s="89" t="s">
        <v>96</v>
      </c>
    </row>
    <row r="83" ht="27" customHeight="1" spans="2:25">
      <c r="B83" s="80">
        <v>69</v>
      </c>
      <c r="C83" s="81" t="s">
        <v>427</v>
      </c>
      <c r="D83" s="81"/>
      <c r="E83" s="81"/>
      <c r="F83" s="87" t="s">
        <v>428</v>
      </c>
      <c r="G83" s="87"/>
      <c r="H83" s="87"/>
      <c r="I83" s="83" t="s">
        <v>429</v>
      </c>
      <c r="J83" s="83"/>
      <c r="K83" s="83"/>
      <c r="L83" s="83" t="s">
        <v>430</v>
      </c>
      <c r="M83" s="83"/>
      <c r="N83" s="83"/>
      <c r="O83" s="83" t="s">
        <v>431</v>
      </c>
      <c r="P83" s="83"/>
      <c r="Q83" s="83"/>
      <c r="R83" s="84">
        <v>38614</v>
      </c>
      <c r="S83" s="84"/>
      <c r="T83" s="88" t="s">
        <v>95</v>
      </c>
      <c r="U83" s="89" t="s">
        <v>96</v>
      </c>
    </row>
    <row r="84" ht="27" customHeight="1" spans="2:25">
      <c r="B84" s="80">
        <v>70</v>
      </c>
      <c r="C84" s="81" t="s">
        <v>432</v>
      </c>
      <c r="D84" s="81"/>
      <c r="E84" s="81"/>
      <c r="F84" s="87" t="s">
        <v>433</v>
      </c>
      <c r="G84" s="87"/>
      <c r="H84" s="87"/>
      <c r="I84" s="83" t="s">
        <v>434</v>
      </c>
      <c r="J84" s="83"/>
      <c r="K84" s="83"/>
      <c r="L84" s="83" t="s">
        <v>435</v>
      </c>
      <c r="M84" s="83"/>
      <c r="N84" s="83"/>
      <c r="O84" s="83" t="s">
        <v>436</v>
      </c>
      <c r="P84" s="83"/>
      <c r="Q84" s="83"/>
      <c r="R84" s="84">
        <v>38615</v>
      </c>
      <c r="S84" s="84"/>
      <c r="T84" s="88" t="s">
        <v>95</v>
      </c>
      <c r="U84" s="89" t="s">
        <v>96</v>
      </c>
      <c r="W84" s="91"/>
      <c r="X84" s="91"/>
      <c r="Y84" s="91"/>
    </row>
    <row r="85" ht="27" customHeight="1" spans="2:25">
      <c r="B85" s="80">
        <v>71</v>
      </c>
      <c r="C85" s="81" t="s">
        <v>437</v>
      </c>
      <c r="D85" s="81"/>
      <c r="E85" s="81"/>
      <c r="F85" s="87" t="s">
        <v>433</v>
      </c>
      <c r="G85" s="87"/>
      <c r="H85" s="87"/>
      <c r="I85" s="83" t="s">
        <v>438</v>
      </c>
      <c r="J85" s="83"/>
      <c r="K85" s="83"/>
      <c r="L85" s="83" t="s">
        <v>439</v>
      </c>
      <c r="M85" s="83"/>
      <c r="N85" s="83"/>
      <c r="O85" s="83" t="s">
        <v>440</v>
      </c>
      <c r="P85" s="83"/>
      <c r="Q85" s="83"/>
      <c r="R85" s="84">
        <v>38616</v>
      </c>
      <c r="S85" s="84"/>
      <c r="T85" s="88" t="s">
        <v>95</v>
      </c>
      <c r="U85" s="89" t="s">
        <v>96</v>
      </c>
    </row>
    <row r="86" ht="27" customHeight="1" spans="2:25">
      <c r="B86" s="80">
        <v>72</v>
      </c>
      <c r="C86" s="81" t="s">
        <v>441</v>
      </c>
      <c r="D86" s="81"/>
      <c r="E86" s="81"/>
      <c r="F86" s="87" t="s">
        <v>442</v>
      </c>
      <c r="G86" s="87"/>
      <c r="H86" s="87"/>
      <c r="I86" s="83" t="s">
        <v>443</v>
      </c>
      <c r="J86" s="83"/>
      <c r="K86" s="83"/>
      <c r="L86" s="83" t="s">
        <v>444</v>
      </c>
      <c r="M86" s="83"/>
      <c r="N86" s="83"/>
      <c r="O86" s="83" t="s">
        <v>445</v>
      </c>
      <c r="P86" s="83"/>
      <c r="Q86" s="83"/>
      <c r="R86" s="84">
        <v>38617</v>
      </c>
      <c r="S86" s="84"/>
      <c r="T86" s="88" t="s">
        <v>95</v>
      </c>
      <c r="U86" s="89" t="s">
        <v>96</v>
      </c>
    </row>
    <row r="87" ht="27" customHeight="1" spans="2:25">
      <c r="B87" s="80">
        <v>73</v>
      </c>
      <c r="C87" s="81" t="s">
        <v>446</v>
      </c>
      <c r="D87" s="81"/>
      <c r="E87" s="81"/>
      <c r="F87" s="87" t="s">
        <v>447</v>
      </c>
      <c r="G87" s="87"/>
      <c r="H87" s="87"/>
      <c r="I87" s="83" t="s">
        <v>448</v>
      </c>
      <c r="J87" s="83"/>
      <c r="K87" s="83"/>
      <c r="L87" s="83" t="s">
        <v>449</v>
      </c>
      <c r="M87" s="83"/>
      <c r="N87" s="83"/>
      <c r="O87" s="83" t="s">
        <v>450</v>
      </c>
      <c r="P87" s="83"/>
      <c r="Q87" s="83"/>
      <c r="R87" s="84">
        <v>38618</v>
      </c>
      <c r="S87" s="84"/>
      <c r="T87" s="88" t="s">
        <v>95</v>
      </c>
      <c r="U87" s="89" t="s">
        <v>96</v>
      </c>
    </row>
    <row r="88" ht="27" customHeight="1" spans="2:25">
      <c r="B88" s="80">
        <v>74</v>
      </c>
      <c r="C88" s="81" t="s">
        <v>451</v>
      </c>
      <c r="D88" s="81"/>
      <c r="E88" s="81"/>
      <c r="F88" s="87" t="s">
        <v>452</v>
      </c>
      <c r="G88" s="87"/>
      <c r="H88" s="87"/>
      <c r="I88" s="83" t="s">
        <v>453</v>
      </c>
      <c r="J88" s="83"/>
      <c r="K88" s="83"/>
      <c r="L88" s="83" t="s">
        <v>454</v>
      </c>
      <c r="M88" s="83"/>
      <c r="N88" s="83"/>
      <c r="O88" s="83" t="s">
        <v>455</v>
      </c>
      <c r="P88" s="83"/>
      <c r="Q88" s="83"/>
      <c r="R88" s="84">
        <v>38619</v>
      </c>
      <c r="S88" s="84"/>
      <c r="T88" s="88" t="s">
        <v>95</v>
      </c>
      <c r="U88" s="89" t="s">
        <v>96</v>
      </c>
    </row>
    <row r="89" ht="27" customHeight="1" spans="2:25">
      <c r="B89" s="80">
        <v>75</v>
      </c>
      <c r="C89" s="81" t="s">
        <v>456</v>
      </c>
      <c r="D89" s="81"/>
      <c r="E89" s="81"/>
      <c r="F89" s="87" t="s">
        <v>457</v>
      </c>
      <c r="G89" s="87"/>
      <c r="H89" s="87"/>
      <c r="I89" s="83" t="s">
        <v>458</v>
      </c>
      <c r="J89" s="83"/>
      <c r="K89" s="83"/>
      <c r="L89" s="83" t="s">
        <v>459</v>
      </c>
      <c r="M89" s="83"/>
      <c r="N89" s="83"/>
      <c r="O89" s="83" t="s">
        <v>460</v>
      </c>
      <c r="P89" s="83"/>
      <c r="Q89" s="83"/>
      <c r="R89" s="84">
        <v>38620</v>
      </c>
      <c r="S89" s="84"/>
      <c r="T89" s="88" t="s">
        <v>95</v>
      </c>
      <c r="U89" s="89" t="s">
        <v>96</v>
      </c>
    </row>
    <row r="90" ht="27" customHeight="1" spans="2:25">
      <c r="B90" s="80">
        <v>76</v>
      </c>
      <c r="C90" s="81" t="s">
        <v>461</v>
      </c>
      <c r="D90" s="81"/>
      <c r="E90" s="81"/>
      <c r="F90" s="87" t="s">
        <v>462</v>
      </c>
      <c r="G90" s="87"/>
      <c r="H90" s="87"/>
      <c r="I90" s="83" t="s">
        <v>463</v>
      </c>
      <c r="J90" s="83"/>
      <c r="K90" s="83"/>
      <c r="L90" s="83" t="s">
        <v>464</v>
      </c>
      <c r="M90" s="83"/>
      <c r="N90" s="83"/>
      <c r="O90" s="83" t="s">
        <v>465</v>
      </c>
      <c r="P90" s="83"/>
      <c r="Q90" s="83"/>
      <c r="R90" s="84">
        <v>38621</v>
      </c>
      <c r="S90" s="84"/>
      <c r="T90" s="88" t="s">
        <v>95</v>
      </c>
      <c r="U90" s="89" t="s">
        <v>96</v>
      </c>
    </row>
    <row r="91" ht="27" customHeight="1" spans="2:25">
      <c r="B91" s="80">
        <v>77</v>
      </c>
      <c r="C91" s="81" t="s">
        <v>466</v>
      </c>
      <c r="D91" s="81"/>
      <c r="E91" s="81"/>
      <c r="F91" s="87" t="s">
        <v>467</v>
      </c>
      <c r="G91" s="87"/>
      <c r="H91" s="87"/>
      <c r="I91" s="83" t="s">
        <v>468</v>
      </c>
      <c r="J91" s="83"/>
      <c r="K91" s="83"/>
      <c r="L91" s="83" t="s">
        <v>469</v>
      </c>
      <c r="M91" s="83"/>
      <c r="N91" s="83"/>
      <c r="O91" s="83" t="s">
        <v>150</v>
      </c>
      <c r="P91" s="83"/>
      <c r="Q91" s="83"/>
      <c r="R91" s="84">
        <v>38622</v>
      </c>
      <c r="S91" s="84"/>
      <c r="T91" s="88" t="s">
        <v>95</v>
      </c>
      <c r="U91" s="89" t="s">
        <v>96</v>
      </c>
    </row>
    <row r="92" ht="27" customHeight="1" spans="2:25">
      <c r="B92" s="80">
        <v>78</v>
      </c>
      <c r="C92" s="81" t="s">
        <v>470</v>
      </c>
      <c r="D92" s="81"/>
      <c r="E92" s="81"/>
      <c r="F92" s="87" t="s">
        <v>471</v>
      </c>
      <c r="G92" s="87"/>
      <c r="H92" s="87"/>
      <c r="I92" s="83" t="s">
        <v>472</v>
      </c>
      <c r="J92" s="83"/>
      <c r="K92" s="83"/>
      <c r="L92" s="83" t="s">
        <v>473</v>
      </c>
      <c r="M92" s="83"/>
      <c r="N92" s="83"/>
      <c r="O92" s="83" t="s">
        <v>474</v>
      </c>
      <c r="P92" s="83"/>
      <c r="Q92" s="83"/>
      <c r="R92" s="84">
        <v>38623</v>
      </c>
      <c r="S92" s="84"/>
      <c r="T92" s="88" t="s">
        <v>95</v>
      </c>
      <c r="U92" s="89" t="s">
        <v>96</v>
      </c>
    </row>
    <row r="93" ht="27" customHeight="1" spans="2:25">
      <c r="B93" s="80">
        <v>79</v>
      </c>
      <c r="C93" s="81" t="s">
        <v>475</v>
      </c>
      <c r="D93" s="81"/>
      <c r="E93" s="81"/>
      <c r="F93" s="87" t="s">
        <v>476</v>
      </c>
      <c r="G93" s="87"/>
      <c r="H93" s="87"/>
      <c r="I93" s="83" t="s">
        <v>477</v>
      </c>
      <c r="J93" s="83"/>
      <c r="K93" s="83"/>
      <c r="L93" s="83" t="s">
        <v>478</v>
      </c>
      <c r="M93" s="83"/>
      <c r="N93" s="83"/>
      <c r="O93" s="83" t="s">
        <v>479</v>
      </c>
      <c r="P93" s="83"/>
      <c r="Q93" s="83"/>
      <c r="R93" s="84">
        <v>38624</v>
      </c>
      <c r="S93" s="84"/>
      <c r="T93" s="88" t="s">
        <v>95</v>
      </c>
      <c r="U93" s="89" t="s">
        <v>96</v>
      </c>
    </row>
    <row r="94" ht="27" customHeight="1" spans="2:25">
      <c r="B94" s="80">
        <v>80</v>
      </c>
      <c r="C94" s="81" t="s">
        <v>480</v>
      </c>
      <c r="D94" s="81"/>
      <c r="E94" s="81"/>
      <c r="F94" s="87" t="s">
        <v>481</v>
      </c>
      <c r="G94" s="87"/>
      <c r="H94" s="87"/>
      <c r="I94" s="83" t="s">
        <v>482</v>
      </c>
      <c r="J94" s="83"/>
      <c r="K94" s="83"/>
      <c r="L94" s="83" t="s">
        <v>483</v>
      </c>
      <c r="M94" s="83"/>
      <c r="N94" s="83"/>
      <c r="O94" s="83" t="s">
        <v>484</v>
      </c>
      <c r="P94" s="83"/>
      <c r="Q94" s="83"/>
      <c r="R94" s="84">
        <v>38625</v>
      </c>
      <c r="S94" s="84"/>
      <c r="T94" s="88" t="s">
        <v>95</v>
      </c>
      <c r="U94" s="89" t="s">
        <v>96</v>
      </c>
    </row>
    <row r="95" ht="27" customHeight="1" spans="2:25">
      <c r="B95" s="80">
        <v>81</v>
      </c>
      <c r="C95" s="81" t="s">
        <v>485</v>
      </c>
      <c r="D95" s="81"/>
      <c r="E95" s="81"/>
      <c r="F95" s="87" t="s">
        <v>486</v>
      </c>
      <c r="G95" s="87"/>
      <c r="H95" s="87"/>
      <c r="I95" s="83" t="s">
        <v>487</v>
      </c>
      <c r="J95" s="83"/>
      <c r="K95" s="83"/>
      <c r="L95" s="83" t="s">
        <v>488</v>
      </c>
      <c r="M95" s="83"/>
      <c r="N95" s="83"/>
      <c r="O95" s="83" t="s">
        <v>489</v>
      </c>
      <c r="P95" s="83"/>
      <c r="Q95" s="83"/>
      <c r="R95" s="84">
        <v>38626</v>
      </c>
      <c r="S95" s="84"/>
      <c r="T95" s="88" t="s">
        <v>95</v>
      </c>
      <c r="U95" s="89" t="s">
        <v>96</v>
      </c>
    </row>
    <row r="96" ht="27" customHeight="1" spans="2:25">
      <c r="B96" s="80">
        <v>82</v>
      </c>
      <c r="C96" s="81" t="s">
        <v>490</v>
      </c>
      <c r="D96" s="81"/>
      <c r="E96" s="81"/>
      <c r="F96" s="87" t="s">
        <v>491</v>
      </c>
      <c r="G96" s="87"/>
      <c r="H96" s="87"/>
      <c r="I96" s="83" t="s">
        <v>492</v>
      </c>
      <c r="J96" s="83"/>
      <c r="K96" s="83"/>
      <c r="L96" s="83" t="s">
        <v>493</v>
      </c>
      <c r="M96" s="83"/>
      <c r="N96" s="83"/>
      <c r="O96" s="83" t="s">
        <v>494</v>
      </c>
      <c r="P96" s="83"/>
      <c r="Q96" s="83"/>
      <c r="R96" s="84">
        <v>38627</v>
      </c>
      <c r="S96" s="84"/>
      <c r="T96" s="88" t="s">
        <v>95</v>
      </c>
      <c r="U96" s="89" t="s">
        <v>96</v>
      </c>
    </row>
    <row r="97" ht="27" customHeight="1" spans="2:25">
      <c r="B97" s="80">
        <v>83</v>
      </c>
      <c r="C97" s="81" t="s">
        <v>495</v>
      </c>
      <c r="D97" s="81"/>
      <c r="E97" s="81"/>
      <c r="F97" s="87" t="s">
        <v>496</v>
      </c>
      <c r="G97" s="87"/>
      <c r="H97" s="87"/>
      <c r="I97" s="83" t="s">
        <v>497</v>
      </c>
      <c r="J97" s="83"/>
      <c r="K97" s="83"/>
      <c r="L97" s="83" t="s">
        <v>498</v>
      </c>
      <c r="M97" s="83"/>
      <c r="N97" s="83"/>
      <c r="O97" s="83" t="s">
        <v>499</v>
      </c>
      <c r="P97" s="83"/>
      <c r="Q97" s="83"/>
      <c r="R97" s="84">
        <v>38628</v>
      </c>
      <c r="S97" s="84"/>
      <c r="T97" s="88" t="s">
        <v>95</v>
      </c>
      <c r="U97" s="89" t="s">
        <v>96</v>
      </c>
    </row>
    <row r="98" ht="27" customHeight="1" spans="2:25">
      <c r="B98" s="80">
        <v>84</v>
      </c>
      <c r="C98" s="81" t="s">
        <v>500</v>
      </c>
      <c r="D98" s="81"/>
      <c r="E98" s="81"/>
      <c r="F98" s="87" t="s">
        <v>501</v>
      </c>
      <c r="G98" s="87"/>
      <c r="H98" s="87"/>
      <c r="I98" s="83" t="s">
        <v>502</v>
      </c>
      <c r="J98" s="83"/>
      <c r="K98" s="83"/>
      <c r="L98" s="83" t="s">
        <v>503</v>
      </c>
      <c r="M98" s="83"/>
      <c r="N98" s="83"/>
      <c r="O98" s="83" t="s">
        <v>504</v>
      </c>
      <c r="P98" s="83"/>
      <c r="Q98" s="83"/>
      <c r="R98" s="84">
        <v>38629</v>
      </c>
      <c r="S98" s="84"/>
      <c r="T98" s="88" t="s">
        <v>95</v>
      </c>
      <c r="U98" s="89" t="s">
        <v>96</v>
      </c>
    </row>
    <row r="99" ht="27" customHeight="1" spans="2:25">
      <c r="B99" s="80">
        <v>85</v>
      </c>
      <c r="C99" s="81" t="s">
        <v>505</v>
      </c>
      <c r="D99" s="81"/>
      <c r="E99" s="81"/>
      <c r="F99" s="87" t="s">
        <v>506</v>
      </c>
      <c r="G99" s="87"/>
      <c r="H99" s="87"/>
      <c r="I99" s="83" t="s">
        <v>507</v>
      </c>
      <c r="J99" s="83"/>
      <c r="K99" s="83"/>
      <c r="L99" s="83" t="s">
        <v>508</v>
      </c>
      <c r="M99" s="83"/>
      <c r="N99" s="83"/>
      <c r="O99" s="83" t="s">
        <v>509</v>
      </c>
      <c r="P99" s="83"/>
      <c r="Q99" s="83"/>
      <c r="R99" s="84">
        <v>38630</v>
      </c>
      <c r="S99" s="84"/>
      <c r="T99" s="88" t="s">
        <v>95</v>
      </c>
      <c r="U99" s="89" t="s">
        <v>96</v>
      </c>
    </row>
    <row r="100" ht="27" customHeight="1" spans="2:25">
      <c r="B100" s="80">
        <v>86</v>
      </c>
      <c r="C100" s="81" t="s">
        <v>510</v>
      </c>
      <c r="D100" s="81"/>
      <c r="E100" s="81"/>
      <c r="F100" s="87" t="s">
        <v>511</v>
      </c>
      <c r="G100" s="87"/>
      <c r="H100" s="87"/>
      <c r="I100" s="83" t="s">
        <v>512</v>
      </c>
      <c r="J100" s="83"/>
      <c r="K100" s="83"/>
      <c r="L100" s="83" t="s">
        <v>513</v>
      </c>
      <c r="M100" s="83"/>
      <c r="N100" s="83"/>
      <c r="O100" s="83" t="s">
        <v>514</v>
      </c>
      <c r="P100" s="83"/>
      <c r="Q100" s="83"/>
      <c r="R100" s="84">
        <v>38631</v>
      </c>
      <c r="S100" s="84"/>
      <c r="T100" s="88" t="s">
        <v>95</v>
      </c>
      <c r="U100" s="89" t="s">
        <v>96</v>
      </c>
    </row>
    <row r="101" ht="27" customHeight="1" spans="2:25">
      <c r="B101" s="80">
        <v>87</v>
      </c>
      <c r="C101" s="81" t="s">
        <v>515</v>
      </c>
      <c r="D101" s="81"/>
      <c r="E101" s="81"/>
      <c r="F101" s="87" t="s">
        <v>516</v>
      </c>
      <c r="G101" s="87"/>
      <c r="H101" s="87"/>
      <c r="I101" s="83" t="s">
        <v>517</v>
      </c>
      <c r="J101" s="83"/>
      <c r="K101" s="83"/>
      <c r="L101" s="83" t="s">
        <v>518</v>
      </c>
      <c r="M101" s="83"/>
      <c r="N101" s="83"/>
      <c r="O101" s="83" t="s">
        <v>519</v>
      </c>
      <c r="P101" s="83"/>
      <c r="Q101" s="83"/>
      <c r="R101" s="84">
        <v>38632</v>
      </c>
      <c r="S101" s="84"/>
      <c r="T101" s="88" t="s">
        <v>95</v>
      </c>
      <c r="U101" s="89" t="s">
        <v>96</v>
      </c>
    </row>
    <row r="102" ht="27" customHeight="1" spans="2:25">
      <c r="B102" s="80">
        <v>88</v>
      </c>
      <c r="C102" s="81" t="s">
        <v>520</v>
      </c>
      <c r="D102" s="81"/>
      <c r="E102" s="81"/>
      <c r="F102" s="87" t="s">
        <v>521</v>
      </c>
      <c r="G102" s="87"/>
      <c r="H102" s="87"/>
      <c r="I102" s="83" t="s">
        <v>522</v>
      </c>
      <c r="J102" s="83"/>
      <c r="K102" s="83"/>
      <c r="L102" s="83" t="s">
        <v>523</v>
      </c>
      <c r="M102" s="83"/>
      <c r="N102" s="83"/>
      <c r="O102" s="83" t="s">
        <v>524</v>
      </c>
      <c r="P102" s="83"/>
      <c r="Q102" s="83"/>
      <c r="R102" s="84">
        <v>38633</v>
      </c>
      <c r="S102" s="84"/>
      <c r="T102" s="88" t="s">
        <v>95</v>
      </c>
      <c r="U102" s="89" t="s">
        <v>96</v>
      </c>
    </row>
    <row r="103" ht="27" customHeight="1" spans="2:25">
      <c r="B103" s="80">
        <v>89</v>
      </c>
      <c r="C103" s="81" t="s">
        <v>525</v>
      </c>
      <c r="D103" s="81"/>
      <c r="E103" s="81"/>
      <c r="F103" s="87" t="s">
        <v>526</v>
      </c>
      <c r="G103" s="87"/>
      <c r="H103" s="87"/>
      <c r="I103" s="83" t="s">
        <v>527</v>
      </c>
      <c r="J103" s="83"/>
      <c r="K103" s="83"/>
      <c r="L103" s="83" t="s">
        <v>528</v>
      </c>
      <c r="M103" s="83"/>
      <c r="N103" s="83"/>
      <c r="O103" s="83" t="s">
        <v>529</v>
      </c>
      <c r="P103" s="83"/>
      <c r="Q103" s="83"/>
      <c r="R103" s="84">
        <v>38634</v>
      </c>
      <c r="S103" s="84"/>
      <c r="T103" s="88" t="s">
        <v>95</v>
      </c>
      <c r="U103" s="89" t="s">
        <v>96</v>
      </c>
    </row>
    <row r="104" ht="27" customHeight="1" spans="2:25">
      <c r="B104" s="80">
        <v>90</v>
      </c>
      <c r="C104" s="81" t="s">
        <v>530</v>
      </c>
      <c r="D104" s="81"/>
      <c r="E104" s="81"/>
      <c r="F104" s="87" t="s">
        <v>531</v>
      </c>
      <c r="G104" s="87"/>
      <c r="H104" s="87"/>
      <c r="I104" s="83" t="s">
        <v>532</v>
      </c>
      <c r="J104" s="83"/>
      <c r="K104" s="83"/>
      <c r="L104" s="83" t="s">
        <v>533</v>
      </c>
      <c r="M104" s="83"/>
      <c r="N104" s="83"/>
      <c r="O104" s="83" t="s">
        <v>534</v>
      </c>
      <c r="P104" s="83"/>
      <c r="Q104" s="83"/>
      <c r="R104" s="84">
        <v>38635</v>
      </c>
      <c r="S104" s="84"/>
      <c r="T104" s="88" t="s">
        <v>95</v>
      </c>
      <c r="U104" s="89" t="s">
        <v>96</v>
      </c>
    </row>
    <row r="105" ht="27" customHeight="1" spans="2:25">
      <c r="B105" s="80">
        <v>91</v>
      </c>
      <c r="C105" s="81" t="s">
        <v>535</v>
      </c>
      <c r="D105" s="81"/>
      <c r="E105" s="81"/>
      <c r="F105" s="87" t="s">
        <v>536</v>
      </c>
      <c r="G105" s="87"/>
      <c r="H105" s="87"/>
      <c r="I105" s="83" t="s">
        <v>537</v>
      </c>
      <c r="J105" s="83"/>
      <c r="K105" s="83"/>
      <c r="L105" s="83" t="s">
        <v>538</v>
      </c>
      <c r="M105" s="83"/>
      <c r="N105" s="83"/>
      <c r="O105" s="83" t="s">
        <v>539</v>
      </c>
      <c r="P105" s="83"/>
      <c r="Q105" s="83"/>
      <c r="R105" s="84">
        <v>38636</v>
      </c>
      <c r="S105" s="84"/>
      <c r="T105" s="88" t="s">
        <v>95</v>
      </c>
      <c r="U105" s="89" t="s">
        <v>96</v>
      </c>
    </row>
    <row r="106" ht="27" customHeight="1" spans="2:25">
      <c r="B106" s="80">
        <v>92</v>
      </c>
      <c r="C106" s="92" t="s">
        <v>540</v>
      </c>
      <c r="D106" s="92"/>
      <c r="E106" s="92"/>
      <c r="F106" s="87" t="s">
        <v>541</v>
      </c>
      <c r="G106" s="87"/>
      <c r="H106" s="87"/>
      <c r="I106" s="83" t="s">
        <v>542</v>
      </c>
      <c r="J106" s="83"/>
      <c r="K106" s="83"/>
      <c r="L106" s="83" t="s">
        <v>543</v>
      </c>
      <c r="M106" s="83"/>
      <c r="N106" s="83"/>
      <c r="O106" s="83" t="s">
        <v>544</v>
      </c>
      <c r="P106" s="83"/>
      <c r="Q106" s="83"/>
      <c r="R106" s="84">
        <v>38637</v>
      </c>
      <c r="S106" s="84"/>
      <c r="T106" s="88" t="s">
        <v>95</v>
      </c>
      <c r="U106" s="89" t="s">
        <v>96</v>
      </c>
    </row>
    <row r="107" ht="27" customHeight="1" spans="2:25">
      <c r="B107" s="80">
        <v>93</v>
      </c>
      <c r="C107" s="81" t="s">
        <v>545</v>
      </c>
      <c r="D107" s="81"/>
      <c r="E107" s="81"/>
      <c r="F107" s="87" t="s">
        <v>546</v>
      </c>
      <c r="G107" s="87"/>
      <c r="H107" s="87"/>
      <c r="I107" s="83" t="s">
        <v>233</v>
      </c>
      <c r="J107" s="83"/>
      <c r="K107" s="83"/>
      <c r="L107" s="83" t="s">
        <v>547</v>
      </c>
      <c r="M107" s="83"/>
      <c r="N107" s="83"/>
      <c r="O107" s="83" t="s">
        <v>548</v>
      </c>
      <c r="P107" s="83"/>
      <c r="Q107" s="83"/>
      <c r="R107" s="84">
        <v>38638</v>
      </c>
      <c r="S107" s="84"/>
      <c r="T107" s="88" t="s">
        <v>95</v>
      </c>
      <c r="U107" s="89" t="s">
        <v>96</v>
      </c>
    </row>
    <row r="108" ht="27" customHeight="1" spans="2:25">
      <c r="B108" s="80">
        <v>94</v>
      </c>
      <c r="C108" s="81" t="s">
        <v>549</v>
      </c>
      <c r="D108" s="81"/>
      <c r="E108" s="81"/>
      <c r="F108" s="87" t="s">
        <v>550</v>
      </c>
      <c r="G108" s="87"/>
      <c r="H108" s="87"/>
      <c r="I108" s="83" t="s">
        <v>551</v>
      </c>
      <c r="J108" s="83"/>
      <c r="K108" s="83"/>
      <c r="L108" s="83" t="s">
        <v>552</v>
      </c>
      <c r="M108" s="83"/>
      <c r="N108" s="83"/>
      <c r="O108" s="83" t="s">
        <v>553</v>
      </c>
      <c r="P108" s="83"/>
      <c r="Q108" s="83"/>
      <c r="R108" s="84">
        <v>38639</v>
      </c>
      <c r="S108" s="84"/>
      <c r="T108" s="88" t="s">
        <v>95</v>
      </c>
      <c r="U108" s="89" t="s">
        <v>96</v>
      </c>
      <c r="W108" s="91"/>
      <c r="X108" s="91"/>
      <c r="Y108" s="91"/>
    </row>
    <row r="109" ht="27" customHeight="1" spans="2:25">
      <c r="B109" s="80">
        <v>95</v>
      </c>
      <c r="C109" s="81" t="s">
        <v>554</v>
      </c>
      <c r="D109" s="81"/>
      <c r="E109" s="81"/>
      <c r="F109" s="87" t="s">
        <v>555</v>
      </c>
      <c r="G109" s="87"/>
      <c r="H109" s="87"/>
      <c r="I109" s="83" t="s">
        <v>556</v>
      </c>
      <c r="J109" s="83"/>
      <c r="K109" s="83"/>
      <c r="L109" s="83" t="s">
        <v>557</v>
      </c>
      <c r="M109" s="83"/>
      <c r="N109" s="83"/>
      <c r="O109" s="83" t="s">
        <v>558</v>
      </c>
      <c r="P109" s="83"/>
      <c r="Q109" s="83"/>
      <c r="R109" s="84">
        <v>38640</v>
      </c>
      <c r="S109" s="84"/>
      <c r="T109" s="88" t="s">
        <v>95</v>
      </c>
      <c r="U109" s="89" t="s">
        <v>96</v>
      </c>
    </row>
    <row r="110" ht="27" customHeight="1" spans="2:25">
      <c r="B110" s="80">
        <v>96</v>
      </c>
      <c r="C110" s="81" t="s">
        <v>559</v>
      </c>
      <c r="D110" s="81"/>
      <c r="E110" s="81"/>
      <c r="F110" s="87" t="s">
        <v>560</v>
      </c>
      <c r="G110" s="87"/>
      <c r="H110" s="87"/>
      <c r="I110" s="83" t="s">
        <v>561</v>
      </c>
      <c r="J110" s="83"/>
      <c r="K110" s="83"/>
      <c r="L110" s="83" t="s">
        <v>562</v>
      </c>
      <c r="M110" s="83"/>
      <c r="N110" s="83"/>
      <c r="O110" s="83" t="s">
        <v>563</v>
      </c>
      <c r="P110" s="83"/>
      <c r="Q110" s="83"/>
      <c r="R110" s="84">
        <v>38641</v>
      </c>
      <c r="S110" s="84"/>
      <c r="T110" s="88" t="s">
        <v>95</v>
      </c>
      <c r="U110" s="89" t="s">
        <v>96</v>
      </c>
    </row>
    <row r="111" ht="27" customHeight="1" spans="2:25">
      <c r="B111" s="80">
        <v>97</v>
      </c>
      <c r="C111" s="81" t="s">
        <v>564</v>
      </c>
      <c r="D111" s="81"/>
      <c r="E111" s="81"/>
      <c r="F111" s="87" t="s">
        <v>565</v>
      </c>
      <c r="G111" s="87"/>
      <c r="H111" s="87"/>
      <c r="I111" s="83" t="s">
        <v>566</v>
      </c>
      <c r="J111" s="83"/>
      <c r="K111" s="83"/>
      <c r="L111" s="83" t="s">
        <v>567</v>
      </c>
      <c r="M111" s="83"/>
      <c r="N111" s="83"/>
      <c r="O111" s="83" t="s">
        <v>568</v>
      </c>
      <c r="P111" s="83"/>
      <c r="Q111" s="83"/>
      <c r="R111" s="84">
        <v>38642</v>
      </c>
      <c r="S111" s="84"/>
      <c r="T111" s="88" t="s">
        <v>95</v>
      </c>
      <c r="U111" s="89" t="s">
        <v>96</v>
      </c>
    </row>
    <row r="112" ht="27" customHeight="1" spans="2:25">
      <c r="B112" s="80">
        <v>98</v>
      </c>
      <c r="C112" s="81" t="s">
        <v>569</v>
      </c>
      <c r="D112" s="81"/>
      <c r="E112" s="81"/>
      <c r="F112" s="87" t="s">
        <v>570</v>
      </c>
      <c r="G112" s="87"/>
      <c r="H112" s="87"/>
      <c r="I112" s="83" t="s">
        <v>571</v>
      </c>
      <c r="J112" s="83"/>
      <c r="K112" s="83"/>
      <c r="L112" s="83" t="s">
        <v>572</v>
      </c>
      <c r="M112" s="83"/>
      <c r="N112" s="83"/>
      <c r="O112" s="83" t="s">
        <v>573</v>
      </c>
      <c r="P112" s="83"/>
      <c r="Q112" s="83"/>
      <c r="R112" s="84">
        <v>38643</v>
      </c>
      <c r="S112" s="84"/>
      <c r="T112" s="88" t="s">
        <v>95</v>
      </c>
      <c r="U112" s="89" t="s">
        <v>96</v>
      </c>
    </row>
    <row r="113" ht="27" customHeight="1" spans="2:21">
      <c r="B113" s="80">
        <v>99</v>
      </c>
      <c r="C113" s="81" t="s">
        <v>574</v>
      </c>
      <c r="D113" s="81"/>
      <c r="E113" s="81"/>
      <c r="F113" s="87" t="s">
        <v>575</v>
      </c>
      <c r="G113" s="87"/>
      <c r="H113" s="87"/>
      <c r="I113" s="83" t="s">
        <v>576</v>
      </c>
      <c r="J113" s="83"/>
      <c r="K113" s="83"/>
      <c r="L113" s="83" t="s">
        <v>577</v>
      </c>
      <c r="M113" s="83"/>
      <c r="N113" s="83"/>
      <c r="O113" s="83" t="s">
        <v>578</v>
      </c>
      <c r="P113" s="83"/>
      <c r="Q113" s="83"/>
      <c r="R113" s="84">
        <v>38644</v>
      </c>
      <c r="S113" s="84"/>
      <c r="T113" s="88" t="s">
        <v>95</v>
      </c>
      <c r="U113" s="89" t="s">
        <v>96</v>
      </c>
    </row>
    <row r="114" ht="27" customHeight="1" spans="2:21">
      <c r="B114" s="93">
        <v>100</v>
      </c>
      <c r="C114" s="81" t="s">
        <v>579</v>
      </c>
      <c r="D114" s="81"/>
      <c r="E114" s="81"/>
      <c r="F114" s="94" t="s">
        <v>580</v>
      </c>
      <c r="G114" s="94"/>
      <c r="H114" s="94"/>
      <c r="I114" s="83" t="s">
        <v>581</v>
      </c>
      <c r="J114" s="83"/>
      <c r="K114" s="83"/>
      <c r="L114" s="83" t="s">
        <v>582</v>
      </c>
      <c r="M114" s="83"/>
      <c r="N114" s="83"/>
      <c r="O114" s="83" t="s">
        <v>583</v>
      </c>
      <c r="P114" s="83"/>
      <c r="Q114" s="83"/>
      <c r="R114" s="84">
        <v>38645</v>
      </c>
      <c r="S114" s="84"/>
      <c r="T114" s="95" t="s">
        <v>95</v>
      </c>
      <c r="U114" s="96" t="s">
        <v>96</v>
      </c>
    </row>
  </sheetData>
  <mergeCells count="616">
    <mergeCell ref="A4:U4"/>
    <mergeCell ref="A5:U5"/>
    <mergeCell ref="A6:U6"/>
    <mergeCell ref="A7:U7"/>
    <mergeCell ref="A8:U8"/>
    <mergeCell ref="A9:U9"/>
    <mergeCell ref="C13:E13"/>
    <mergeCell ref="F13:H13"/>
    <mergeCell ref="I13:K13"/>
    <mergeCell ref="L13:N13"/>
    <mergeCell ref="O13:Q13"/>
    <mergeCell ref="R13:S13"/>
    <mergeCell ref="C15:E15"/>
    <mergeCell ref="F15:H15"/>
    <mergeCell ref="I15:K15"/>
    <mergeCell ref="L15:N15"/>
    <mergeCell ref="O15:Q15"/>
    <mergeCell ref="R15:S15"/>
    <mergeCell ref="C16:E16"/>
    <mergeCell ref="F16:H16"/>
    <mergeCell ref="I16:K16"/>
    <mergeCell ref="L16:N16"/>
    <mergeCell ref="O16:Q16"/>
    <mergeCell ref="R16:S16"/>
    <mergeCell ref="C17:E17"/>
    <mergeCell ref="F17:H17"/>
    <mergeCell ref="I17:K17"/>
    <mergeCell ref="L17:N17"/>
    <mergeCell ref="O17:Q17"/>
    <mergeCell ref="R17:S17"/>
    <mergeCell ref="C18:E18"/>
    <mergeCell ref="F18:H18"/>
    <mergeCell ref="I18:K18"/>
    <mergeCell ref="L18:N18"/>
    <mergeCell ref="O18:Q18"/>
    <mergeCell ref="R18:S18"/>
    <mergeCell ref="C19:E19"/>
    <mergeCell ref="F19:H19"/>
    <mergeCell ref="I19:K19"/>
    <mergeCell ref="L19:N19"/>
    <mergeCell ref="O19:Q19"/>
    <mergeCell ref="R19:S19"/>
    <mergeCell ref="C20:E20"/>
    <mergeCell ref="F20:H20"/>
    <mergeCell ref="I20:K20"/>
    <mergeCell ref="L20:N20"/>
    <mergeCell ref="O20:Q20"/>
    <mergeCell ref="R20:S20"/>
    <mergeCell ref="C21:E21"/>
    <mergeCell ref="F21:H21"/>
    <mergeCell ref="I21:K21"/>
    <mergeCell ref="L21:N21"/>
    <mergeCell ref="O21:Q21"/>
    <mergeCell ref="R21:S21"/>
    <mergeCell ref="C22:E22"/>
    <mergeCell ref="F22:H22"/>
    <mergeCell ref="I22:K22"/>
    <mergeCell ref="L22:N22"/>
    <mergeCell ref="O22:Q22"/>
    <mergeCell ref="R22:S22"/>
    <mergeCell ref="C23:E23"/>
    <mergeCell ref="F23:H23"/>
    <mergeCell ref="I23:K23"/>
    <mergeCell ref="L23:N23"/>
    <mergeCell ref="O23:Q23"/>
    <mergeCell ref="R23:S23"/>
    <mergeCell ref="C24:E24"/>
    <mergeCell ref="F24:H24"/>
    <mergeCell ref="I24:K24"/>
    <mergeCell ref="L24:N24"/>
    <mergeCell ref="O24:Q24"/>
    <mergeCell ref="R24:S24"/>
    <mergeCell ref="C25:E25"/>
    <mergeCell ref="F25:H25"/>
    <mergeCell ref="I25:K25"/>
    <mergeCell ref="L25:N25"/>
    <mergeCell ref="O25:Q25"/>
    <mergeCell ref="R25:S25"/>
    <mergeCell ref="C26:E26"/>
    <mergeCell ref="F26:H26"/>
    <mergeCell ref="I26:K26"/>
    <mergeCell ref="L26:N26"/>
    <mergeCell ref="O26:Q26"/>
    <mergeCell ref="R26:S26"/>
    <mergeCell ref="C27:E27"/>
    <mergeCell ref="F27:H27"/>
    <mergeCell ref="I27:K27"/>
    <mergeCell ref="L27:N27"/>
    <mergeCell ref="O27:Q27"/>
    <mergeCell ref="R27:S27"/>
    <mergeCell ref="C28:E28"/>
    <mergeCell ref="F28:H28"/>
    <mergeCell ref="I28:K28"/>
    <mergeCell ref="L28:N28"/>
    <mergeCell ref="O28:Q28"/>
    <mergeCell ref="R28:S28"/>
    <mergeCell ref="C29:E29"/>
    <mergeCell ref="F29:H29"/>
    <mergeCell ref="I29:K29"/>
    <mergeCell ref="L29:N29"/>
    <mergeCell ref="O29:Q29"/>
    <mergeCell ref="R29:S29"/>
    <mergeCell ref="C30:E30"/>
    <mergeCell ref="F30:H30"/>
    <mergeCell ref="I30:K30"/>
    <mergeCell ref="L30:N30"/>
    <mergeCell ref="O30:Q30"/>
    <mergeCell ref="R30:S30"/>
    <mergeCell ref="C31:E31"/>
    <mergeCell ref="F31:H31"/>
    <mergeCell ref="I31:K31"/>
    <mergeCell ref="L31:N31"/>
    <mergeCell ref="O31:Q31"/>
    <mergeCell ref="R31:S31"/>
    <mergeCell ref="C32:E32"/>
    <mergeCell ref="F32:H32"/>
    <mergeCell ref="I32:K32"/>
    <mergeCell ref="L32:N32"/>
    <mergeCell ref="O32:Q32"/>
    <mergeCell ref="R32:S32"/>
    <mergeCell ref="C33:E33"/>
    <mergeCell ref="F33:H33"/>
    <mergeCell ref="I33:K33"/>
    <mergeCell ref="L33:N33"/>
    <mergeCell ref="O33:Q33"/>
    <mergeCell ref="R33:S33"/>
    <mergeCell ref="C34:E34"/>
    <mergeCell ref="F34:H34"/>
    <mergeCell ref="I34:K34"/>
    <mergeCell ref="L34:N34"/>
    <mergeCell ref="O34:Q34"/>
    <mergeCell ref="R34:S34"/>
    <mergeCell ref="C35:E35"/>
    <mergeCell ref="F35:H35"/>
    <mergeCell ref="I35:K35"/>
    <mergeCell ref="L35:N35"/>
    <mergeCell ref="O35:Q35"/>
    <mergeCell ref="R35:S35"/>
    <mergeCell ref="C36:E36"/>
    <mergeCell ref="F36:H36"/>
    <mergeCell ref="I36:K36"/>
    <mergeCell ref="L36:N36"/>
    <mergeCell ref="O36:Q36"/>
    <mergeCell ref="R36:S36"/>
    <mergeCell ref="C37:E37"/>
    <mergeCell ref="F37:H37"/>
    <mergeCell ref="I37:K37"/>
    <mergeCell ref="L37:N37"/>
    <mergeCell ref="O37:Q37"/>
    <mergeCell ref="R37:S37"/>
    <mergeCell ref="C38:E38"/>
    <mergeCell ref="F38:H38"/>
    <mergeCell ref="I38:K38"/>
    <mergeCell ref="L38:N38"/>
    <mergeCell ref="O38:Q38"/>
    <mergeCell ref="R38:S38"/>
    <mergeCell ref="C39:E39"/>
    <mergeCell ref="F39:H39"/>
    <mergeCell ref="I39:K39"/>
    <mergeCell ref="L39:N39"/>
    <mergeCell ref="O39:Q39"/>
    <mergeCell ref="R39:S39"/>
    <mergeCell ref="C40:E40"/>
    <mergeCell ref="F40:H40"/>
    <mergeCell ref="I40:K40"/>
    <mergeCell ref="L40:N40"/>
    <mergeCell ref="O40:Q40"/>
    <mergeCell ref="R40:S40"/>
    <mergeCell ref="C41:E41"/>
    <mergeCell ref="F41:H41"/>
    <mergeCell ref="I41:K41"/>
    <mergeCell ref="L41:N41"/>
    <mergeCell ref="O41:Q41"/>
    <mergeCell ref="R41:S41"/>
    <mergeCell ref="C42:E42"/>
    <mergeCell ref="F42:H42"/>
    <mergeCell ref="I42:K42"/>
    <mergeCell ref="L42:N42"/>
    <mergeCell ref="O42:Q42"/>
    <mergeCell ref="R42:S42"/>
    <mergeCell ref="C43:E43"/>
    <mergeCell ref="F43:H43"/>
    <mergeCell ref="I43:K43"/>
    <mergeCell ref="L43:N43"/>
    <mergeCell ref="O43:Q43"/>
    <mergeCell ref="R43:S43"/>
    <mergeCell ref="C44:E44"/>
    <mergeCell ref="F44:H44"/>
    <mergeCell ref="I44:K44"/>
    <mergeCell ref="L44:N44"/>
    <mergeCell ref="O44:Q44"/>
    <mergeCell ref="R44:S44"/>
    <mergeCell ref="C45:E45"/>
    <mergeCell ref="F45:H45"/>
    <mergeCell ref="I45:K45"/>
    <mergeCell ref="L45:N45"/>
    <mergeCell ref="O45:Q45"/>
    <mergeCell ref="R45:S45"/>
    <mergeCell ref="C46:E46"/>
    <mergeCell ref="F46:H46"/>
    <mergeCell ref="I46:K46"/>
    <mergeCell ref="L46:N46"/>
    <mergeCell ref="O46:Q46"/>
    <mergeCell ref="R46:S46"/>
    <mergeCell ref="C47:E47"/>
    <mergeCell ref="F47:H47"/>
    <mergeCell ref="I47:K47"/>
    <mergeCell ref="L47:N47"/>
    <mergeCell ref="O47:Q47"/>
    <mergeCell ref="R47:S47"/>
    <mergeCell ref="C48:E48"/>
    <mergeCell ref="F48:H48"/>
    <mergeCell ref="I48:K48"/>
    <mergeCell ref="L48:N48"/>
    <mergeCell ref="O48:Q48"/>
    <mergeCell ref="R48:S48"/>
    <mergeCell ref="C49:E49"/>
    <mergeCell ref="F49:H49"/>
    <mergeCell ref="I49:K49"/>
    <mergeCell ref="L49:N49"/>
    <mergeCell ref="O49:Q49"/>
    <mergeCell ref="R49:S49"/>
    <mergeCell ref="C50:E50"/>
    <mergeCell ref="F50:H50"/>
    <mergeCell ref="I50:K50"/>
    <mergeCell ref="L50:N50"/>
    <mergeCell ref="O50:Q50"/>
    <mergeCell ref="R50:S50"/>
    <mergeCell ref="C51:E51"/>
    <mergeCell ref="F51:H51"/>
    <mergeCell ref="I51:K51"/>
    <mergeCell ref="L51:N51"/>
    <mergeCell ref="O51:Q51"/>
    <mergeCell ref="R51:S51"/>
    <mergeCell ref="C52:E52"/>
    <mergeCell ref="F52:H52"/>
    <mergeCell ref="I52:K52"/>
    <mergeCell ref="L52:N52"/>
    <mergeCell ref="O52:Q52"/>
    <mergeCell ref="R52:S52"/>
    <mergeCell ref="W52:Y52"/>
    <mergeCell ref="C53:E53"/>
    <mergeCell ref="F53:H53"/>
    <mergeCell ref="I53:K53"/>
    <mergeCell ref="L53:N53"/>
    <mergeCell ref="O53:Q53"/>
    <mergeCell ref="R53:S53"/>
    <mergeCell ref="C54:E54"/>
    <mergeCell ref="F54:H54"/>
    <mergeCell ref="I54:K54"/>
    <mergeCell ref="L54:N54"/>
    <mergeCell ref="O54:Q54"/>
    <mergeCell ref="R54:S54"/>
    <mergeCell ref="C55:E55"/>
    <mergeCell ref="F55:H55"/>
    <mergeCell ref="I55:K55"/>
    <mergeCell ref="L55:N55"/>
    <mergeCell ref="O55:Q55"/>
    <mergeCell ref="R55:S55"/>
    <mergeCell ref="C56:E56"/>
    <mergeCell ref="F56:H56"/>
    <mergeCell ref="I56:K56"/>
    <mergeCell ref="L56:N56"/>
    <mergeCell ref="O56:Q56"/>
    <mergeCell ref="R56:S56"/>
    <mergeCell ref="C57:E57"/>
    <mergeCell ref="F57:H57"/>
    <mergeCell ref="I57:K57"/>
    <mergeCell ref="L57:N57"/>
    <mergeCell ref="O57:Q57"/>
    <mergeCell ref="R57:S57"/>
    <mergeCell ref="C58:E58"/>
    <mergeCell ref="F58:H58"/>
    <mergeCell ref="I58:K58"/>
    <mergeCell ref="L58:N58"/>
    <mergeCell ref="O58:Q58"/>
    <mergeCell ref="R58:S58"/>
    <mergeCell ref="C59:E59"/>
    <mergeCell ref="F59:H59"/>
    <mergeCell ref="I59:K59"/>
    <mergeCell ref="L59:N59"/>
    <mergeCell ref="O59:Q59"/>
    <mergeCell ref="R59:S59"/>
    <mergeCell ref="C60:E60"/>
    <mergeCell ref="F60:H60"/>
    <mergeCell ref="I60:K60"/>
    <mergeCell ref="L60:N60"/>
    <mergeCell ref="O60:Q60"/>
    <mergeCell ref="R60:S60"/>
    <mergeCell ref="C61:E61"/>
    <mergeCell ref="F61:H61"/>
    <mergeCell ref="I61:K61"/>
    <mergeCell ref="L61:N61"/>
    <mergeCell ref="O61:Q61"/>
    <mergeCell ref="R61:S61"/>
    <mergeCell ref="C62:E62"/>
    <mergeCell ref="F62:H62"/>
    <mergeCell ref="I62:K62"/>
    <mergeCell ref="L62:N62"/>
    <mergeCell ref="O62:Q62"/>
    <mergeCell ref="R62:S62"/>
    <mergeCell ref="C63:E63"/>
    <mergeCell ref="F63:H63"/>
    <mergeCell ref="I63:K63"/>
    <mergeCell ref="L63:N63"/>
    <mergeCell ref="O63:Q63"/>
    <mergeCell ref="R63:S63"/>
    <mergeCell ref="C64:E64"/>
    <mergeCell ref="F64:H64"/>
    <mergeCell ref="I64:K64"/>
    <mergeCell ref="L64:N64"/>
    <mergeCell ref="O64:Q64"/>
    <mergeCell ref="R64:S64"/>
    <mergeCell ref="C65:E65"/>
    <mergeCell ref="F65:H65"/>
    <mergeCell ref="I65:K65"/>
    <mergeCell ref="L65:N65"/>
    <mergeCell ref="O65:Q65"/>
    <mergeCell ref="R65:S65"/>
    <mergeCell ref="C66:E66"/>
    <mergeCell ref="F66:H66"/>
    <mergeCell ref="I66:K66"/>
    <mergeCell ref="L66:N66"/>
    <mergeCell ref="O66:Q66"/>
    <mergeCell ref="R66:S66"/>
    <mergeCell ref="C67:E67"/>
    <mergeCell ref="F67:H67"/>
    <mergeCell ref="I67:K67"/>
    <mergeCell ref="L67:N67"/>
    <mergeCell ref="O67:Q67"/>
    <mergeCell ref="R67:S67"/>
    <mergeCell ref="C68:E68"/>
    <mergeCell ref="F68:H68"/>
    <mergeCell ref="I68:K68"/>
    <mergeCell ref="L68:N68"/>
    <mergeCell ref="O68:Q68"/>
    <mergeCell ref="R68:S68"/>
    <mergeCell ref="C69:E69"/>
    <mergeCell ref="F69:H69"/>
    <mergeCell ref="I69:K69"/>
    <mergeCell ref="L69:N69"/>
    <mergeCell ref="O69:Q69"/>
    <mergeCell ref="R69:S69"/>
    <mergeCell ref="C70:E70"/>
    <mergeCell ref="F70:H70"/>
    <mergeCell ref="I70:K70"/>
    <mergeCell ref="L70:N70"/>
    <mergeCell ref="O70:Q70"/>
    <mergeCell ref="R70:S70"/>
    <mergeCell ref="C71:E71"/>
    <mergeCell ref="F71:H71"/>
    <mergeCell ref="I71:K71"/>
    <mergeCell ref="L71:N71"/>
    <mergeCell ref="O71:Q71"/>
    <mergeCell ref="R71:S71"/>
    <mergeCell ref="C72:E72"/>
    <mergeCell ref="F72:H72"/>
    <mergeCell ref="I72:K72"/>
    <mergeCell ref="L72:N72"/>
    <mergeCell ref="O72:Q72"/>
    <mergeCell ref="R72:S72"/>
    <mergeCell ref="C73:E73"/>
    <mergeCell ref="F73:H73"/>
    <mergeCell ref="I73:K73"/>
    <mergeCell ref="L73:N73"/>
    <mergeCell ref="O73:Q73"/>
    <mergeCell ref="R73:S73"/>
    <mergeCell ref="C74:E74"/>
    <mergeCell ref="F74:H74"/>
    <mergeCell ref="I74:K74"/>
    <mergeCell ref="L74:N74"/>
    <mergeCell ref="O74:Q74"/>
    <mergeCell ref="R74:S74"/>
    <mergeCell ref="C75:E75"/>
    <mergeCell ref="F75:H75"/>
    <mergeCell ref="I75:K75"/>
    <mergeCell ref="L75:N75"/>
    <mergeCell ref="O75:Q75"/>
    <mergeCell ref="R75:S75"/>
    <mergeCell ref="C76:E76"/>
    <mergeCell ref="F76:H76"/>
    <mergeCell ref="I76:K76"/>
    <mergeCell ref="L76:N76"/>
    <mergeCell ref="O76:Q76"/>
    <mergeCell ref="R76:S76"/>
    <mergeCell ref="C77:E77"/>
    <mergeCell ref="F77:H77"/>
    <mergeCell ref="I77:K77"/>
    <mergeCell ref="L77:N77"/>
    <mergeCell ref="O77:Q77"/>
    <mergeCell ref="R77:S77"/>
    <mergeCell ref="C78:E78"/>
    <mergeCell ref="F78:H78"/>
    <mergeCell ref="I78:K78"/>
    <mergeCell ref="L78:N78"/>
    <mergeCell ref="O78:Q78"/>
    <mergeCell ref="R78:S78"/>
    <mergeCell ref="C79:E79"/>
    <mergeCell ref="F79:H79"/>
    <mergeCell ref="I79:K79"/>
    <mergeCell ref="L79:N79"/>
    <mergeCell ref="O79:Q79"/>
    <mergeCell ref="R79:S79"/>
    <mergeCell ref="C80:E80"/>
    <mergeCell ref="F80:H80"/>
    <mergeCell ref="I80:K80"/>
    <mergeCell ref="L80:N80"/>
    <mergeCell ref="O80:Q80"/>
    <mergeCell ref="R80:S80"/>
    <mergeCell ref="C81:E81"/>
    <mergeCell ref="F81:H81"/>
    <mergeCell ref="I81:K81"/>
    <mergeCell ref="L81:N81"/>
    <mergeCell ref="O81:Q81"/>
    <mergeCell ref="R81:S81"/>
    <mergeCell ref="C82:E82"/>
    <mergeCell ref="F82:H82"/>
    <mergeCell ref="I82:K82"/>
    <mergeCell ref="L82:N82"/>
    <mergeCell ref="O82:Q82"/>
    <mergeCell ref="R82:S82"/>
    <mergeCell ref="C83:E83"/>
    <mergeCell ref="F83:H83"/>
    <mergeCell ref="I83:K83"/>
    <mergeCell ref="L83:N83"/>
    <mergeCell ref="O83:Q83"/>
    <mergeCell ref="R83:S83"/>
    <mergeCell ref="C84:E84"/>
    <mergeCell ref="F84:H84"/>
    <mergeCell ref="I84:K84"/>
    <mergeCell ref="L84:N84"/>
    <mergeCell ref="O84:Q84"/>
    <mergeCell ref="R84:S84"/>
    <mergeCell ref="W84:Y84"/>
    <mergeCell ref="C85:E85"/>
    <mergeCell ref="F85:H85"/>
    <mergeCell ref="I85:K85"/>
    <mergeCell ref="L85:N85"/>
    <mergeCell ref="O85:Q85"/>
    <mergeCell ref="R85:S85"/>
    <mergeCell ref="C86:E86"/>
    <mergeCell ref="F86:H86"/>
    <mergeCell ref="I86:K86"/>
    <mergeCell ref="L86:N86"/>
    <mergeCell ref="O86:Q86"/>
    <mergeCell ref="R86:S86"/>
    <mergeCell ref="C87:E87"/>
    <mergeCell ref="F87:H87"/>
    <mergeCell ref="I87:K87"/>
    <mergeCell ref="L87:N87"/>
    <mergeCell ref="O87:Q87"/>
    <mergeCell ref="R87:S87"/>
    <mergeCell ref="C88:E88"/>
    <mergeCell ref="F88:H88"/>
    <mergeCell ref="I88:K88"/>
    <mergeCell ref="L88:N88"/>
    <mergeCell ref="O88:Q88"/>
    <mergeCell ref="R88:S88"/>
    <mergeCell ref="C89:E89"/>
    <mergeCell ref="F89:H89"/>
    <mergeCell ref="I89:K89"/>
    <mergeCell ref="L89:N89"/>
    <mergeCell ref="O89:Q89"/>
    <mergeCell ref="R89:S89"/>
    <mergeCell ref="C90:E90"/>
    <mergeCell ref="F90:H90"/>
    <mergeCell ref="I90:K90"/>
    <mergeCell ref="L90:N90"/>
    <mergeCell ref="O90:Q90"/>
    <mergeCell ref="R90:S90"/>
    <mergeCell ref="C91:E91"/>
    <mergeCell ref="F91:H91"/>
    <mergeCell ref="I91:K91"/>
    <mergeCell ref="L91:N91"/>
    <mergeCell ref="O91:Q91"/>
    <mergeCell ref="R91:S91"/>
    <mergeCell ref="C92:E92"/>
    <mergeCell ref="F92:H92"/>
    <mergeCell ref="I92:K92"/>
    <mergeCell ref="L92:N92"/>
    <mergeCell ref="O92:Q92"/>
    <mergeCell ref="R92:S92"/>
    <mergeCell ref="C93:E93"/>
    <mergeCell ref="F93:H93"/>
    <mergeCell ref="I93:K93"/>
    <mergeCell ref="L93:N93"/>
    <mergeCell ref="O93:Q93"/>
    <mergeCell ref="R93:S93"/>
    <mergeCell ref="C94:E94"/>
    <mergeCell ref="F94:H94"/>
    <mergeCell ref="I94:K94"/>
    <mergeCell ref="L94:N94"/>
    <mergeCell ref="O94:Q94"/>
    <mergeCell ref="R94:S94"/>
    <mergeCell ref="C95:E95"/>
    <mergeCell ref="F95:H95"/>
    <mergeCell ref="I95:K95"/>
    <mergeCell ref="L95:N95"/>
    <mergeCell ref="O95:Q95"/>
    <mergeCell ref="R95:S95"/>
    <mergeCell ref="C96:E96"/>
    <mergeCell ref="F96:H96"/>
    <mergeCell ref="I96:K96"/>
    <mergeCell ref="L96:N96"/>
    <mergeCell ref="O96:Q96"/>
    <mergeCell ref="R96:S96"/>
    <mergeCell ref="C97:E97"/>
    <mergeCell ref="F97:H97"/>
    <mergeCell ref="I97:K97"/>
    <mergeCell ref="L97:N97"/>
    <mergeCell ref="O97:Q97"/>
    <mergeCell ref="R97:S97"/>
    <mergeCell ref="C98:E98"/>
    <mergeCell ref="F98:H98"/>
    <mergeCell ref="I98:K98"/>
    <mergeCell ref="L98:N98"/>
    <mergeCell ref="O98:Q98"/>
    <mergeCell ref="R98:S98"/>
    <mergeCell ref="C99:E99"/>
    <mergeCell ref="F99:H99"/>
    <mergeCell ref="I99:K99"/>
    <mergeCell ref="L99:N99"/>
    <mergeCell ref="O99:Q99"/>
    <mergeCell ref="R99:S99"/>
    <mergeCell ref="C100:E100"/>
    <mergeCell ref="F100:H100"/>
    <mergeCell ref="I100:K100"/>
    <mergeCell ref="L100:N100"/>
    <mergeCell ref="O100:Q100"/>
    <mergeCell ref="R100:S100"/>
    <mergeCell ref="C101:E101"/>
    <mergeCell ref="F101:H101"/>
    <mergeCell ref="I101:K101"/>
    <mergeCell ref="L101:N101"/>
    <mergeCell ref="O101:Q101"/>
    <mergeCell ref="R101:S101"/>
    <mergeCell ref="C102:E102"/>
    <mergeCell ref="F102:H102"/>
    <mergeCell ref="I102:K102"/>
    <mergeCell ref="L102:N102"/>
    <mergeCell ref="O102:Q102"/>
    <mergeCell ref="R102:S102"/>
    <mergeCell ref="C103:E103"/>
    <mergeCell ref="F103:H103"/>
    <mergeCell ref="I103:K103"/>
    <mergeCell ref="L103:N103"/>
    <mergeCell ref="O103:Q103"/>
    <mergeCell ref="R103:S103"/>
    <mergeCell ref="C104:E104"/>
    <mergeCell ref="F104:H104"/>
    <mergeCell ref="I104:K104"/>
    <mergeCell ref="L104:N104"/>
    <mergeCell ref="O104:Q104"/>
    <mergeCell ref="R104:S104"/>
    <mergeCell ref="C105:E105"/>
    <mergeCell ref="F105:H105"/>
    <mergeCell ref="I105:K105"/>
    <mergeCell ref="L105:N105"/>
    <mergeCell ref="O105:Q105"/>
    <mergeCell ref="R105:S105"/>
    <mergeCell ref="C106:E106"/>
    <mergeCell ref="F106:H106"/>
    <mergeCell ref="I106:K106"/>
    <mergeCell ref="L106:N106"/>
    <mergeCell ref="O106:Q106"/>
    <mergeCell ref="R106:S106"/>
    <mergeCell ref="C107:E107"/>
    <mergeCell ref="F107:H107"/>
    <mergeCell ref="I107:K107"/>
    <mergeCell ref="L107:N107"/>
    <mergeCell ref="O107:Q107"/>
    <mergeCell ref="R107:S107"/>
    <mergeCell ref="C108:E108"/>
    <mergeCell ref="F108:H108"/>
    <mergeCell ref="I108:K108"/>
    <mergeCell ref="L108:N108"/>
    <mergeCell ref="O108:Q108"/>
    <mergeCell ref="R108:S108"/>
    <mergeCell ref="W108:Y108"/>
    <mergeCell ref="C109:E109"/>
    <mergeCell ref="F109:H109"/>
    <mergeCell ref="I109:K109"/>
    <mergeCell ref="L109:N109"/>
    <mergeCell ref="O109:Q109"/>
    <mergeCell ref="R109:S109"/>
    <mergeCell ref="C110:E110"/>
    <mergeCell ref="F110:H110"/>
    <mergeCell ref="I110:K110"/>
    <mergeCell ref="L110:N110"/>
    <mergeCell ref="O110:Q110"/>
    <mergeCell ref="R110:S110"/>
    <mergeCell ref="C111:E111"/>
    <mergeCell ref="F111:H111"/>
    <mergeCell ref="I111:K111"/>
    <mergeCell ref="L111:N111"/>
    <mergeCell ref="O111:Q111"/>
    <mergeCell ref="R111:S111"/>
    <mergeCell ref="C112:E112"/>
    <mergeCell ref="F112:H112"/>
    <mergeCell ref="I112:K112"/>
    <mergeCell ref="L112:N112"/>
    <mergeCell ref="O112:Q112"/>
    <mergeCell ref="R112:S112"/>
    <mergeCell ref="C113:E113"/>
    <mergeCell ref="F113:H113"/>
    <mergeCell ref="I113:K113"/>
    <mergeCell ref="L113:N113"/>
    <mergeCell ref="O113:Q113"/>
    <mergeCell ref="R113:S113"/>
    <mergeCell ref="C114:E114"/>
    <mergeCell ref="F114:H114"/>
    <mergeCell ref="I114:K114"/>
    <mergeCell ref="L114:N114"/>
    <mergeCell ref="O114:Q114"/>
    <mergeCell ref="R114:S114"/>
    <mergeCell ref="A2:U3"/>
  </mergeCells>
  <conditionalFormatting sqref="C15:E114">
    <cfRule type="duplicateValues" dxfId="1" priority="2"/>
  </conditionalFormatting>
  <dataValidations count="2">
    <dataValidation type="textLength" operator="equal" showInputMessage="1" showErrorMessage="1" sqref="C15:E114">
      <formula1>11</formula1>
    </dataValidation>
    <dataValidation type="date" operator="between" allowBlank="1" showInputMessage="1" showErrorMessage="1" sqref="R15:S114">
      <formula1>36526</formula1>
      <formula2>40179</formula2>
    </dataValidation>
  </dataValidation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30"/>
  <sheetViews>
    <sheetView zoomScale="86" zoomScaleNormal="86" topLeftCell="A13" workbookViewId="0">
      <selection activeCell="N13" sqref="N13:N16"/>
    </sheetView>
  </sheetViews>
  <sheetFormatPr defaultColWidth="9" defaultRowHeight="14.4"/>
  <cols>
    <col min="4" max="4" width="5.62962962962963" style="1" customWidth="1"/>
    <col min="5" max="5" width="12" style="1" customWidth="1"/>
    <col min="6" max="6" width="25.9074074074074" style="1" customWidth="1"/>
    <col min="7" max="7" width="12.6296296296296" style="1" customWidth="1"/>
    <col min="8" max="8" width="11.7222222222222" style="1" customWidth="1"/>
    <col min="9" max="9" width="9.72222222222222" style="1" customWidth="1"/>
    <col min="10" max="10" width="10.5462962962963" style="1" customWidth="1"/>
    <col min="11" max="11" width="13.7222222222222" style="1" customWidth="1"/>
    <col min="12" max="12" width="8.90740740740741" style="1" customWidth="1"/>
    <col min="13" max="13" width="9.4537037037037" style="1" customWidth="1"/>
    <col min="14" max="14" width="10.5462962962963" style="1" customWidth="1"/>
    <col min="15" max="15" width="13.1759259259259" style="1" customWidth="1"/>
  </cols>
  <sheetData>
    <row r="1" ht="14.25" customHeight="1" spans="1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1:17">
      <c r="C2" s="9"/>
      <c r="D2" s="11" t="s">
        <v>26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1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1:17">
      <c r="C4" s="9"/>
      <c r="D4" s="12" t="s">
        <v>27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1:17">
      <c r="C5" s="9"/>
      <c r="D5" s="13" t="s">
        <v>28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1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1:17">
      <c r="C7" s="9"/>
      <c r="D7" s="9"/>
      <c r="E7" s="9"/>
      <c r="F7" s="9"/>
      <c r="G7" s="13" t="s">
        <v>30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1:17">
      <c r="C8" s="9"/>
      <c r="D8" s="16" t="s">
        <v>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1:17">
      <c r="C9" s="10"/>
      <c r="D9" s="16" t="s">
        <v>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14.25" customHeight="1" spans="1:17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ht="14.25" customHeight="1" spans="1:17">
      <c r="A11" s="38" t="s">
        <v>584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ht="14.25" customHeight="1" spans="1:17">
      <c r="E12" s="39"/>
      <c r="F12" s="39"/>
      <c r="G12" s="39"/>
    </row>
    <row r="13" ht="25.5" customHeight="1" spans="1:17">
      <c r="D13" s="40" t="s">
        <v>41</v>
      </c>
      <c r="E13" s="40" t="s">
        <v>585</v>
      </c>
      <c r="F13" s="40" t="s">
        <v>586</v>
      </c>
      <c r="G13" s="41" t="s">
        <v>587</v>
      </c>
      <c r="H13" s="41"/>
      <c r="I13" s="41"/>
      <c r="J13" s="41"/>
      <c r="K13" s="41"/>
      <c r="L13" s="41"/>
      <c r="M13" s="42" t="s">
        <v>24</v>
      </c>
      <c r="N13" s="43" t="s">
        <v>588</v>
      </c>
    </row>
    <row r="14" ht="14.25" customHeight="1" spans="1:17">
      <c r="D14" s="40"/>
      <c r="E14" s="40"/>
      <c r="F14" s="40"/>
      <c r="G14" s="44" t="s">
        <v>589</v>
      </c>
      <c r="H14" s="44"/>
      <c r="I14" s="44"/>
      <c r="J14" s="44"/>
      <c r="K14" s="45" t="s">
        <v>590</v>
      </c>
      <c r="L14" s="45"/>
      <c r="M14" s="42"/>
      <c r="N14" s="42"/>
    </row>
    <row r="15" ht="14.25" customHeight="1" spans="1:17">
      <c r="D15" s="40"/>
      <c r="E15" s="40"/>
      <c r="F15" s="40"/>
      <c r="G15" s="46" t="s">
        <v>591</v>
      </c>
      <c r="H15" s="46"/>
      <c r="I15" s="46"/>
      <c r="J15" s="46"/>
      <c r="K15" s="47" t="s">
        <v>592</v>
      </c>
      <c r="L15" s="47"/>
      <c r="M15" s="42"/>
      <c r="N15" s="42"/>
    </row>
    <row r="16" ht="41.25" customHeight="1" spans="1:17">
      <c r="D16" s="40"/>
      <c r="E16" s="40"/>
      <c r="F16" s="40"/>
      <c r="G16" s="48" t="s">
        <v>593</v>
      </c>
      <c r="H16" s="48" t="s">
        <v>594</v>
      </c>
      <c r="I16" s="49" t="s">
        <v>595</v>
      </c>
      <c r="J16" s="48" t="s">
        <v>596</v>
      </c>
      <c r="K16" s="50" t="s">
        <v>597</v>
      </c>
      <c r="L16" s="51" t="s">
        <v>598</v>
      </c>
      <c r="M16" s="42"/>
      <c r="N16" s="42"/>
    </row>
    <row r="17" ht="14.25" customHeight="1" spans="4:14">
      <c r="D17" s="40"/>
      <c r="E17" s="40"/>
      <c r="F17" s="40"/>
      <c r="G17" s="52"/>
      <c r="H17" s="52"/>
      <c r="I17" s="49"/>
      <c r="J17" s="48"/>
      <c r="K17" s="53"/>
      <c r="L17" s="54"/>
      <c r="M17" s="42"/>
      <c r="N17" s="43"/>
    </row>
    <row r="18" ht="14.25" customHeight="1" spans="4:14">
      <c r="D18" s="55">
        <v>1</v>
      </c>
      <c r="E18" s="55">
        <v>25241101</v>
      </c>
      <c r="F18" s="56" t="s">
        <v>599</v>
      </c>
      <c r="G18" s="57">
        <v>20</v>
      </c>
      <c r="H18" s="57">
        <v>20</v>
      </c>
      <c r="I18" s="57">
        <v>30</v>
      </c>
      <c r="J18" s="57">
        <v>30</v>
      </c>
      <c r="K18" s="58" t="s">
        <v>600</v>
      </c>
      <c r="L18" s="58" t="s">
        <v>600</v>
      </c>
      <c r="M18" s="55">
        <f t="shared" ref="M18:M28" si="0">SUM(G18:L18)</f>
        <v>100</v>
      </c>
      <c r="N18" s="59">
        <v>3</v>
      </c>
    </row>
    <row r="19" ht="14.25" customHeight="1" spans="4:14">
      <c r="D19" s="55">
        <v>2</v>
      </c>
      <c r="E19" s="55">
        <v>25241102</v>
      </c>
      <c r="F19" s="56" t="s">
        <v>601</v>
      </c>
      <c r="G19" s="57">
        <v>20</v>
      </c>
      <c r="H19" s="57">
        <v>20</v>
      </c>
      <c r="I19" s="57">
        <v>30</v>
      </c>
      <c r="J19" s="57">
        <v>30</v>
      </c>
      <c r="K19" s="58" t="s">
        <v>600</v>
      </c>
      <c r="L19" s="58" t="s">
        <v>600</v>
      </c>
      <c r="M19" s="55">
        <f t="shared" si="0"/>
        <v>100</v>
      </c>
      <c r="N19" s="59">
        <v>2</v>
      </c>
    </row>
    <row r="20" ht="14.25" customHeight="1" spans="4:14">
      <c r="D20" s="55">
        <v>3</v>
      </c>
      <c r="E20" s="55">
        <v>25241103</v>
      </c>
      <c r="F20" s="56" t="s">
        <v>602</v>
      </c>
      <c r="G20" s="57">
        <v>20</v>
      </c>
      <c r="H20" s="57">
        <v>20</v>
      </c>
      <c r="I20" s="57">
        <v>30</v>
      </c>
      <c r="J20" s="57">
        <v>30</v>
      </c>
      <c r="K20" s="58" t="s">
        <v>600</v>
      </c>
      <c r="L20" s="58" t="s">
        <v>600</v>
      </c>
      <c r="M20" s="55">
        <f t="shared" si="0"/>
        <v>100</v>
      </c>
      <c r="N20" s="59">
        <v>3</v>
      </c>
    </row>
    <row r="21" ht="14.25" customHeight="1" spans="4:14">
      <c r="D21" s="55">
        <v>4</v>
      </c>
      <c r="E21" s="55">
        <v>25241104</v>
      </c>
      <c r="F21" s="56" t="s">
        <v>603</v>
      </c>
      <c r="G21" s="57">
        <v>20</v>
      </c>
      <c r="H21" s="57">
        <v>20</v>
      </c>
      <c r="I21" s="57">
        <v>30</v>
      </c>
      <c r="J21" s="57">
        <v>30</v>
      </c>
      <c r="K21" s="58" t="s">
        <v>600</v>
      </c>
      <c r="L21" s="58" t="s">
        <v>600</v>
      </c>
      <c r="M21" s="55">
        <f t="shared" si="0"/>
        <v>100</v>
      </c>
      <c r="N21" s="59">
        <v>3</v>
      </c>
    </row>
    <row r="22" ht="14.25" customHeight="1" spans="4:14">
      <c r="D22" s="55">
        <v>5</v>
      </c>
      <c r="E22" s="55">
        <v>25241105</v>
      </c>
      <c r="F22" s="56" t="s">
        <v>604</v>
      </c>
      <c r="G22" s="57">
        <v>20</v>
      </c>
      <c r="H22" s="57">
        <v>20</v>
      </c>
      <c r="I22" s="57">
        <v>30</v>
      </c>
      <c r="J22" s="57">
        <v>30</v>
      </c>
      <c r="K22" s="58" t="s">
        <v>600</v>
      </c>
      <c r="L22" s="58" t="s">
        <v>600</v>
      </c>
      <c r="M22" s="55">
        <f t="shared" si="0"/>
        <v>100</v>
      </c>
      <c r="N22" s="59">
        <v>3</v>
      </c>
    </row>
    <row r="23" ht="14.25" customHeight="1" spans="4:14">
      <c r="D23" s="55">
        <v>6</v>
      </c>
      <c r="E23" s="55">
        <v>25241106</v>
      </c>
      <c r="F23" s="56" t="s">
        <v>605</v>
      </c>
      <c r="G23" s="57" t="s">
        <v>600</v>
      </c>
      <c r="H23" s="57" t="s">
        <v>600</v>
      </c>
      <c r="I23" s="57" t="s">
        <v>600</v>
      </c>
      <c r="J23" s="57" t="s">
        <v>600</v>
      </c>
      <c r="K23" s="58">
        <v>70</v>
      </c>
      <c r="L23" s="58">
        <v>30</v>
      </c>
      <c r="M23" s="55">
        <f t="shared" si="0"/>
        <v>100</v>
      </c>
      <c r="N23" s="59">
        <v>1</v>
      </c>
    </row>
    <row r="24" ht="14.25" customHeight="1" spans="4:14">
      <c r="D24" s="55">
        <v>7</v>
      </c>
      <c r="E24" s="55">
        <v>25241107</v>
      </c>
      <c r="F24" s="56" t="s">
        <v>606</v>
      </c>
      <c r="G24" s="57" t="s">
        <v>600</v>
      </c>
      <c r="H24" s="57" t="s">
        <v>600</v>
      </c>
      <c r="I24" s="57" t="s">
        <v>600</v>
      </c>
      <c r="J24" s="57" t="s">
        <v>600</v>
      </c>
      <c r="K24" s="58">
        <v>70</v>
      </c>
      <c r="L24" s="58">
        <v>30</v>
      </c>
      <c r="M24" s="55">
        <f t="shared" si="0"/>
        <v>100</v>
      </c>
      <c r="N24" s="59">
        <v>1</v>
      </c>
    </row>
    <row r="25" ht="14.25" customHeight="1" spans="4:14">
      <c r="D25" s="55">
        <v>8</v>
      </c>
      <c r="E25" s="55">
        <v>25241108</v>
      </c>
      <c r="F25" s="56" t="s">
        <v>607</v>
      </c>
      <c r="G25" s="57" t="s">
        <v>600</v>
      </c>
      <c r="H25" s="57" t="s">
        <v>600</v>
      </c>
      <c r="I25" s="57" t="s">
        <v>600</v>
      </c>
      <c r="J25" s="57" t="s">
        <v>600</v>
      </c>
      <c r="K25" s="58">
        <v>50</v>
      </c>
      <c r="L25" s="58" t="s">
        <v>600</v>
      </c>
      <c r="M25" s="55">
        <f t="shared" si="0"/>
        <v>50</v>
      </c>
      <c r="N25" s="59">
        <v>1</v>
      </c>
    </row>
    <row r="26" ht="14.25" customHeight="1" spans="4:14">
      <c r="D26" s="55">
        <v>9</v>
      </c>
      <c r="E26" s="55">
        <v>25241109</v>
      </c>
      <c r="F26" s="56" t="s">
        <v>608</v>
      </c>
      <c r="G26" s="57" t="s">
        <v>600</v>
      </c>
      <c r="H26" s="57" t="s">
        <v>600</v>
      </c>
      <c r="I26" s="57" t="s">
        <v>600</v>
      </c>
      <c r="J26" s="57" t="s">
        <v>600</v>
      </c>
      <c r="K26" s="58">
        <v>70</v>
      </c>
      <c r="L26" s="58">
        <v>30</v>
      </c>
      <c r="M26" s="55">
        <f t="shared" si="0"/>
        <v>100</v>
      </c>
      <c r="N26" s="59">
        <v>1</v>
      </c>
    </row>
    <row r="27" ht="14.25" customHeight="1" spans="4:14">
      <c r="D27" s="55">
        <v>10</v>
      </c>
      <c r="E27" s="55">
        <v>25241110</v>
      </c>
      <c r="F27" s="56" t="s">
        <v>609</v>
      </c>
      <c r="G27" s="57" t="s">
        <v>600</v>
      </c>
      <c r="H27" s="57" t="s">
        <v>600</v>
      </c>
      <c r="I27" s="57" t="s">
        <v>600</v>
      </c>
      <c r="J27" s="57" t="s">
        <v>600</v>
      </c>
      <c r="K27" s="58">
        <v>70</v>
      </c>
      <c r="L27" s="58">
        <v>30</v>
      </c>
      <c r="M27" s="55">
        <f t="shared" si="0"/>
        <v>100</v>
      </c>
      <c r="N27" s="59">
        <v>1</v>
      </c>
    </row>
    <row r="28" ht="14.25" customHeight="1" spans="4:14">
      <c r="D28" s="55">
        <v>11</v>
      </c>
      <c r="E28" s="55" t="s">
        <v>610</v>
      </c>
      <c r="F28" s="56" t="s">
        <v>611</v>
      </c>
      <c r="G28" s="57" t="s">
        <v>600</v>
      </c>
      <c r="H28" s="57" t="s">
        <v>600</v>
      </c>
      <c r="I28" s="57" t="s">
        <v>600</v>
      </c>
      <c r="J28" s="57" t="s">
        <v>600</v>
      </c>
      <c r="K28" s="58" t="s">
        <v>600</v>
      </c>
      <c r="L28" s="58">
        <v>50</v>
      </c>
      <c r="M28" s="55">
        <f t="shared" si="0"/>
        <v>50</v>
      </c>
      <c r="N28" s="59">
        <v>1</v>
      </c>
    </row>
    <row r="29" ht="14.25" customHeight="1" spans="4:14">
      <c r="D29" s="60" t="s">
        <v>44</v>
      </c>
      <c r="E29" s="61"/>
      <c r="F29" s="62"/>
      <c r="G29" s="63">
        <f t="shared" ref="G29:N29" si="1">SUM(G18:G28)</f>
        <v>100</v>
      </c>
      <c r="H29" s="63">
        <f t="shared" si="1"/>
        <v>100</v>
      </c>
      <c r="I29" s="63">
        <f t="shared" si="1"/>
        <v>150</v>
      </c>
      <c r="J29" s="63">
        <f t="shared" si="1"/>
        <v>150</v>
      </c>
      <c r="K29" s="63">
        <f t="shared" si="1"/>
        <v>330</v>
      </c>
      <c r="L29" s="63">
        <f t="shared" si="1"/>
        <v>170</v>
      </c>
      <c r="M29" s="63">
        <f t="shared" si="1"/>
        <v>1000</v>
      </c>
      <c r="N29" s="63">
        <f t="shared" si="1"/>
        <v>20</v>
      </c>
    </row>
    <row r="30" ht="41.25" customHeight="1" spans="4:14">
      <c r="D30" s="40">
        <v>12</v>
      </c>
      <c r="E30" s="40">
        <v>25241111</v>
      </c>
      <c r="F30" s="64" t="s">
        <v>612</v>
      </c>
      <c r="G30" s="46">
        <v>20</v>
      </c>
      <c r="H30" s="46">
        <v>20</v>
      </c>
      <c r="I30" s="46">
        <v>30</v>
      </c>
      <c r="J30" s="46">
        <v>30</v>
      </c>
      <c r="K30" s="65"/>
      <c r="L30" s="65"/>
      <c r="M30" s="40">
        <v>100</v>
      </c>
      <c r="N30" s="43" t="s">
        <v>48</v>
      </c>
    </row>
  </sheetData>
  <mergeCells count="18">
    <mergeCell ref="D4:Q4"/>
    <mergeCell ref="D5:Q5"/>
    <mergeCell ref="D6:Q6"/>
    <mergeCell ref="G7:L7"/>
    <mergeCell ref="D8:Q8"/>
    <mergeCell ref="D9:Q9"/>
    <mergeCell ref="A11:Q11"/>
    <mergeCell ref="G13:L13"/>
    <mergeCell ref="G14:J14"/>
    <mergeCell ref="K14:L14"/>
    <mergeCell ref="G15:J15"/>
    <mergeCell ref="K15:L15"/>
    <mergeCell ref="D13:D17"/>
    <mergeCell ref="E13:E17"/>
    <mergeCell ref="F13:F17"/>
    <mergeCell ref="M13:M16"/>
    <mergeCell ref="N13:N16"/>
    <mergeCell ref="D2:Q3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C1:S114"/>
  <sheetViews>
    <sheetView zoomScale="80" zoomScaleNormal="80" topLeftCell="B1" workbookViewId="0">
      <selection activeCell="G31" sqref="G31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6.8055555555556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  <col min="19" max="19" width="9.09259259259259" style="1" customWidth="1"/>
  </cols>
  <sheetData>
    <row r="1" ht="11.25" customHeight="1" spans="3:17"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ht="14.25" customHeight="1" spans="3:17">
      <c r="C2" s="9"/>
      <c r="D2" s="32" t="s">
        <v>613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ht="14.25" customHeight="1" spans="3:17">
      <c r="C3" s="9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ht="21" customHeight="1" spans="3:17">
      <c r="C4" s="9"/>
      <c r="D4" s="12" t="s">
        <v>614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615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616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15"/>
      <c r="E7" s="15"/>
      <c r="F7" s="15"/>
      <c r="G7" s="13" t="s">
        <v>617</v>
      </c>
      <c r="H7" s="13"/>
      <c r="I7" s="13"/>
      <c r="J7" s="13"/>
      <c r="K7" s="13"/>
      <c r="L7" s="13"/>
      <c r="M7" s="15"/>
      <c r="N7" s="15"/>
      <c r="O7" s="15"/>
      <c r="P7" s="15"/>
      <c r="Q7" s="27"/>
    </row>
    <row r="8" ht="21" customHeight="1" spans="3:17">
      <c r="C8" s="9"/>
      <c r="D8" s="16" t="s">
        <v>618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619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D11" s="10"/>
      <c r="E11" s="35">
        <v>25241101</v>
      </c>
      <c r="F11" s="35" t="s">
        <v>620</v>
      </c>
      <c r="G11" s="35"/>
      <c r="H11" s="35" t="s">
        <v>621</v>
      </c>
      <c r="I11" s="35"/>
      <c r="J11" s="10"/>
      <c r="K11" s="10"/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622</v>
      </c>
      <c r="G12" s="18" t="s">
        <v>623</v>
      </c>
      <c r="H12" s="18" t="s">
        <v>624</v>
      </c>
      <c r="I12" s="18" t="s">
        <v>625</v>
      </c>
      <c r="J12" s="18" t="s">
        <v>626</v>
      </c>
      <c r="K12" s="18" t="s">
        <v>627</v>
      </c>
      <c r="L12" s="18" t="s">
        <v>75</v>
      </c>
      <c r="M12" s="18" t="s">
        <v>47</v>
      </c>
      <c r="N12" s="18" t="s">
        <v>77</v>
      </c>
    </row>
    <row r="13" ht="14.25" customHeight="1" spans="3:17">
      <c r="D13" s="19"/>
      <c r="E13" s="19"/>
      <c r="F13" s="20">
        <v>20</v>
      </c>
      <c r="G13" s="20">
        <v>20</v>
      </c>
      <c r="H13" s="20">
        <v>10</v>
      </c>
      <c r="I13" s="20">
        <v>20</v>
      </c>
      <c r="J13" s="20">
        <v>30</v>
      </c>
      <c r="K13" s="20">
        <v>30</v>
      </c>
      <c r="L13" s="20">
        <v>100</v>
      </c>
      <c r="M13" s="20">
        <v>3</v>
      </c>
      <c r="N13" s="20" t="s">
        <v>79</v>
      </c>
    </row>
    <row r="14" ht="14.25" customHeight="1" spans="3:17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4.25" customHeight="1" spans="3:17">
      <c r="D15" s="19">
        <v>1</v>
      </c>
      <c r="E15" s="22" t="s">
        <v>90</v>
      </c>
      <c r="F15" s="19">
        <v>1</v>
      </c>
      <c r="G15" s="19">
        <v>20</v>
      </c>
      <c r="H15" s="19">
        <v>10</v>
      </c>
      <c r="I15" s="19">
        <v>20</v>
      </c>
      <c r="J15" s="19">
        <f t="shared" ref="J15:J78" si="0">H15+I15</f>
        <v>30</v>
      </c>
      <c r="K15" s="19">
        <v>9</v>
      </c>
      <c r="L15" s="36">
        <f t="shared" ref="L15:L78" si="1">F15+G15+J15+K15</f>
        <v>60</v>
      </c>
      <c r="M15" s="19">
        <f t="shared" ref="M15:M78" si="2">IF(L15&gt;75,3,IF(L15&gt;50,2,IF(L15&gt;35,1,0)))</f>
        <v>2</v>
      </c>
      <c r="N15" s="19" t="str">
        <f t="shared" ref="N15:N77" si="3">IF(L15&lt;35,"FAIL","PASS")</f>
        <v>PASS</v>
      </c>
    </row>
    <row r="16" ht="14.25" customHeight="1" spans="3:17">
      <c r="D16" s="19">
        <v>2</v>
      </c>
      <c r="E16" s="22" t="s">
        <v>97</v>
      </c>
      <c r="F16" s="19">
        <v>2</v>
      </c>
      <c r="G16" s="19">
        <v>11</v>
      </c>
      <c r="H16" s="19">
        <v>6</v>
      </c>
      <c r="I16" s="19">
        <v>1</v>
      </c>
      <c r="J16" s="19">
        <f t="shared" si="0"/>
        <v>7</v>
      </c>
      <c r="K16" s="19">
        <v>6</v>
      </c>
      <c r="L16" s="36">
        <f t="shared" si="1"/>
        <v>26</v>
      </c>
      <c r="M16" s="19">
        <f t="shared" si="2"/>
        <v>0</v>
      </c>
      <c r="N16" s="19" t="str">
        <f t="shared" si="3"/>
        <v>FAIL</v>
      </c>
      <c r="P16" s="25" t="s">
        <v>628</v>
      </c>
      <c r="Q16" s="25"/>
    </row>
    <row r="17" ht="14.25" customHeight="1" spans="4:19">
      <c r="D17" s="19">
        <v>3</v>
      </c>
      <c r="E17" s="22" t="s">
        <v>102</v>
      </c>
      <c r="F17" s="19">
        <v>17</v>
      </c>
      <c r="G17" s="19">
        <v>13</v>
      </c>
      <c r="H17" s="19">
        <v>5</v>
      </c>
      <c r="I17" s="19">
        <v>2</v>
      </c>
      <c r="J17" s="19">
        <f t="shared" si="0"/>
        <v>7</v>
      </c>
      <c r="K17" s="19">
        <v>7</v>
      </c>
      <c r="L17" s="36">
        <f t="shared" si="1"/>
        <v>44</v>
      </c>
      <c r="M17" s="19">
        <f t="shared" si="2"/>
        <v>1</v>
      </c>
      <c r="N17" s="19" t="str">
        <f t="shared" si="3"/>
        <v>PASS</v>
      </c>
      <c r="P17" s="37" t="s">
        <v>629</v>
      </c>
      <c r="Q17" s="1">
        <f>COUNTIF(N15:N114,"PASS")</f>
        <v>78</v>
      </c>
      <c r="R17" s="37"/>
      <c r="S17" s="37"/>
    </row>
    <row r="18" ht="14.25" customHeight="1" spans="4:19">
      <c r="D18" s="19">
        <v>4</v>
      </c>
      <c r="E18" s="22" t="s">
        <v>107</v>
      </c>
      <c r="F18" s="19">
        <v>13</v>
      </c>
      <c r="G18" s="19">
        <v>5</v>
      </c>
      <c r="H18" s="19">
        <v>1</v>
      </c>
      <c r="I18" s="19">
        <v>10</v>
      </c>
      <c r="J18" s="19">
        <f t="shared" si="0"/>
        <v>11</v>
      </c>
      <c r="K18" s="19">
        <v>28</v>
      </c>
      <c r="L18" s="36">
        <f t="shared" si="1"/>
        <v>57</v>
      </c>
      <c r="M18" s="19">
        <f t="shared" si="2"/>
        <v>2</v>
      </c>
      <c r="N18" s="19" t="str">
        <f t="shared" si="3"/>
        <v>PASS</v>
      </c>
      <c r="P18" s="1" t="s">
        <v>630</v>
      </c>
      <c r="Q18" s="1">
        <f>COUNTIF(N15:N114,"FAIL")</f>
        <v>22</v>
      </c>
    </row>
    <row r="19" ht="14.25" customHeight="1" spans="4:19">
      <c r="D19" s="19">
        <v>5</v>
      </c>
      <c r="E19" s="22" t="s">
        <v>112</v>
      </c>
      <c r="F19" s="19">
        <v>9</v>
      </c>
      <c r="G19" s="19">
        <v>17</v>
      </c>
      <c r="H19" s="19">
        <v>8</v>
      </c>
      <c r="I19" s="19">
        <v>3</v>
      </c>
      <c r="J19" s="19">
        <f t="shared" si="0"/>
        <v>11</v>
      </c>
      <c r="K19" s="19">
        <v>17</v>
      </c>
      <c r="L19" s="36">
        <f t="shared" si="1"/>
        <v>54</v>
      </c>
      <c r="M19" s="19">
        <f t="shared" si="2"/>
        <v>2</v>
      </c>
      <c r="N19" s="19" t="str">
        <f t="shared" si="3"/>
        <v>PASS</v>
      </c>
    </row>
    <row r="20" ht="14.25" customHeight="1" spans="4:19">
      <c r="D20" s="19">
        <v>6</v>
      </c>
      <c r="E20" s="22" t="s">
        <v>117</v>
      </c>
      <c r="F20" s="19">
        <v>13</v>
      </c>
      <c r="G20" s="19">
        <v>16</v>
      </c>
      <c r="H20" s="19">
        <v>3</v>
      </c>
      <c r="I20" s="19">
        <v>1</v>
      </c>
      <c r="J20" s="19">
        <f t="shared" si="0"/>
        <v>4</v>
      </c>
      <c r="K20" s="19">
        <v>9</v>
      </c>
      <c r="L20" s="36">
        <f t="shared" si="1"/>
        <v>42</v>
      </c>
      <c r="M20" s="19">
        <f t="shared" si="2"/>
        <v>1</v>
      </c>
      <c r="N20" s="19" t="str">
        <f t="shared" si="3"/>
        <v>PASS</v>
      </c>
    </row>
    <row r="21" ht="14.25" customHeight="1" spans="4:19">
      <c r="D21" s="19">
        <v>7</v>
      </c>
      <c r="E21" s="22" t="s">
        <v>122</v>
      </c>
      <c r="F21" s="19">
        <v>8</v>
      </c>
      <c r="G21" s="19">
        <v>6</v>
      </c>
      <c r="H21" s="19">
        <v>0</v>
      </c>
      <c r="I21" s="19">
        <v>20</v>
      </c>
      <c r="J21" s="19">
        <f t="shared" si="0"/>
        <v>20</v>
      </c>
      <c r="K21" s="19">
        <v>23</v>
      </c>
      <c r="L21" s="36">
        <f t="shared" si="1"/>
        <v>57</v>
      </c>
      <c r="M21" s="19">
        <f t="shared" si="2"/>
        <v>2</v>
      </c>
      <c r="N21" s="19" t="str">
        <f t="shared" si="3"/>
        <v>PASS</v>
      </c>
    </row>
    <row r="22" ht="14.25" customHeight="1" spans="4:19">
      <c r="D22" s="19">
        <v>8</v>
      </c>
      <c r="E22" s="22" t="s">
        <v>127</v>
      </c>
      <c r="F22" s="19">
        <v>7</v>
      </c>
      <c r="G22" s="19">
        <v>18</v>
      </c>
      <c r="H22" s="19">
        <v>0</v>
      </c>
      <c r="I22" s="19">
        <v>2</v>
      </c>
      <c r="J22" s="19">
        <f t="shared" si="0"/>
        <v>2</v>
      </c>
      <c r="K22" s="19">
        <v>16</v>
      </c>
      <c r="L22" s="36">
        <f t="shared" si="1"/>
        <v>43</v>
      </c>
      <c r="M22" s="19">
        <f t="shared" si="2"/>
        <v>1</v>
      </c>
      <c r="N22" s="19" t="str">
        <f t="shared" si="3"/>
        <v>PASS</v>
      </c>
    </row>
    <row r="23" ht="14.25" customHeight="1" spans="4:19">
      <c r="D23" s="19">
        <v>9</v>
      </c>
      <c r="E23" s="22" t="s">
        <v>132</v>
      </c>
      <c r="F23" s="19">
        <v>14</v>
      </c>
      <c r="G23" s="19">
        <v>18</v>
      </c>
      <c r="H23" s="19">
        <v>5</v>
      </c>
      <c r="I23" s="19">
        <v>16</v>
      </c>
      <c r="J23" s="19">
        <f t="shared" si="0"/>
        <v>21</v>
      </c>
      <c r="K23" s="19">
        <v>17</v>
      </c>
      <c r="L23" s="36">
        <f t="shared" si="1"/>
        <v>70</v>
      </c>
      <c r="M23" s="19">
        <f t="shared" si="2"/>
        <v>2</v>
      </c>
      <c r="N23" s="19" t="str">
        <f t="shared" si="3"/>
        <v>PASS</v>
      </c>
    </row>
    <row r="24" ht="14.25" customHeight="1" spans="4:19">
      <c r="D24" s="19">
        <v>10</v>
      </c>
      <c r="E24" s="22" t="s">
        <v>137</v>
      </c>
      <c r="F24" s="19">
        <v>7</v>
      </c>
      <c r="G24" s="19">
        <v>13</v>
      </c>
      <c r="H24" s="19">
        <v>4</v>
      </c>
      <c r="I24" s="19">
        <v>9</v>
      </c>
      <c r="J24" s="19">
        <f t="shared" si="0"/>
        <v>13</v>
      </c>
      <c r="K24" s="19">
        <v>20</v>
      </c>
      <c r="L24" s="36">
        <f t="shared" si="1"/>
        <v>53</v>
      </c>
      <c r="M24" s="19">
        <f t="shared" si="2"/>
        <v>2</v>
      </c>
      <c r="N24" s="19" t="str">
        <f t="shared" si="3"/>
        <v>PASS</v>
      </c>
    </row>
    <row r="25" ht="14.25" customHeight="1" spans="4:19">
      <c r="D25" s="19">
        <v>11</v>
      </c>
      <c r="E25" s="22" t="s">
        <v>141</v>
      </c>
      <c r="F25" s="19">
        <v>1</v>
      </c>
      <c r="G25" s="19">
        <v>5</v>
      </c>
      <c r="H25" s="19">
        <v>5</v>
      </c>
      <c r="I25" s="19">
        <v>18</v>
      </c>
      <c r="J25" s="19">
        <f t="shared" si="0"/>
        <v>23</v>
      </c>
      <c r="K25" s="19">
        <v>4</v>
      </c>
      <c r="L25" s="36">
        <f t="shared" si="1"/>
        <v>33</v>
      </c>
      <c r="M25" s="19">
        <f t="shared" si="2"/>
        <v>0</v>
      </c>
      <c r="N25" s="19" t="str">
        <f t="shared" si="3"/>
        <v>FAIL</v>
      </c>
    </row>
    <row r="26" ht="14.25" customHeight="1" spans="4:19">
      <c r="D26" s="19">
        <v>12</v>
      </c>
      <c r="E26" s="22" t="s">
        <v>146</v>
      </c>
      <c r="F26" s="19">
        <v>8</v>
      </c>
      <c r="G26" s="19">
        <v>3</v>
      </c>
      <c r="H26" s="19">
        <v>10</v>
      </c>
      <c r="I26" s="19">
        <v>2</v>
      </c>
      <c r="J26" s="19">
        <f t="shared" si="0"/>
        <v>12</v>
      </c>
      <c r="K26" s="19">
        <v>4</v>
      </c>
      <c r="L26" s="36">
        <f t="shared" si="1"/>
        <v>27</v>
      </c>
      <c r="M26" s="19">
        <f t="shared" si="2"/>
        <v>0</v>
      </c>
      <c r="N26" s="19" t="str">
        <f t="shared" si="3"/>
        <v>FAIL</v>
      </c>
    </row>
    <row r="27" ht="14.25" customHeight="1" spans="4:19">
      <c r="D27" s="19">
        <v>13</v>
      </c>
      <c r="E27" s="22" t="s">
        <v>151</v>
      </c>
      <c r="F27" s="19">
        <v>10</v>
      </c>
      <c r="G27" s="19">
        <v>2</v>
      </c>
      <c r="H27" s="19">
        <v>2</v>
      </c>
      <c r="I27" s="19">
        <v>19</v>
      </c>
      <c r="J27" s="19">
        <f t="shared" si="0"/>
        <v>21</v>
      </c>
      <c r="K27" s="19">
        <v>7</v>
      </c>
      <c r="L27" s="36">
        <f t="shared" si="1"/>
        <v>40</v>
      </c>
      <c r="M27" s="19">
        <f t="shared" si="2"/>
        <v>1</v>
      </c>
      <c r="N27" s="19" t="str">
        <f t="shared" si="3"/>
        <v>PASS</v>
      </c>
    </row>
    <row r="28" ht="14.25" customHeight="1" spans="4:19">
      <c r="D28" s="19">
        <v>14</v>
      </c>
      <c r="E28" s="22" t="s">
        <v>156</v>
      </c>
      <c r="F28" s="19">
        <v>17</v>
      </c>
      <c r="G28" s="19">
        <v>1</v>
      </c>
      <c r="H28" s="19">
        <v>6</v>
      </c>
      <c r="I28" s="19">
        <v>15</v>
      </c>
      <c r="J28" s="19">
        <f t="shared" si="0"/>
        <v>21</v>
      </c>
      <c r="K28" s="19">
        <v>9</v>
      </c>
      <c r="L28" s="36">
        <f t="shared" si="1"/>
        <v>48</v>
      </c>
      <c r="M28" s="19">
        <f t="shared" si="2"/>
        <v>1</v>
      </c>
      <c r="N28" s="19" t="str">
        <f t="shared" si="3"/>
        <v>PASS</v>
      </c>
    </row>
    <row r="29" ht="14.25" customHeight="1" spans="4:19">
      <c r="D29" s="19">
        <v>15</v>
      </c>
      <c r="E29" s="22" t="s">
        <v>161</v>
      </c>
      <c r="F29" s="19">
        <v>2</v>
      </c>
      <c r="G29" s="19">
        <v>12</v>
      </c>
      <c r="H29" s="19">
        <v>6</v>
      </c>
      <c r="I29" s="19">
        <v>4</v>
      </c>
      <c r="J29" s="19">
        <f t="shared" si="0"/>
        <v>10</v>
      </c>
      <c r="K29" s="19">
        <v>9</v>
      </c>
      <c r="L29" s="36">
        <f t="shared" si="1"/>
        <v>33</v>
      </c>
      <c r="M29" s="19">
        <f t="shared" si="2"/>
        <v>0</v>
      </c>
      <c r="N29" s="19" t="str">
        <f t="shared" si="3"/>
        <v>FAIL</v>
      </c>
    </row>
    <row r="30" ht="14.25" customHeight="1" spans="4:19">
      <c r="D30" s="19">
        <v>16</v>
      </c>
      <c r="E30" s="22" t="s">
        <v>166</v>
      </c>
      <c r="F30" s="19">
        <v>3</v>
      </c>
      <c r="G30" s="19">
        <v>7</v>
      </c>
      <c r="H30" s="19">
        <v>2</v>
      </c>
      <c r="I30" s="19">
        <v>12</v>
      </c>
      <c r="J30" s="19">
        <f t="shared" si="0"/>
        <v>14</v>
      </c>
      <c r="K30" s="19">
        <v>13</v>
      </c>
      <c r="L30" s="36">
        <f t="shared" si="1"/>
        <v>37</v>
      </c>
      <c r="M30" s="19">
        <f t="shared" si="2"/>
        <v>1</v>
      </c>
      <c r="N30" s="19" t="str">
        <f t="shared" si="3"/>
        <v>PASS</v>
      </c>
    </row>
    <row r="31" ht="14.25" customHeight="1" spans="4:19">
      <c r="D31" s="19">
        <v>17</v>
      </c>
      <c r="E31" s="22" t="s">
        <v>171</v>
      </c>
      <c r="F31" s="19">
        <v>11</v>
      </c>
      <c r="G31" s="19">
        <v>18</v>
      </c>
      <c r="H31" s="19">
        <v>5</v>
      </c>
      <c r="I31" s="19">
        <v>9</v>
      </c>
      <c r="J31" s="19">
        <f t="shared" si="0"/>
        <v>14</v>
      </c>
      <c r="K31" s="19">
        <v>28</v>
      </c>
      <c r="L31" s="36">
        <f t="shared" si="1"/>
        <v>71</v>
      </c>
      <c r="M31" s="19">
        <f t="shared" si="2"/>
        <v>2</v>
      </c>
      <c r="N31" s="19" t="str">
        <f t="shared" si="3"/>
        <v>PASS</v>
      </c>
    </row>
    <row r="32" ht="14.25" customHeight="1" spans="4:19">
      <c r="D32" s="19">
        <v>18</v>
      </c>
      <c r="E32" s="22" t="s">
        <v>176</v>
      </c>
      <c r="F32" s="19">
        <v>1</v>
      </c>
      <c r="G32" s="19">
        <v>16</v>
      </c>
      <c r="H32" s="19">
        <v>8</v>
      </c>
      <c r="I32" s="19">
        <v>1</v>
      </c>
      <c r="J32" s="19">
        <f t="shared" si="0"/>
        <v>9</v>
      </c>
      <c r="K32" s="19">
        <v>18</v>
      </c>
      <c r="L32" s="36">
        <f t="shared" si="1"/>
        <v>44</v>
      </c>
      <c r="M32" s="19">
        <f t="shared" si="2"/>
        <v>1</v>
      </c>
      <c r="N32" s="19" t="str">
        <f t="shared" si="3"/>
        <v>PASS</v>
      </c>
    </row>
    <row r="33" ht="14.25" customHeight="1" spans="4:14">
      <c r="D33" s="19">
        <v>19</v>
      </c>
      <c r="E33" s="22" t="s">
        <v>181</v>
      </c>
      <c r="F33" s="19">
        <v>16</v>
      </c>
      <c r="G33" s="19">
        <v>10</v>
      </c>
      <c r="H33" s="19">
        <v>5</v>
      </c>
      <c r="I33" s="19">
        <v>7</v>
      </c>
      <c r="J33" s="19">
        <f t="shared" si="0"/>
        <v>12</v>
      </c>
      <c r="K33" s="19">
        <v>4</v>
      </c>
      <c r="L33" s="36">
        <f t="shared" si="1"/>
        <v>42</v>
      </c>
      <c r="M33" s="19">
        <f t="shared" si="2"/>
        <v>1</v>
      </c>
      <c r="N33" s="19" t="str">
        <f t="shared" si="3"/>
        <v>PASS</v>
      </c>
    </row>
    <row r="34" ht="14.25" customHeight="1" spans="4:14">
      <c r="D34" s="19">
        <v>20</v>
      </c>
      <c r="E34" s="22" t="s">
        <v>186</v>
      </c>
      <c r="F34" s="19">
        <v>5</v>
      </c>
      <c r="G34" s="19">
        <v>8</v>
      </c>
      <c r="H34" s="19">
        <v>4</v>
      </c>
      <c r="I34" s="19">
        <v>1</v>
      </c>
      <c r="J34" s="19">
        <f t="shared" si="0"/>
        <v>5</v>
      </c>
      <c r="K34" s="19">
        <v>28</v>
      </c>
      <c r="L34" s="36">
        <f t="shared" si="1"/>
        <v>46</v>
      </c>
      <c r="M34" s="19">
        <f t="shared" si="2"/>
        <v>1</v>
      </c>
      <c r="N34" s="19" t="str">
        <f t="shared" si="3"/>
        <v>PASS</v>
      </c>
    </row>
    <row r="35" ht="14.25" customHeight="1" spans="4:14">
      <c r="D35" s="19">
        <v>21</v>
      </c>
      <c r="E35" s="22" t="s">
        <v>40</v>
      </c>
      <c r="F35" s="19">
        <v>18</v>
      </c>
      <c r="G35" s="19">
        <v>18</v>
      </c>
      <c r="H35" s="19">
        <v>5</v>
      </c>
      <c r="I35" s="19">
        <v>10</v>
      </c>
      <c r="J35" s="19">
        <f t="shared" si="0"/>
        <v>15</v>
      </c>
      <c r="K35" s="19">
        <v>16</v>
      </c>
      <c r="L35" s="36">
        <f t="shared" si="1"/>
        <v>67</v>
      </c>
      <c r="M35" s="19">
        <f t="shared" si="2"/>
        <v>2</v>
      </c>
      <c r="N35" s="19" t="str">
        <f t="shared" si="3"/>
        <v>PASS</v>
      </c>
    </row>
    <row r="36" ht="14.25" customHeight="1" spans="4:14">
      <c r="D36" s="19">
        <v>22</v>
      </c>
      <c r="E36" s="22" t="s">
        <v>195</v>
      </c>
      <c r="F36" s="19">
        <v>2</v>
      </c>
      <c r="G36" s="19">
        <v>12</v>
      </c>
      <c r="H36" s="19">
        <v>9</v>
      </c>
      <c r="I36" s="19">
        <v>1</v>
      </c>
      <c r="J36" s="19">
        <f t="shared" si="0"/>
        <v>10</v>
      </c>
      <c r="K36" s="19">
        <v>8</v>
      </c>
      <c r="L36" s="36">
        <f t="shared" si="1"/>
        <v>32</v>
      </c>
      <c r="M36" s="19">
        <f t="shared" si="2"/>
        <v>0</v>
      </c>
      <c r="N36" s="19" t="str">
        <f t="shared" si="3"/>
        <v>FAIL</v>
      </c>
    </row>
    <row r="37" ht="14.25" customHeight="1" spans="4:14">
      <c r="D37" s="19">
        <v>23</v>
      </c>
      <c r="E37" s="22" t="s">
        <v>200</v>
      </c>
      <c r="F37" s="19">
        <v>14</v>
      </c>
      <c r="G37" s="19">
        <v>7</v>
      </c>
      <c r="H37" s="19">
        <v>10</v>
      </c>
      <c r="I37" s="19">
        <v>12</v>
      </c>
      <c r="J37" s="19">
        <f t="shared" si="0"/>
        <v>22</v>
      </c>
      <c r="K37" s="19">
        <v>4</v>
      </c>
      <c r="L37" s="36">
        <f t="shared" si="1"/>
        <v>47</v>
      </c>
      <c r="M37" s="19">
        <f t="shared" si="2"/>
        <v>1</v>
      </c>
      <c r="N37" s="19" t="str">
        <f t="shared" si="3"/>
        <v>PASS</v>
      </c>
    </row>
    <row r="38" ht="14.25" customHeight="1" spans="4:14">
      <c r="D38" s="19">
        <v>24</v>
      </c>
      <c r="E38" s="22" t="s">
        <v>205</v>
      </c>
      <c r="F38" s="19">
        <v>0</v>
      </c>
      <c r="G38" s="19">
        <v>10</v>
      </c>
      <c r="H38" s="19">
        <v>10</v>
      </c>
      <c r="I38" s="19">
        <v>18</v>
      </c>
      <c r="J38" s="19">
        <f t="shared" si="0"/>
        <v>28</v>
      </c>
      <c r="K38" s="19">
        <v>3</v>
      </c>
      <c r="L38" s="36">
        <f t="shared" si="1"/>
        <v>41</v>
      </c>
      <c r="M38" s="19">
        <f t="shared" si="2"/>
        <v>1</v>
      </c>
      <c r="N38" s="19" t="str">
        <f t="shared" si="3"/>
        <v>PASS</v>
      </c>
    </row>
    <row r="39" ht="14.25" customHeight="1" spans="4:14">
      <c r="D39" s="19">
        <v>25</v>
      </c>
      <c r="E39" s="22" t="s">
        <v>210</v>
      </c>
      <c r="F39" s="19">
        <v>4</v>
      </c>
      <c r="G39" s="19">
        <v>17</v>
      </c>
      <c r="H39" s="19">
        <v>0</v>
      </c>
      <c r="I39" s="19">
        <v>18</v>
      </c>
      <c r="J39" s="19">
        <f t="shared" si="0"/>
        <v>18</v>
      </c>
      <c r="K39" s="19">
        <v>4</v>
      </c>
      <c r="L39" s="36">
        <f t="shared" si="1"/>
        <v>43</v>
      </c>
      <c r="M39" s="19">
        <f t="shared" si="2"/>
        <v>1</v>
      </c>
      <c r="N39" s="19" t="str">
        <f t="shared" si="3"/>
        <v>PASS</v>
      </c>
    </row>
    <row r="40" ht="14.25" customHeight="1" spans="4:14">
      <c r="D40" s="19">
        <v>26</v>
      </c>
      <c r="E40" s="22" t="s">
        <v>215</v>
      </c>
      <c r="F40" s="19">
        <v>16</v>
      </c>
      <c r="G40" s="19">
        <v>19</v>
      </c>
      <c r="H40" s="19">
        <v>5</v>
      </c>
      <c r="I40" s="19">
        <v>8</v>
      </c>
      <c r="J40" s="19">
        <f t="shared" si="0"/>
        <v>13</v>
      </c>
      <c r="K40" s="19">
        <v>11</v>
      </c>
      <c r="L40" s="36">
        <f t="shared" si="1"/>
        <v>59</v>
      </c>
      <c r="M40" s="19">
        <f t="shared" si="2"/>
        <v>2</v>
      </c>
      <c r="N40" s="19" t="str">
        <f t="shared" si="3"/>
        <v>PASS</v>
      </c>
    </row>
    <row r="41" ht="14.25" customHeight="1" spans="4:14">
      <c r="D41" s="19">
        <v>27</v>
      </c>
      <c r="E41" s="22" t="s">
        <v>220</v>
      </c>
      <c r="F41" s="19">
        <v>16</v>
      </c>
      <c r="G41" s="19">
        <v>1</v>
      </c>
      <c r="H41" s="19">
        <v>3</v>
      </c>
      <c r="I41" s="19">
        <v>15</v>
      </c>
      <c r="J41" s="19">
        <f t="shared" si="0"/>
        <v>18</v>
      </c>
      <c r="K41" s="19">
        <v>2</v>
      </c>
      <c r="L41" s="36">
        <f t="shared" si="1"/>
        <v>37</v>
      </c>
      <c r="M41" s="19">
        <f t="shared" si="2"/>
        <v>1</v>
      </c>
      <c r="N41" s="19" t="str">
        <f t="shared" si="3"/>
        <v>PASS</v>
      </c>
    </row>
    <row r="42" ht="14.25" customHeight="1" spans="4:14">
      <c r="D42" s="19">
        <v>28</v>
      </c>
      <c r="E42" s="22" t="s">
        <v>225</v>
      </c>
      <c r="F42" s="19">
        <v>11</v>
      </c>
      <c r="G42" s="19">
        <v>0</v>
      </c>
      <c r="H42" s="19">
        <v>9</v>
      </c>
      <c r="I42" s="19">
        <v>15</v>
      </c>
      <c r="J42" s="19">
        <f t="shared" si="0"/>
        <v>24</v>
      </c>
      <c r="K42" s="19">
        <v>11</v>
      </c>
      <c r="L42" s="36">
        <f t="shared" si="1"/>
        <v>46</v>
      </c>
      <c r="M42" s="19">
        <f t="shared" si="2"/>
        <v>1</v>
      </c>
      <c r="N42" s="19" t="str">
        <f t="shared" si="3"/>
        <v>PASS</v>
      </c>
    </row>
    <row r="43" ht="14.25" customHeight="1" spans="4:14">
      <c r="D43" s="19">
        <v>29</v>
      </c>
      <c r="E43" s="22" t="s">
        <v>230</v>
      </c>
      <c r="F43" s="19">
        <v>12</v>
      </c>
      <c r="G43" s="19">
        <v>0</v>
      </c>
      <c r="H43" s="19">
        <v>2</v>
      </c>
      <c r="I43" s="19">
        <v>16</v>
      </c>
      <c r="J43" s="19">
        <f t="shared" si="0"/>
        <v>18</v>
      </c>
      <c r="K43" s="19">
        <v>20</v>
      </c>
      <c r="L43" s="36">
        <f t="shared" si="1"/>
        <v>50</v>
      </c>
      <c r="M43" s="19">
        <f t="shared" si="2"/>
        <v>1</v>
      </c>
      <c r="N43" s="19" t="str">
        <f t="shared" si="3"/>
        <v>PASS</v>
      </c>
    </row>
    <row r="44" ht="14.25" customHeight="1" spans="4:14">
      <c r="D44" s="19">
        <v>30</v>
      </c>
      <c r="E44" s="22" t="s">
        <v>235</v>
      </c>
      <c r="F44" s="19">
        <v>11</v>
      </c>
      <c r="G44" s="19">
        <v>17</v>
      </c>
      <c r="H44" s="19">
        <v>3</v>
      </c>
      <c r="I44" s="19">
        <v>4</v>
      </c>
      <c r="J44" s="19">
        <f t="shared" si="0"/>
        <v>7</v>
      </c>
      <c r="K44" s="19">
        <v>3</v>
      </c>
      <c r="L44" s="36">
        <f t="shared" si="1"/>
        <v>38</v>
      </c>
      <c r="M44" s="19">
        <f t="shared" si="2"/>
        <v>1</v>
      </c>
      <c r="N44" s="19" t="str">
        <f t="shared" si="3"/>
        <v>PASS</v>
      </c>
    </row>
    <row r="45" ht="14.25" customHeight="1" spans="4:14">
      <c r="D45" s="19">
        <v>31</v>
      </c>
      <c r="E45" s="22" t="s">
        <v>240</v>
      </c>
      <c r="F45" s="19">
        <v>12</v>
      </c>
      <c r="G45" s="19">
        <v>6</v>
      </c>
      <c r="H45" s="19">
        <v>10</v>
      </c>
      <c r="I45" s="19">
        <v>12</v>
      </c>
      <c r="J45" s="19">
        <f t="shared" si="0"/>
        <v>22</v>
      </c>
      <c r="K45" s="19">
        <v>13</v>
      </c>
      <c r="L45" s="36">
        <f t="shared" si="1"/>
        <v>53</v>
      </c>
      <c r="M45" s="19">
        <f t="shared" si="2"/>
        <v>2</v>
      </c>
      <c r="N45" s="19" t="str">
        <f t="shared" si="3"/>
        <v>PASS</v>
      </c>
    </row>
    <row r="46" ht="14.25" customHeight="1" spans="4:14">
      <c r="D46" s="19">
        <v>32</v>
      </c>
      <c r="E46" s="22" t="s">
        <v>245</v>
      </c>
      <c r="F46" s="19">
        <v>1</v>
      </c>
      <c r="G46" s="19">
        <v>1</v>
      </c>
      <c r="H46" s="19">
        <v>0</v>
      </c>
      <c r="I46" s="19">
        <v>12</v>
      </c>
      <c r="J46" s="19">
        <f t="shared" si="0"/>
        <v>12</v>
      </c>
      <c r="K46" s="19">
        <v>8</v>
      </c>
      <c r="L46" s="36">
        <f t="shared" si="1"/>
        <v>22</v>
      </c>
      <c r="M46" s="19">
        <f t="shared" si="2"/>
        <v>0</v>
      </c>
      <c r="N46" s="19" t="str">
        <f t="shared" si="3"/>
        <v>FAIL</v>
      </c>
    </row>
    <row r="47" ht="14.25" customHeight="1" spans="4:14">
      <c r="D47" s="19">
        <v>33</v>
      </c>
      <c r="E47" s="22" t="s">
        <v>250</v>
      </c>
      <c r="F47" s="19">
        <v>19</v>
      </c>
      <c r="G47" s="19">
        <v>6</v>
      </c>
      <c r="H47" s="19">
        <v>2</v>
      </c>
      <c r="I47" s="19">
        <v>14</v>
      </c>
      <c r="J47" s="19">
        <f t="shared" si="0"/>
        <v>16</v>
      </c>
      <c r="K47" s="19">
        <v>30</v>
      </c>
      <c r="L47" s="36">
        <f t="shared" si="1"/>
        <v>71</v>
      </c>
      <c r="M47" s="19">
        <f t="shared" si="2"/>
        <v>2</v>
      </c>
      <c r="N47" s="19" t="str">
        <f t="shared" si="3"/>
        <v>PASS</v>
      </c>
    </row>
    <row r="48" ht="14.25" customHeight="1" spans="4:14">
      <c r="D48" s="19">
        <v>34</v>
      </c>
      <c r="E48" s="22" t="s">
        <v>255</v>
      </c>
      <c r="F48" s="19">
        <v>15</v>
      </c>
      <c r="G48" s="19">
        <v>1</v>
      </c>
      <c r="H48" s="19">
        <v>3</v>
      </c>
      <c r="I48" s="19">
        <v>14</v>
      </c>
      <c r="J48" s="19">
        <f t="shared" si="0"/>
        <v>17</v>
      </c>
      <c r="K48" s="19">
        <v>6</v>
      </c>
      <c r="L48" s="36">
        <f t="shared" si="1"/>
        <v>39</v>
      </c>
      <c r="M48" s="19">
        <f t="shared" si="2"/>
        <v>1</v>
      </c>
      <c r="N48" s="19" t="str">
        <f t="shared" si="3"/>
        <v>PASS</v>
      </c>
    </row>
    <row r="49" ht="14.25" customHeight="1" spans="4:14">
      <c r="D49" s="19">
        <v>35</v>
      </c>
      <c r="E49" s="22" t="s">
        <v>260</v>
      </c>
      <c r="F49" s="19">
        <v>10</v>
      </c>
      <c r="G49" s="19">
        <v>16</v>
      </c>
      <c r="H49" s="19">
        <v>7</v>
      </c>
      <c r="I49" s="19">
        <v>11</v>
      </c>
      <c r="J49" s="19">
        <f t="shared" si="0"/>
        <v>18</v>
      </c>
      <c r="K49" s="19">
        <v>18</v>
      </c>
      <c r="L49" s="36">
        <f t="shared" si="1"/>
        <v>62</v>
      </c>
      <c r="M49" s="19">
        <f t="shared" si="2"/>
        <v>2</v>
      </c>
      <c r="N49" s="19" t="str">
        <f t="shared" si="3"/>
        <v>PASS</v>
      </c>
    </row>
    <row r="50" ht="14.25" customHeight="1" spans="4:14">
      <c r="D50" s="19">
        <v>36</v>
      </c>
      <c r="E50" s="22" t="s">
        <v>265</v>
      </c>
      <c r="F50" s="19">
        <v>17</v>
      </c>
      <c r="G50" s="19">
        <v>5</v>
      </c>
      <c r="H50" s="19">
        <v>6</v>
      </c>
      <c r="I50" s="19">
        <v>18</v>
      </c>
      <c r="J50" s="19">
        <f t="shared" si="0"/>
        <v>24</v>
      </c>
      <c r="K50" s="19">
        <v>4</v>
      </c>
      <c r="L50" s="36">
        <f t="shared" si="1"/>
        <v>50</v>
      </c>
      <c r="M50" s="19">
        <f t="shared" si="2"/>
        <v>1</v>
      </c>
      <c r="N50" s="19" t="str">
        <f t="shared" si="3"/>
        <v>PASS</v>
      </c>
    </row>
    <row r="51" ht="14.25" customHeight="1" spans="4:14">
      <c r="D51" s="19">
        <v>37</v>
      </c>
      <c r="E51" s="22" t="s">
        <v>270</v>
      </c>
      <c r="F51" s="19">
        <v>16</v>
      </c>
      <c r="G51" s="19">
        <v>14</v>
      </c>
      <c r="H51" s="19">
        <v>4</v>
      </c>
      <c r="I51" s="19">
        <v>6</v>
      </c>
      <c r="J51" s="19">
        <f t="shared" si="0"/>
        <v>10</v>
      </c>
      <c r="K51" s="19">
        <v>26</v>
      </c>
      <c r="L51" s="36">
        <f t="shared" si="1"/>
        <v>66</v>
      </c>
      <c r="M51" s="19">
        <f t="shared" si="2"/>
        <v>2</v>
      </c>
      <c r="N51" s="19" t="str">
        <f t="shared" si="3"/>
        <v>PASS</v>
      </c>
    </row>
    <row r="52" ht="14.25" customHeight="1" spans="4:14">
      <c r="D52" s="19">
        <v>38</v>
      </c>
      <c r="E52" s="22" t="s">
        <v>275</v>
      </c>
      <c r="F52" s="19">
        <v>6</v>
      </c>
      <c r="G52" s="19">
        <v>10</v>
      </c>
      <c r="H52" s="19">
        <v>4</v>
      </c>
      <c r="I52" s="19">
        <v>0</v>
      </c>
      <c r="J52" s="19">
        <f t="shared" si="0"/>
        <v>4</v>
      </c>
      <c r="K52" s="19">
        <v>9</v>
      </c>
      <c r="L52" s="36">
        <f t="shared" si="1"/>
        <v>29</v>
      </c>
      <c r="M52" s="19">
        <f t="shared" si="2"/>
        <v>0</v>
      </c>
      <c r="N52" s="19" t="str">
        <f t="shared" si="3"/>
        <v>FAIL</v>
      </c>
    </row>
    <row r="53" ht="14.25" customHeight="1" spans="4:14">
      <c r="D53" s="19">
        <v>39</v>
      </c>
      <c r="E53" s="22" t="s">
        <v>280</v>
      </c>
      <c r="F53" s="19">
        <v>12</v>
      </c>
      <c r="G53" s="19">
        <v>5</v>
      </c>
      <c r="H53" s="19">
        <v>8</v>
      </c>
      <c r="I53" s="19">
        <v>4</v>
      </c>
      <c r="J53" s="19">
        <f t="shared" si="0"/>
        <v>12</v>
      </c>
      <c r="K53" s="19">
        <v>15</v>
      </c>
      <c r="L53" s="36">
        <f t="shared" si="1"/>
        <v>44</v>
      </c>
      <c r="M53" s="19">
        <f t="shared" si="2"/>
        <v>1</v>
      </c>
      <c r="N53" s="19" t="str">
        <f t="shared" si="3"/>
        <v>PASS</v>
      </c>
    </row>
    <row r="54" ht="14.25" customHeight="1" spans="4:14">
      <c r="D54" s="19">
        <v>40</v>
      </c>
      <c r="E54" s="22" t="s">
        <v>285</v>
      </c>
      <c r="F54" s="19">
        <v>1</v>
      </c>
      <c r="G54" s="19">
        <v>5</v>
      </c>
      <c r="H54" s="19">
        <v>9</v>
      </c>
      <c r="I54" s="19">
        <v>6</v>
      </c>
      <c r="J54" s="19">
        <f t="shared" si="0"/>
        <v>15</v>
      </c>
      <c r="K54" s="19">
        <v>1</v>
      </c>
      <c r="L54" s="36">
        <f t="shared" si="1"/>
        <v>22</v>
      </c>
      <c r="M54" s="19">
        <f t="shared" si="2"/>
        <v>0</v>
      </c>
      <c r="N54" s="19" t="str">
        <f t="shared" si="3"/>
        <v>FAIL</v>
      </c>
    </row>
    <row r="55" ht="14.25" customHeight="1" spans="4:14">
      <c r="D55" s="19">
        <v>41</v>
      </c>
      <c r="E55" s="22" t="s">
        <v>290</v>
      </c>
      <c r="F55" s="19">
        <v>11</v>
      </c>
      <c r="G55" s="19">
        <v>1</v>
      </c>
      <c r="H55" s="19">
        <v>1</v>
      </c>
      <c r="I55" s="19">
        <v>6</v>
      </c>
      <c r="J55" s="19">
        <f t="shared" si="0"/>
        <v>7</v>
      </c>
      <c r="K55" s="19">
        <v>15</v>
      </c>
      <c r="L55" s="36">
        <f t="shared" si="1"/>
        <v>34</v>
      </c>
      <c r="M55" s="19">
        <f t="shared" si="2"/>
        <v>0</v>
      </c>
      <c r="N55" s="19" t="str">
        <f t="shared" si="3"/>
        <v>FAIL</v>
      </c>
    </row>
    <row r="56" ht="14.25" customHeight="1" spans="4:14">
      <c r="D56" s="19">
        <v>42</v>
      </c>
      <c r="E56" s="22" t="s">
        <v>295</v>
      </c>
      <c r="F56" s="19">
        <v>9</v>
      </c>
      <c r="G56" s="19">
        <v>19</v>
      </c>
      <c r="H56" s="19">
        <v>3</v>
      </c>
      <c r="I56" s="19">
        <v>5</v>
      </c>
      <c r="J56" s="19">
        <f t="shared" si="0"/>
        <v>8</v>
      </c>
      <c r="K56" s="19">
        <v>23</v>
      </c>
      <c r="L56" s="36">
        <f t="shared" si="1"/>
        <v>59</v>
      </c>
      <c r="M56" s="19">
        <f t="shared" si="2"/>
        <v>2</v>
      </c>
      <c r="N56" s="19" t="str">
        <f t="shared" si="3"/>
        <v>PASS</v>
      </c>
    </row>
    <row r="57" ht="14.25" customHeight="1" spans="4:14">
      <c r="D57" s="19">
        <v>43</v>
      </c>
      <c r="E57" s="22" t="s">
        <v>300</v>
      </c>
      <c r="F57" s="19">
        <v>14</v>
      </c>
      <c r="G57" s="19">
        <v>7</v>
      </c>
      <c r="H57" s="19">
        <v>9</v>
      </c>
      <c r="I57" s="19">
        <v>1</v>
      </c>
      <c r="J57" s="19">
        <f t="shared" si="0"/>
        <v>10</v>
      </c>
      <c r="K57" s="19">
        <v>1</v>
      </c>
      <c r="L57" s="36">
        <f t="shared" si="1"/>
        <v>32</v>
      </c>
      <c r="M57" s="19">
        <f t="shared" si="2"/>
        <v>0</v>
      </c>
      <c r="N57" s="19" t="str">
        <f t="shared" si="3"/>
        <v>FAIL</v>
      </c>
    </row>
    <row r="58" ht="14.25" customHeight="1" spans="4:14">
      <c r="D58" s="19">
        <v>44</v>
      </c>
      <c r="E58" s="22" t="s">
        <v>305</v>
      </c>
      <c r="F58" s="19">
        <v>18</v>
      </c>
      <c r="G58" s="19">
        <v>8</v>
      </c>
      <c r="H58" s="19">
        <v>3</v>
      </c>
      <c r="I58" s="19">
        <v>6</v>
      </c>
      <c r="J58" s="19">
        <f t="shared" si="0"/>
        <v>9</v>
      </c>
      <c r="K58" s="19">
        <v>24</v>
      </c>
      <c r="L58" s="36">
        <f t="shared" si="1"/>
        <v>59</v>
      </c>
      <c r="M58" s="19">
        <f t="shared" si="2"/>
        <v>2</v>
      </c>
      <c r="N58" s="19" t="str">
        <f t="shared" si="3"/>
        <v>PASS</v>
      </c>
    </row>
    <row r="59" ht="14.25" customHeight="1" spans="4:14">
      <c r="D59" s="19">
        <v>45</v>
      </c>
      <c r="E59" s="22" t="s">
        <v>310</v>
      </c>
      <c r="F59" s="19">
        <v>7</v>
      </c>
      <c r="G59" s="19">
        <v>3</v>
      </c>
      <c r="H59" s="19">
        <v>5</v>
      </c>
      <c r="I59" s="19">
        <v>9</v>
      </c>
      <c r="J59" s="19">
        <f t="shared" si="0"/>
        <v>14</v>
      </c>
      <c r="K59" s="19">
        <v>27</v>
      </c>
      <c r="L59" s="36">
        <f t="shared" si="1"/>
        <v>51</v>
      </c>
      <c r="M59" s="19">
        <f t="shared" si="2"/>
        <v>2</v>
      </c>
      <c r="N59" s="19" t="str">
        <f t="shared" si="3"/>
        <v>PASS</v>
      </c>
    </row>
    <row r="60" ht="14.25" customHeight="1" spans="4:14">
      <c r="D60" s="19">
        <v>46</v>
      </c>
      <c r="E60" s="22" t="s">
        <v>315</v>
      </c>
      <c r="F60" s="19">
        <v>3</v>
      </c>
      <c r="G60" s="19">
        <v>17</v>
      </c>
      <c r="H60" s="19">
        <v>1</v>
      </c>
      <c r="I60" s="19">
        <v>13</v>
      </c>
      <c r="J60" s="19">
        <f t="shared" si="0"/>
        <v>14</v>
      </c>
      <c r="K60" s="19">
        <v>0</v>
      </c>
      <c r="L60" s="36">
        <f t="shared" si="1"/>
        <v>34</v>
      </c>
      <c r="M60" s="19">
        <f t="shared" si="2"/>
        <v>0</v>
      </c>
      <c r="N60" s="19" t="str">
        <f t="shared" si="3"/>
        <v>FAIL</v>
      </c>
    </row>
    <row r="61" ht="14.25" customHeight="1" spans="4:14">
      <c r="D61" s="19">
        <v>47</v>
      </c>
      <c r="E61" s="22" t="s">
        <v>320</v>
      </c>
      <c r="F61" s="19">
        <v>4</v>
      </c>
      <c r="G61" s="19">
        <v>11</v>
      </c>
      <c r="H61" s="19">
        <v>0</v>
      </c>
      <c r="I61" s="19">
        <v>12</v>
      </c>
      <c r="J61" s="19">
        <f t="shared" si="0"/>
        <v>12</v>
      </c>
      <c r="K61" s="19">
        <v>0</v>
      </c>
      <c r="L61" s="36">
        <f t="shared" si="1"/>
        <v>27</v>
      </c>
      <c r="M61" s="19">
        <f t="shared" si="2"/>
        <v>0</v>
      </c>
      <c r="N61" s="19" t="str">
        <f t="shared" si="3"/>
        <v>FAIL</v>
      </c>
    </row>
    <row r="62" ht="14.25" customHeight="1" spans="4:14">
      <c r="D62" s="19">
        <v>48</v>
      </c>
      <c r="E62" s="22" t="s">
        <v>325</v>
      </c>
      <c r="F62" s="19">
        <v>3</v>
      </c>
      <c r="G62" s="19">
        <v>18</v>
      </c>
      <c r="H62" s="19">
        <v>1</v>
      </c>
      <c r="I62" s="19">
        <v>17</v>
      </c>
      <c r="J62" s="19">
        <f t="shared" si="0"/>
        <v>18</v>
      </c>
      <c r="K62" s="19">
        <v>19</v>
      </c>
      <c r="L62" s="36">
        <f t="shared" si="1"/>
        <v>58</v>
      </c>
      <c r="M62" s="19">
        <f t="shared" si="2"/>
        <v>2</v>
      </c>
      <c r="N62" s="19" t="str">
        <f t="shared" si="3"/>
        <v>PASS</v>
      </c>
    </row>
    <row r="63" ht="14.25" customHeight="1" spans="4:14">
      <c r="D63" s="19">
        <v>49</v>
      </c>
      <c r="E63" s="22" t="s">
        <v>330</v>
      </c>
      <c r="F63" s="19">
        <v>10</v>
      </c>
      <c r="G63" s="19">
        <v>16</v>
      </c>
      <c r="H63" s="19">
        <v>6</v>
      </c>
      <c r="I63" s="19">
        <v>12</v>
      </c>
      <c r="J63" s="19">
        <f t="shared" si="0"/>
        <v>18</v>
      </c>
      <c r="K63" s="19">
        <v>3</v>
      </c>
      <c r="L63" s="36">
        <f t="shared" si="1"/>
        <v>47</v>
      </c>
      <c r="M63" s="19">
        <f t="shared" si="2"/>
        <v>1</v>
      </c>
      <c r="N63" s="19" t="str">
        <f t="shared" si="3"/>
        <v>PASS</v>
      </c>
    </row>
    <row r="64" ht="14.25" customHeight="1" spans="4:14">
      <c r="D64" s="19">
        <v>50</v>
      </c>
      <c r="E64" s="22" t="s">
        <v>335</v>
      </c>
      <c r="F64" s="19">
        <v>7</v>
      </c>
      <c r="G64" s="19">
        <v>1</v>
      </c>
      <c r="H64" s="19">
        <v>6</v>
      </c>
      <c r="I64" s="19">
        <v>7</v>
      </c>
      <c r="J64" s="19">
        <f t="shared" si="0"/>
        <v>13</v>
      </c>
      <c r="K64" s="19">
        <v>23</v>
      </c>
      <c r="L64" s="36">
        <f t="shared" si="1"/>
        <v>44</v>
      </c>
      <c r="M64" s="19">
        <f t="shared" si="2"/>
        <v>1</v>
      </c>
      <c r="N64" s="19" t="str">
        <f t="shared" si="3"/>
        <v>PASS</v>
      </c>
    </row>
    <row r="65" ht="14.25" customHeight="1" spans="4:14">
      <c r="D65" s="19">
        <v>51</v>
      </c>
      <c r="E65" s="22" t="s">
        <v>340</v>
      </c>
      <c r="F65" s="19">
        <v>8</v>
      </c>
      <c r="G65" s="19">
        <v>17</v>
      </c>
      <c r="H65" s="19">
        <v>3</v>
      </c>
      <c r="I65" s="19">
        <v>14</v>
      </c>
      <c r="J65" s="19">
        <f t="shared" si="0"/>
        <v>17</v>
      </c>
      <c r="K65" s="19">
        <v>11</v>
      </c>
      <c r="L65" s="36">
        <f t="shared" si="1"/>
        <v>53</v>
      </c>
      <c r="M65" s="19">
        <f t="shared" si="2"/>
        <v>2</v>
      </c>
      <c r="N65" s="19" t="str">
        <f t="shared" si="3"/>
        <v>PASS</v>
      </c>
    </row>
    <row r="66" ht="14.25" customHeight="1" spans="4:14">
      <c r="D66" s="19">
        <v>52</v>
      </c>
      <c r="E66" s="22" t="s">
        <v>345</v>
      </c>
      <c r="F66" s="19">
        <v>11</v>
      </c>
      <c r="G66" s="19">
        <v>10</v>
      </c>
      <c r="H66" s="19">
        <v>8</v>
      </c>
      <c r="I66" s="19">
        <v>17</v>
      </c>
      <c r="J66" s="19">
        <f t="shared" si="0"/>
        <v>25</v>
      </c>
      <c r="K66" s="19">
        <v>16</v>
      </c>
      <c r="L66" s="36">
        <f t="shared" si="1"/>
        <v>62</v>
      </c>
      <c r="M66" s="19">
        <f t="shared" si="2"/>
        <v>2</v>
      </c>
      <c r="N66" s="19" t="str">
        <f t="shared" si="3"/>
        <v>PASS</v>
      </c>
    </row>
    <row r="67" ht="14.25" customHeight="1" spans="4:14">
      <c r="D67" s="19">
        <v>53</v>
      </c>
      <c r="E67" s="22" t="s">
        <v>350</v>
      </c>
      <c r="F67" s="19">
        <v>17</v>
      </c>
      <c r="G67" s="19">
        <v>2</v>
      </c>
      <c r="H67" s="19">
        <v>9</v>
      </c>
      <c r="I67" s="19">
        <v>1</v>
      </c>
      <c r="J67" s="19">
        <f t="shared" si="0"/>
        <v>10</v>
      </c>
      <c r="K67" s="19">
        <v>11</v>
      </c>
      <c r="L67" s="36">
        <f t="shared" si="1"/>
        <v>40</v>
      </c>
      <c r="M67" s="19">
        <f t="shared" si="2"/>
        <v>1</v>
      </c>
      <c r="N67" s="19" t="str">
        <f t="shared" si="3"/>
        <v>PASS</v>
      </c>
    </row>
    <row r="68" ht="14.25" customHeight="1" spans="4:14">
      <c r="D68" s="19">
        <v>54</v>
      </c>
      <c r="E68" s="22" t="s">
        <v>355</v>
      </c>
      <c r="F68" s="19">
        <v>4</v>
      </c>
      <c r="G68" s="19">
        <v>16</v>
      </c>
      <c r="H68" s="19">
        <v>7</v>
      </c>
      <c r="I68" s="19">
        <v>8</v>
      </c>
      <c r="J68" s="19">
        <f t="shared" si="0"/>
        <v>15</v>
      </c>
      <c r="K68" s="19">
        <v>9</v>
      </c>
      <c r="L68" s="36">
        <f t="shared" si="1"/>
        <v>44</v>
      </c>
      <c r="M68" s="19">
        <f t="shared" si="2"/>
        <v>1</v>
      </c>
      <c r="N68" s="19" t="str">
        <f t="shared" si="3"/>
        <v>PASS</v>
      </c>
    </row>
    <row r="69" ht="14.25" customHeight="1" spans="4:14">
      <c r="D69" s="19">
        <v>55</v>
      </c>
      <c r="E69" s="22" t="s">
        <v>360</v>
      </c>
      <c r="F69" s="19">
        <v>13</v>
      </c>
      <c r="G69" s="19">
        <v>20</v>
      </c>
      <c r="H69" s="19">
        <v>7</v>
      </c>
      <c r="I69" s="19">
        <v>17</v>
      </c>
      <c r="J69" s="19">
        <f t="shared" si="0"/>
        <v>24</v>
      </c>
      <c r="K69" s="19">
        <v>22</v>
      </c>
      <c r="L69" s="36">
        <f t="shared" si="1"/>
        <v>79</v>
      </c>
      <c r="M69" s="19">
        <f t="shared" si="2"/>
        <v>3</v>
      </c>
      <c r="N69" s="19" t="str">
        <f t="shared" si="3"/>
        <v>PASS</v>
      </c>
    </row>
    <row r="70" ht="14.25" customHeight="1" spans="4:14">
      <c r="D70" s="19">
        <v>56</v>
      </c>
      <c r="E70" s="22" t="s">
        <v>365</v>
      </c>
      <c r="F70" s="19">
        <v>9</v>
      </c>
      <c r="G70" s="19">
        <v>19</v>
      </c>
      <c r="H70" s="19">
        <v>3</v>
      </c>
      <c r="I70" s="19">
        <v>17</v>
      </c>
      <c r="J70" s="19">
        <f t="shared" si="0"/>
        <v>20</v>
      </c>
      <c r="K70" s="19">
        <v>20</v>
      </c>
      <c r="L70" s="36">
        <f t="shared" si="1"/>
        <v>68</v>
      </c>
      <c r="M70" s="19">
        <f t="shared" si="2"/>
        <v>2</v>
      </c>
      <c r="N70" s="19" t="str">
        <f t="shared" si="3"/>
        <v>PASS</v>
      </c>
    </row>
    <row r="71" ht="14.25" customHeight="1" spans="4:14">
      <c r="D71" s="19">
        <v>57</v>
      </c>
      <c r="E71" s="22" t="s">
        <v>369</v>
      </c>
      <c r="F71" s="19">
        <v>12</v>
      </c>
      <c r="G71" s="19">
        <v>12</v>
      </c>
      <c r="H71" s="19">
        <v>1</v>
      </c>
      <c r="I71" s="19">
        <v>14</v>
      </c>
      <c r="J71" s="19">
        <f t="shared" si="0"/>
        <v>15</v>
      </c>
      <c r="K71" s="19">
        <v>18</v>
      </c>
      <c r="L71" s="36">
        <f t="shared" si="1"/>
        <v>57</v>
      </c>
      <c r="M71" s="19">
        <f t="shared" si="2"/>
        <v>2</v>
      </c>
      <c r="N71" s="19" t="str">
        <f t="shared" si="3"/>
        <v>PASS</v>
      </c>
    </row>
    <row r="72" ht="14.25" customHeight="1" spans="4:14">
      <c r="D72" s="19">
        <v>58</v>
      </c>
      <c r="E72" s="22" t="s">
        <v>374</v>
      </c>
      <c r="F72" s="19">
        <v>19</v>
      </c>
      <c r="G72" s="19">
        <v>0</v>
      </c>
      <c r="H72" s="19">
        <v>3</v>
      </c>
      <c r="I72" s="19">
        <v>13</v>
      </c>
      <c r="J72" s="19">
        <f t="shared" si="0"/>
        <v>16</v>
      </c>
      <c r="K72" s="19">
        <v>30</v>
      </c>
      <c r="L72" s="36">
        <f t="shared" si="1"/>
        <v>65</v>
      </c>
      <c r="M72" s="19">
        <f t="shared" si="2"/>
        <v>2</v>
      </c>
      <c r="N72" s="19" t="str">
        <f t="shared" si="3"/>
        <v>PASS</v>
      </c>
    </row>
    <row r="73" ht="14.25" customHeight="1" spans="4:14">
      <c r="D73" s="19">
        <v>59</v>
      </c>
      <c r="E73" s="22" t="s">
        <v>379</v>
      </c>
      <c r="F73" s="19">
        <v>9</v>
      </c>
      <c r="G73" s="19">
        <v>14</v>
      </c>
      <c r="H73" s="19">
        <v>5</v>
      </c>
      <c r="I73" s="19">
        <v>11</v>
      </c>
      <c r="J73" s="19">
        <f t="shared" si="0"/>
        <v>16</v>
      </c>
      <c r="K73" s="19">
        <v>16</v>
      </c>
      <c r="L73" s="36">
        <f t="shared" si="1"/>
        <v>55</v>
      </c>
      <c r="M73" s="19">
        <f t="shared" si="2"/>
        <v>2</v>
      </c>
      <c r="N73" s="19" t="str">
        <f t="shared" si="3"/>
        <v>PASS</v>
      </c>
    </row>
    <row r="74" ht="14.25" customHeight="1" spans="4:14">
      <c r="D74" s="19">
        <v>60</v>
      </c>
      <c r="E74" s="22" t="s">
        <v>384</v>
      </c>
      <c r="F74" s="19">
        <v>13</v>
      </c>
      <c r="G74" s="19">
        <v>9</v>
      </c>
      <c r="H74" s="19">
        <v>3</v>
      </c>
      <c r="I74" s="19">
        <v>15</v>
      </c>
      <c r="J74" s="19">
        <f t="shared" si="0"/>
        <v>18</v>
      </c>
      <c r="K74" s="19">
        <v>10</v>
      </c>
      <c r="L74" s="36">
        <f t="shared" si="1"/>
        <v>50</v>
      </c>
      <c r="M74" s="19">
        <f t="shared" si="2"/>
        <v>1</v>
      </c>
      <c r="N74" s="19" t="str">
        <f t="shared" si="3"/>
        <v>PASS</v>
      </c>
    </row>
    <row r="75" ht="14.25" customHeight="1" spans="4:14">
      <c r="D75" s="19">
        <v>61</v>
      </c>
      <c r="E75" s="22" t="s">
        <v>389</v>
      </c>
      <c r="F75" s="19">
        <v>10</v>
      </c>
      <c r="G75" s="19">
        <v>9</v>
      </c>
      <c r="H75" s="19">
        <v>0</v>
      </c>
      <c r="I75" s="19">
        <v>5</v>
      </c>
      <c r="J75" s="19">
        <f t="shared" si="0"/>
        <v>5</v>
      </c>
      <c r="K75" s="19">
        <v>20</v>
      </c>
      <c r="L75" s="36">
        <f t="shared" si="1"/>
        <v>44</v>
      </c>
      <c r="M75" s="19">
        <f t="shared" si="2"/>
        <v>1</v>
      </c>
      <c r="N75" s="19" t="str">
        <f t="shared" si="3"/>
        <v>PASS</v>
      </c>
    </row>
    <row r="76" ht="14.25" customHeight="1" spans="4:14">
      <c r="D76" s="19">
        <v>62</v>
      </c>
      <c r="E76" s="22" t="s">
        <v>394</v>
      </c>
      <c r="F76" s="19">
        <v>2</v>
      </c>
      <c r="G76" s="19">
        <v>7</v>
      </c>
      <c r="H76" s="19">
        <v>2</v>
      </c>
      <c r="I76" s="19">
        <v>2</v>
      </c>
      <c r="J76" s="19">
        <f t="shared" si="0"/>
        <v>4</v>
      </c>
      <c r="K76" s="19">
        <v>5</v>
      </c>
      <c r="L76" s="36">
        <f t="shared" si="1"/>
        <v>18</v>
      </c>
      <c r="M76" s="19">
        <f t="shared" si="2"/>
        <v>0</v>
      </c>
      <c r="N76" s="19" t="str">
        <f t="shared" si="3"/>
        <v>FAIL</v>
      </c>
    </row>
    <row r="77" ht="14.25" customHeight="1" spans="4:14">
      <c r="D77" s="19">
        <v>63</v>
      </c>
      <c r="E77" s="22" t="s">
        <v>399</v>
      </c>
      <c r="F77" s="19">
        <v>4</v>
      </c>
      <c r="G77" s="19">
        <v>10</v>
      </c>
      <c r="H77" s="19">
        <v>3</v>
      </c>
      <c r="I77" s="19">
        <v>3</v>
      </c>
      <c r="J77" s="19">
        <f t="shared" si="0"/>
        <v>6</v>
      </c>
      <c r="K77" s="19">
        <v>2</v>
      </c>
      <c r="L77" s="36">
        <f t="shared" si="1"/>
        <v>22</v>
      </c>
      <c r="M77" s="19">
        <f t="shared" si="2"/>
        <v>0</v>
      </c>
      <c r="N77" s="19" t="str">
        <f t="shared" si="3"/>
        <v>FAIL</v>
      </c>
    </row>
    <row r="78" ht="14.25" customHeight="1" spans="4:14">
      <c r="D78" s="19">
        <v>64</v>
      </c>
      <c r="E78" s="22" t="s">
        <v>403</v>
      </c>
      <c r="F78" s="19">
        <v>3</v>
      </c>
      <c r="G78" s="19">
        <v>1</v>
      </c>
      <c r="H78" s="19">
        <v>2</v>
      </c>
      <c r="I78" s="19">
        <v>15</v>
      </c>
      <c r="J78" s="19">
        <f t="shared" si="0"/>
        <v>17</v>
      </c>
      <c r="K78" s="19">
        <v>1</v>
      </c>
      <c r="L78" s="36">
        <f t="shared" si="1"/>
        <v>22</v>
      </c>
      <c r="M78" s="19">
        <f t="shared" si="2"/>
        <v>0</v>
      </c>
      <c r="N78" s="19" t="s">
        <v>631</v>
      </c>
    </row>
    <row r="79" ht="14.25" customHeight="1" spans="4:14">
      <c r="D79" s="19">
        <v>65</v>
      </c>
      <c r="E79" s="22" t="s">
        <v>408</v>
      </c>
      <c r="F79" s="19">
        <v>6</v>
      </c>
      <c r="G79" s="19">
        <v>2</v>
      </c>
      <c r="H79" s="19">
        <v>7</v>
      </c>
      <c r="I79" s="19">
        <v>12</v>
      </c>
      <c r="J79" s="19">
        <f t="shared" ref="J79:J114" si="4">H79+I79</f>
        <v>19</v>
      </c>
      <c r="K79" s="19">
        <v>21</v>
      </c>
      <c r="L79" s="36">
        <f t="shared" ref="L79:L114" si="5">F79+G79+J79+K79</f>
        <v>48</v>
      </c>
      <c r="M79" s="19">
        <f t="shared" ref="M79:M114" si="6">IF(L79&gt;75,3,IF(L79&gt;50,2,IF(L79&gt;35,1,0)))</f>
        <v>1</v>
      </c>
      <c r="N79" s="19" t="str">
        <f t="shared" ref="N79:N114" si="7">IF(L79&lt;35,"FAIL","PASS")</f>
        <v>PASS</v>
      </c>
    </row>
    <row r="80" ht="14.25" customHeight="1" spans="4:14">
      <c r="D80" s="19">
        <v>66</v>
      </c>
      <c r="E80" s="22" t="s">
        <v>413</v>
      </c>
      <c r="F80" s="19">
        <v>13</v>
      </c>
      <c r="G80" s="19">
        <v>20</v>
      </c>
      <c r="H80" s="19">
        <v>7</v>
      </c>
      <c r="I80" s="19">
        <v>3</v>
      </c>
      <c r="J80" s="19">
        <f t="shared" si="4"/>
        <v>10</v>
      </c>
      <c r="K80" s="19">
        <v>10</v>
      </c>
      <c r="L80" s="36">
        <f t="shared" si="5"/>
        <v>53</v>
      </c>
      <c r="M80" s="19">
        <f t="shared" si="6"/>
        <v>2</v>
      </c>
      <c r="N80" s="19" t="str">
        <f t="shared" si="7"/>
        <v>PASS</v>
      </c>
    </row>
    <row r="81" ht="14.25" customHeight="1" spans="4:14">
      <c r="D81" s="19">
        <v>67</v>
      </c>
      <c r="E81" s="22" t="s">
        <v>418</v>
      </c>
      <c r="F81" s="19">
        <v>13</v>
      </c>
      <c r="G81" s="19">
        <v>16</v>
      </c>
      <c r="H81" s="19">
        <v>1</v>
      </c>
      <c r="I81" s="19">
        <v>0</v>
      </c>
      <c r="J81" s="19">
        <f t="shared" si="4"/>
        <v>1</v>
      </c>
      <c r="K81" s="19">
        <v>14</v>
      </c>
      <c r="L81" s="36">
        <f t="shared" si="5"/>
        <v>44</v>
      </c>
      <c r="M81" s="19">
        <f t="shared" si="6"/>
        <v>1</v>
      </c>
      <c r="N81" s="19" t="str">
        <f t="shared" si="7"/>
        <v>PASS</v>
      </c>
    </row>
    <row r="82" ht="14.25" customHeight="1" spans="4:14">
      <c r="D82" s="19">
        <v>68</v>
      </c>
      <c r="E82" s="22" t="s">
        <v>422</v>
      </c>
      <c r="F82" s="19">
        <v>6</v>
      </c>
      <c r="G82" s="19">
        <v>12</v>
      </c>
      <c r="H82" s="19">
        <v>1</v>
      </c>
      <c r="I82" s="19">
        <v>8</v>
      </c>
      <c r="J82" s="19">
        <f t="shared" si="4"/>
        <v>9</v>
      </c>
      <c r="K82" s="19">
        <v>19</v>
      </c>
      <c r="L82" s="36">
        <f t="shared" si="5"/>
        <v>46</v>
      </c>
      <c r="M82" s="19">
        <f t="shared" si="6"/>
        <v>1</v>
      </c>
      <c r="N82" s="19" t="str">
        <f t="shared" si="7"/>
        <v>PASS</v>
      </c>
    </row>
    <row r="83" ht="14.25" customHeight="1" spans="4:14">
      <c r="D83" s="19">
        <v>69</v>
      </c>
      <c r="E83" s="22" t="s">
        <v>427</v>
      </c>
      <c r="F83" s="19">
        <v>1</v>
      </c>
      <c r="G83" s="19">
        <v>16</v>
      </c>
      <c r="H83" s="19">
        <v>2</v>
      </c>
      <c r="I83" s="19">
        <v>4</v>
      </c>
      <c r="J83" s="19">
        <f t="shared" si="4"/>
        <v>6</v>
      </c>
      <c r="K83" s="19">
        <v>22</v>
      </c>
      <c r="L83" s="36">
        <f t="shared" si="5"/>
        <v>45</v>
      </c>
      <c r="M83" s="19">
        <f t="shared" si="6"/>
        <v>1</v>
      </c>
      <c r="N83" s="19" t="str">
        <f t="shared" si="7"/>
        <v>PASS</v>
      </c>
    </row>
    <row r="84" ht="14.25" customHeight="1" spans="4:14">
      <c r="D84" s="19">
        <v>70</v>
      </c>
      <c r="E84" s="22" t="s">
        <v>432</v>
      </c>
      <c r="F84" s="19">
        <v>7</v>
      </c>
      <c r="G84" s="19">
        <v>19</v>
      </c>
      <c r="H84" s="19">
        <v>5</v>
      </c>
      <c r="I84" s="19">
        <v>12</v>
      </c>
      <c r="J84" s="19">
        <f t="shared" si="4"/>
        <v>17</v>
      </c>
      <c r="K84" s="19">
        <v>8</v>
      </c>
      <c r="L84" s="36">
        <f t="shared" si="5"/>
        <v>51</v>
      </c>
      <c r="M84" s="19">
        <f t="shared" si="6"/>
        <v>2</v>
      </c>
      <c r="N84" s="19" t="str">
        <f t="shared" si="7"/>
        <v>PASS</v>
      </c>
    </row>
    <row r="85" ht="14.25" customHeight="1" spans="4:14">
      <c r="D85" s="19">
        <v>71</v>
      </c>
      <c r="E85" s="22" t="s">
        <v>437</v>
      </c>
      <c r="F85" s="19">
        <v>13</v>
      </c>
      <c r="G85" s="19">
        <v>8</v>
      </c>
      <c r="H85" s="19">
        <v>7</v>
      </c>
      <c r="I85" s="19">
        <v>8</v>
      </c>
      <c r="J85" s="19">
        <f t="shared" si="4"/>
        <v>15</v>
      </c>
      <c r="K85" s="19">
        <v>30</v>
      </c>
      <c r="L85" s="36">
        <f t="shared" si="5"/>
        <v>66</v>
      </c>
      <c r="M85" s="19">
        <f t="shared" si="6"/>
        <v>2</v>
      </c>
      <c r="N85" s="19" t="str">
        <f t="shared" si="7"/>
        <v>PASS</v>
      </c>
    </row>
    <row r="86" ht="14.25" customHeight="1" spans="4:14">
      <c r="D86" s="19">
        <v>72</v>
      </c>
      <c r="E86" s="22" t="s">
        <v>441</v>
      </c>
      <c r="F86" s="19">
        <v>15</v>
      </c>
      <c r="G86" s="19">
        <v>7</v>
      </c>
      <c r="H86" s="19">
        <v>2</v>
      </c>
      <c r="I86" s="19">
        <v>6</v>
      </c>
      <c r="J86" s="19">
        <f t="shared" si="4"/>
        <v>8</v>
      </c>
      <c r="K86" s="19">
        <v>18</v>
      </c>
      <c r="L86" s="36">
        <f t="shared" si="5"/>
        <v>48</v>
      </c>
      <c r="M86" s="19">
        <f t="shared" si="6"/>
        <v>1</v>
      </c>
      <c r="N86" s="19" t="str">
        <f t="shared" si="7"/>
        <v>PASS</v>
      </c>
    </row>
    <row r="87" ht="14.25" customHeight="1" spans="4:14">
      <c r="D87" s="19">
        <v>73</v>
      </c>
      <c r="E87" s="22" t="s">
        <v>446</v>
      </c>
      <c r="F87" s="19">
        <v>13</v>
      </c>
      <c r="G87" s="19">
        <v>4</v>
      </c>
      <c r="H87" s="19">
        <v>2</v>
      </c>
      <c r="I87" s="19">
        <v>1</v>
      </c>
      <c r="J87" s="19">
        <f t="shared" si="4"/>
        <v>3</v>
      </c>
      <c r="K87" s="19">
        <v>28</v>
      </c>
      <c r="L87" s="36">
        <f t="shared" si="5"/>
        <v>48</v>
      </c>
      <c r="M87" s="19">
        <f t="shared" si="6"/>
        <v>1</v>
      </c>
      <c r="N87" s="19" t="str">
        <f t="shared" si="7"/>
        <v>PASS</v>
      </c>
    </row>
    <row r="88" ht="14.25" customHeight="1" spans="4:14">
      <c r="D88" s="19">
        <v>74</v>
      </c>
      <c r="E88" s="22" t="s">
        <v>451</v>
      </c>
      <c r="F88" s="19">
        <v>3</v>
      </c>
      <c r="G88" s="19">
        <v>17</v>
      </c>
      <c r="H88" s="19">
        <v>9</v>
      </c>
      <c r="I88" s="19">
        <v>2</v>
      </c>
      <c r="J88" s="19">
        <f t="shared" si="4"/>
        <v>11</v>
      </c>
      <c r="K88" s="19">
        <v>1</v>
      </c>
      <c r="L88" s="36">
        <f t="shared" si="5"/>
        <v>32</v>
      </c>
      <c r="M88" s="19">
        <f t="shared" si="6"/>
        <v>0</v>
      </c>
      <c r="N88" s="19" t="str">
        <f t="shared" si="7"/>
        <v>FAIL</v>
      </c>
    </row>
    <row r="89" ht="14.25" customHeight="1" spans="4:14">
      <c r="D89" s="19">
        <v>75</v>
      </c>
      <c r="E89" s="22" t="s">
        <v>456</v>
      </c>
      <c r="F89" s="19">
        <v>18</v>
      </c>
      <c r="G89" s="19">
        <v>17</v>
      </c>
      <c r="H89" s="19">
        <v>10</v>
      </c>
      <c r="I89" s="19">
        <v>16</v>
      </c>
      <c r="J89" s="19">
        <f t="shared" si="4"/>
        <v>26</v>
      </c>
      <c r="K89" s="19">
        <v>29</v>
      </c>
      <c r="L89" s="36">
        <f t="shared" si="5"/>
        <v>90</v>
      </c>
      <c r="M89" s="19">
        <f t="shared" si="6"/>
        <v>3</v>
      </c>
      <c r="N89" s="19" t="str">
        <f t="shared" si="7"/>
        <v>PASS</v>
      </c>
    </row>
    <row r="90" ht="14.25" customHeight="1" spans="4:14">
      <c r="D90" s="19">
        <v>76</v>
      </c>
      <c r="E90" s="22" t="s">
        <v>461</v>
      </c>
      <c r="F90" s="19">
        <v>10</v>
      </c>
      <c r="G90" s="19">
        <v>8</v>
      </c>
      <c r="H90" s="19">
        <v>1</v>
      </c>
      <c r="I90" s="19">
        <v>10</v>
      </c>
      <c r="J90" s="19">
        <f t="shared" si="4"/>
        <v>11</v>
      </c>
      <c r="K90" s="19">
        <v>19</v>
      </c>
      <c r="L90" s="36">
        <f t="shared" si="5"/>
        <v>48</v>
      </c>
      <c r="M90" s="19">
        <f t="shared" si="6"/>
        <v>1</v>
      </c>
      <c r="N90" s="19" t="str">
        <f t="shared" si="7"/>
        <v>PASS</v>
      </c>
    </row>
    <row r="91" ht="14.25" customHeight="1" spans="4:14">
      <c r="D91" s="19">
        <v>77</v>
      </c>
      <c r="E91" s="22" t="s">
        <v>466</v>
      </c>
      <c r="F91" s="19">
        <v>20</v>
      </c>
      <c r="G91" s="19">
        <v>3</v>
      </c>
      <c r="H91" s="19">
        <v>7</v>
      </c>
      <c r="I91" s="19">
        <v>6</v>
      </c>
      <c r="J91" s="19">
        <f t="shared" si="4"/>
        <v>13</v>
      </c>
      <c r="K91" s="19">
        <v>6</v>
      </c>
      <c r="L91" s="36">
        <f t="shared" si="5"/>
        <v>42</v>
      </c>
      <c r="M91" s="19">
        <f t="shared" si="6"/>
        <v>1</v>
      </c>
      <c r="N91" s="19" t="str">
        <f t="shared" si="7"/>
        <v>PASS</v>
      </c>
    </row>
    <row r="92" ht="14.25" customHeight="1" spans="4:14">
      <c r="D92" s="19">
        <v>78</v>
      </c>
      <c r="E92" s="22" t="s">
        <v>470</v>
      </c>
      <c r="F92" s="19">
        <v>9</v>
      </c>
      <c r="G92" s="19">
        <v>13</v>
      </c>
      <c r="H92" s="19">
        <v>4</v>
      </c>
      <c r="I92" s="19">
        <v>11</v>
      </c>
      <c r="J92" s="19">
        <f t="shared" si="4"/>
        <v>15</v>
      </c>
      <c r="K92" s="19">
        <v>15</v>
      </c>
      <c r="L92" s="36">
        <f t="shared" si="5"/>
        <v>52</v>
      </c>
      <c r="M92" s="19">
        <f t="shared" si="6"/>
        <v>2</v>
      </c>
      <c r="N92" s="19" t="str">
        <f t="shared" si="7"/>
        <v>PASS</v>
      </c>
    </row>
    <row r="93" ht="14.25" customHeight="1" spans="4:14">
      <c r="D93" s="19">
        <v>79</v>
      </c>
      <c r="E93" s="22" t="s">
        <v>475</v>
      </c>
      <c r="F93" s="19">
        <v>15</v>
      </c>
      <c r="G93" s="19">
        <v>19</v>
      </c>
      <c r="H93" s="19">
        <v>5</v>
      </c>
      <c r="I93" s="19">
        <v>9</v>
      </c>
      <c r="J93" s="19">
        <f t="shared" si="4"/>
        <v>14</v>
      </c>
      <c r="K93" s="19">
        <v>25</v>
      </c>
      <c r="L93" s="36">
        <f t="shared" si="5"/>
        <v>73</v>
      </c>
      <c r="M93" s="19">
        <f t="shared" si="6"/>
        <v>2</v>
      </c>
      <c r="N93" s="19" t="str">
        <f t="shared" si="7"/>
        <v>PASS</v>
      </c>
    </row>
    <row r="94" ht="14.25" customHeight="1" spans="4:14">
      <c r="D94" s="19">
        <v>80</v>
      </c>
      <c r="E94" s="22" t="s">
        <v>480</v>
      </c>
      <c r="F94" s="19">
        <v>1</v>
      </c>
      <c r="G94" s="19">
        <v>10</v>
      </c>
      <c r="H94" s="19">
        <v>9</v>
      </c>
      <c r="I94" s="19">
        <v>12</v>
      </c>
      <c r="J94" s="19">
        <f t="shared" si="4"/>
        <v>21</v>
      </c>
      <c r="K94" s="19">
        <v>28</v>
      </c>
      <c r="L94" s="36">
        <f t="shared" si="5"/>
        <v>60</v>
      </c>
      <c r="M94" s="19">
        <f t="shared" si="6"/>
        <v>2</v>
      </c>
      <c r="N94" s="19" t="str">
        <f t="shared" si="7"/>
        <v>PASS</v>
      </c>
    </row>
    <row r="95" ht="14.25" customHeight="1" spans="4:14">
      <c r="D95" s="19">
        <v>81</v>
      </c>
      <c r="E95" s="22" t="s">
        <v>485</v>
      </c>
      <c r="F95" s="19">
        <v>5</v>
      </c>
      <c r="G95" s="19">
        <v>10</v>
      </c>
      <c r="H95" s="19">
        <v>10</v>
      </c>
      <c r="I95" s="19">
        <v>0</v>
      </c>
      <c r="J95" s="19">
        <f t="shared" si="4"/>
        <v>10</v>
      </c>
      <c r="K95" s="19">
        <v>2</v>
      </c>
      <c r="L95" s="36">
        <f t="shared" si="5"/>
        <v>27</v>
      </c>
      <c r="M95" s="19">
        <f t="shared" si="6"/>
        <v>0</v>
      </c>
      <c r="N95" s="19" t="str">
        <f t="shared" si="7"/>
        <v>FAIL</v>
      </c>
    </row>
    <row r="96" ht="14.25" customHeight="1" spans="4:14">
      <c r="D96" s="19">
        <v>82</v>
      </c>
      <c r="E96" s="22" t="s">
        <v>490</v>
      </c>
      <c r="F96" s="19">
        <v>4</v>
      </c>
      <c r="G96" s="19">
        <v>15</v>
      </c>
      <c r="H96" s="19">
        <v>4</v>
      </c>
      <c r="I96" s="19">
        <v>0</v>
      </c>
      <c r="J96" s="19">
        <f t="shared" si="4"/>
        <v>4</v>
      </c>
      <c r="K96" s="19">
        <v>5</v>
      </c>
      <c r="L96" s="36">
        <f t="shared" si="5"/>
        <v>28</v>
      </c>
      <c r="M96" s="19">
        <f t="shared" si="6"/>
        <v>0</v>
      </c>
      <c r="N96" s="19" t="str">
        <f t="shared" si="7"/>
        <v>FAIL</v>
      </c>
    </row>
    <row r="97" ht="14.25" customHeight="1" spans="4:14">
      <c r="D97" s="19">
        <v>83</v>
      </c>
      <c r="E97" s="22" t="s">
        <v>495</v>
      </c>
      <c r="F97" s="19">
        <v>8</v>
      </c>
      <c r="G97" s="19">
        <v>5</v>
      </c>
      <c r="H97" s="19">
        <v>6</v>
      </c>
      <c r="I97" s="19">
        <v>11</v>
      </c>
      <c r="J97" s="19">
        <f t="shared" si="4"/>
        <v>17</v>
      </c>
      <c r="K97" s="19">
        <v>1</v>
      </c>
      <c r="L97" s="36">
        <f t="shared" si="5"/>
        <v>31</v>
      </c>
      <c r="M97" s="19">
        <f t="shared" si="6"/>
        <v>0</v>
      </c>
      <c r="N97" s="19" t="str">
        <f t="shared" si="7"/>
        <v>FAIL</v>
      </c>
    </row>
    <row r="98" ht="14.25" customHeight="1" spans="4:14">
      <c r="D98" s="19">
        <v>84</v>
      </c>
      <c r="E98" s="22" t="s">
        <v>500</v>
      </c>
      <c r="F98" s="19">
        <v>20</v>
      </c>
      <c r="G98" s="19">
        <v>5</v>
      </c>
      <c r="H98" s="19">
        <v>4</v>
      </c>
      <c r="I98" s="19">
        <v>12</v>
      </c>
      <c r="J98" s="19">
        <f t="shared" si="4"/>
        <v>16</v>
      </c>
      <c r="K98" s="19">
        <v>17</v>
      </c>
      <c r="L98" s="36">
        <f t="shared" si="5"/>
        <v>58</v>
      </c>
      <c r="M98" s="19">
        <f t="shared" si="6"/>
        <v>2</v>
      </c>
      <c r="N98" s="19" t="str">
        <f t="shared" si="7"/>
        <v>PASS</v>
      </c>
    </row>
    <row r="99" ht="14.25" customHeight="1" spans="4:14">
      <c r="D99" s="19">
        <v>85</v>
      </c>
      <c r="E99" s="22" t="s">
        <v>505</v>
      </c>
      <c r="F99" s="19">
        <v>1</v>
      </c>
      <c r="G99" s="19">
        <v>0</v>
      </c>
      <c r="H99" s="19">
        <v>2</v>
      </c>
      <c r="I99" s="19">
        <v>12</v>
      </c>
      <c r="J99" s="19">
        <f t="shared" si="4"/>
        <v>14</v>
      </c>
      <c r="K99" s="19">
        <v>24</v>
      </c>
      <c r="L99" s="36">
        <f t="shared" si="5"/>
        <v>39</v>
      </c>
      <c r="M99" s="19">
        <f t="shared" si="6"/>
        <v>1</v>
      </c>
      <c r="N99" s="19" t="str">
        <f t="shared" si="7"/>
        <v>PASS</v>
      </c>
    </row>
    <row r="100" ht="14.25" customHeight="1" spans="4:14">
      <c r="D100" s="19">
        <v>86</v>
      </c>
      <c r="E100" s="22" t="s">
        <v>510</v>
      </c>
      <c r="F100" s="19">
        <v>16</v>
      </c>
      <c r="G100" s="19">
        <v>2</v>
      </c>
      <c r="H100" s="19">
        <v>8</v>
      </c>
      <c r="I100" s="19">
        <v>1</v>
      </c>
      <c r="J100" s="19">
        <f t="shared" si="4"/>
        <v>9</v>
      </c>
      <c r="K100" s="19">
        <v>22</v>
      </c>
      <c r="L100" s="36">
        <f t="shared" si="5"/>
        <v>49</v>
      </c>
      <c r="M100" s="19">
        <f t="shared" si="6"/>
        <v>1</v>
      </c>
      <c r="N100" s="19" t="str">
        <f t="shared" si="7"/>
        <v>PASS</v>
      </c>
    </row>
    <row r="101" ht="14.25" customHeight="1" spans="4:14">
      <c r="D101" s="19">
        <v>87</v>
      </c>
      <c r="E101" s="22" t="s">
        <v>515</v>
      </c>
      <c r="F101" s="19">
        <v>19</v>
      </c>
      <c r="G101" s="19">
        <v>19</v>
      </c>
      <c r="H101" s="19">
        <v>10</v>
      </c>
      <c r="I101" s="19">
        <v>20</v>
      </c>
      <c r="J101" s="19">
        <f t="shared" si="4"/>
        <v>30</v>
      </c>
      <c r="K101" s="19">
        <v>29</v>
      </c>
      <c r="L101" s="36">
        <f t="shared" si="5"/>
        <v>97</v>
      </c>
      <c r="M101" s="19">
        <f t="shared" si="6"/>
        <v>3</v>
      </c>
      <c r="N101" s="19" t="str">
        <f t="shared" si="7"/>
        <v>PASS</v>
      </c>
    </row>
    <row r="102" ht="14.25" customHeight="1" spans="4:14">
      <c r="D102" s="19">
        <v>88</v>
      </c>
      <c r="E102" s="22" t="s">
        <v>520</v>
      </c>
      <c r="F102" s="19">
        <v>15</v>
      </c>
      <c r="G102" s="19">
        <v>19</v>
      </c>
      <c r="H102" s="19">
        <v>9</v>
      </c>
      <c r="I102" s="19">
        <v>14</v>
      </c>
      <c r="J102" s="19">
        <f t="shared" si="4"/>
        <v>23</v>
      </c>
      <c r="K102" s="19">
        <v>25</v>
      </c>
      <c r="L102" s="36">
        <f t="shared" si="5"/>
        <v>82</v>
      </c>
      <c r="M102" s="19">
        <f t="shared" si="6"/>
        <v>3</v>
      </c>
      <c r="N102" s="19" t="str">
        <f t="shared" si="7"/>
        <v>PASS</v>
      </c>
    </row>
    <row r="103" ht="14.25" customHeight="1" spans="4:14">
      <c r="D103" s="19">
        <v>89</v>
      </c>
      <c r="E103" s="22" t="s">
        <v>525</v>
      </c>
      <c r="F103" s="19">
        <v>16</v>
      </c>
      <c r="G103" s="19">
        <v>13</v>
      </c>
      <c r="H103" s="19">
        <v>2</v>
      </c>
      <c r="I103" s="19">
        <v>5</v>
      </c>
      <c r="J103" s="19">
        <f t="shared" si="4"/>
        <v>7</v>
      </c>
      <c r="K103" s="19">
        <v>21</v>
      </c>
      <c r="L103" s="36">
        <f t="shared" si="5"/>
        <v>57</v>
      </c>
      <c r="M103" s="19">
        <f t="shared" si="6"/>
        <v>2</v>
      </c>
      <c r="N103" s="19" t="str">
        <f t="shared" si="7"/>
        <v>PASS</v>
      </c>
    </row>
    <row r="104" ht="14.25" customHeight="1" spans="4:14">
      <c r="D104" s="19">
        <v>90</v>
      </c>
      <c r="E104" s="22" t="s">
        <v>530</v>
      </c>
      <c r="F104" s="19">
        <v>8</v>
      </c>
      <c r="G104" s="19">
        <v>4</v>
      </c>
      <c r="H104" s="19">
        <v>3</v>
      </c>
      <c r="I104" s="19">
        <v>12</v>
      </c>
      <c r="J104" s="19">
        <f t="shared" si="4"/>
        <v>15</v>
      </c>
      <c r="K104" s="19">
        <v>24</v>
      </c>
      <c r="L104" s="36">
        <f t="shared" si="5"/>
        <v>51</v>
      </c>
      <c r="M104" s="19">
        <f t="shared" si="6"/>
        <v>2</v>
      </c>
      <c r="N104" s="19" t="str">
        <f t="shared" si="7"/>
        <v>PASS</v>
      </c>
    </row>
    <row r="105" ht="14.25" customHeight="1" spans="4:14">
      <c r="D105" s="19">
        <v>91</v>
      </c>
      <c r="E105" s="22" t="s">
        <v>535</v>
      </c>
      <c r="F105" s="19">
        <v>11</v>
      </c>
      <c r="G105" s="19">
        <v>1</v>
      </c>
      <c r="H105" s="19">
        <v>9</v>
      </c>
      <c r="I105" s="19">
        <v>9</v>
      </c>
      <c r="J105" s="19">
        <f t="shared" si="4"/>
        <v>18</v>
      </c>
      <c r="K105" s="19">
        <v>17</v>
      </c>
      <c r="L105" s="36">
        <f t="shared" si="5"/>
        <v>47</v>
      </c>
      <c r="M105" s="19">
        <f t="shared" si="6"/>
        <v>1</v>
      </c>
      <c r="N105" s="19" t="str">
        <f t="shared" si="7"/>
        <v>PASS</v>
      </c>
    </row>
    <row r="106" ht="14.25" customHeight="1" spans="4:14">
      <c r="D106" s="19">
        <v>92</v>
      </c>
      <c r="E106" s="22" t="s">
        <v>540</v>
      </c>
      <c r="F106" s="19">
        <v>2</v>
      </c>
      <c r="G106" s="19">
        <v>13</v>
      </c>
      <c r="H106" s="19">
        <v>0</v>
      </c>
      <c r="I106" s="19">
        <v>13</v>
      </c>
      <c r="J106" s="19">
        <f t="shared" si="4"/>
        <v>13</v>
      </c>
      <c r="K106" s="19">
        <v>0</v>
      </c>
      <c r="L106" s="36">
        <f t="shared" si="5"/>
        <v>28</v>
      </c>
      <c r="M106" s="19">
        <f t="shared" si="6"/>
        <v>0</v>
      </c>
      <c r="N106" s="19" t="str">
        <f t="shared" si="7"/>
        <v>FAIL</v>
      </c>
    </row>
    <row r="107" ht="14.25" customHeight="1" spans="4:14">
      <c r="D107" s="19">
        <v>93</v>
      </c>
      <c r="E107" s="22" t="s">
        <v>545</v>
      </c>
      <c r="F107" s="19">
        <v>3</v>
      </c>
      <c r="G107" s="19">
        <v>13</v>
      </c>
      <c r="H107" s="19">
        <v>8</v>
      </c>
      <c r="I107" s="19">
        <v>18</v>
      </c>
      <c r="J107" s="19">
        <f t="shared" si="4"/>
        <v>26</v>
      </c>
      <c r="K107" s="19">
        <v>13</v>
      </c>
      <c r="L107" s="36">
        <f t="shared" si="5"/>
        <v>55</v>
      </c>
      <c r="M107" s="19">
        <f t="shared" si="6"/>
        <v>2</v>
      </c>
      <c r="N107" s="19" t="str">
        <f t="shared" si="7"/>
        <v>PASS</v>
      </c>
    </row>
    <row r="108" ht="14.25" customHeight="1" spans="4:14">
      <c r="D108" s="19">
        <v>94</v>
      </c>
      <c r="E108" s="22" t="s">
        <v>549</v>
      </c>
      <c r="F108" s="19">
        <v>9</v>
      </c>
      <c r="G108" s="19">
        <v>8</v>
      </c>
      <c r="H108" s="19">
        <v>4</v>
      </c>
      <c r="I108" s="19">
        <v>16</v>
      </c>
      <c r="J108" s="19">
        <f t="shared" si="4"/>
        <v>20</v>
      </c>
      <c r="K108" s="19">
        <v>19</v>
      </c>
      <c r="L108" s="36">
        <f t="shared" si="5"/>
        <v>56</v>
      </c>
      <c r="M108" s="19">
        <f t="shared" si="6"/>
        <v>2</v>
      </c>
      <c r="N108" s="19" t="str">
        <f t="shared" si="7"/>
        <v>PASS</v>
      </c>
    </row>
    <row r="109" ht="14.25" customHeight="1" spans="4:14">
      <c r="D109" s="19">
        <v>95</v>
      </c>
      <c r="E109" s="22" t="s">
        <v>554</v>
      </c>
      <c r="F109" s="19">
        <v>12</v>
      </c>
      <c r="G109" s="19">
        <v>15</v>
      </c>
      <c r="H109" s="19">
        <v>4</v>
      </c>
      <c r="I109" s="19">
        <v>19</v>
      </c>
      <c r="J109" s="19">
        <f t="shared" si="4"/>
        <v>23</v>
      </c>
      <c r="K109" s="19">
        <v>13</v>
      </c>
      <c r="L109" s="36">
        <f t="shared" si="5"/>
        <v>63</v>
      </c>
      <c r="M109" s="19">
        <f t="shared" si="6"/>
        <v>2</v>
      </c>
      <c r="N109" s="19" t="str">
        <f t="shared" si="7"/>
        <v>PASS</v>
      </c>
    </row>
    <row r="110" ht="14.25" customHeight="1" spans="4:14">
      <c r="D110" s="19">
        <v>96</v>
      </c>
      <c r="E110" s="22" t="s">
        <v>559</v>
      </c>
      <c r="F110" s="19">
        <v>0</v>
      </c>
      <c r="G110" s="19">
        <v>15</v>
      </c>
      <c r="H110" s="19">
        <v>1</v>
      </c>
      <c r="I110" s="19">
        <v>20</v>
      </c>
      <c r="J110" s="19">
        <f t="shared" si="4"/>
        <v>21</v>
      </c>
      <c r="K110" s="19">
        <v>15</v>
      </c>
      <c r="L110" s="36">
        <f t="shared" si="5"/>
        <v>51</v>
      </c>
      <c r="M110" s="19">
        <f t="shared" si="6"/>
        <v>2</v>
      </c>
      <c r="N110" s="19" t="str">
        <f t="shared" si="7"/>
        <v>PASS</v>
      </c>
    </row>
    <row r="111" ht="14.25" customHeight="1" spans="4:14">
      <c r="D111" s="19">
        <v>97</v>
      </c>
      <c r="E111" s="22" t="s">
        <v>564</v>
      </c>
      <c r="F111" s="19">
        <v>14</v>
      </c>
      <c r="G111" s="19">
        <v>4</v>
      </c>
      <c r="H111" s="19">
        <v>5</v>
      </c>
      <c r="I111" s="19">
        <v>8</v>
      </c>
      <c r="J111" s="19">
        <f t="shared" si="4"/>
        <v>13</v>
      </c>
      <c r="K111" s="19">
        <v>28</v>
      </c>
      <c r="L111" s="36">
        <f t="shared" si="5"/>
        <v>59</v>
      </c>
      <c r="M111" s="19">
        <f t="shared" si="6"/>
        <v>2</v>
      </c>
      <c r="N111" s="19" t="str">
        <f t="shared" si="7"/>
        <v>PASS</v>
      </c>
    </row>
    <row r="112" ht="14.25" customHeight="1" spans="4:14">
      <c r="D112" s="19">
        <v>98</v>
      </c>
      <c r="E112" s="22" t="s">
        <v>569</v>
      </c>
      <c r="F112" s="19">
        <v>15</v>
      </c>
      <c r="G112" s="19">
        <v>2</v>
      </c>
      <c r="H112" s="19">
        <v>0</v>
      </c>
      <c r="I112" s="19">
        <v>6</v>
      </c>
      <c r="J112" s="19">
        <f t="shared" si="4"/>
        <v>6</v>
      </c>
      <c r="K112" s="19">
        <v>5</v>
      </c>
      <c r="L112" s="36">
        <f t="shared" si="5"/>
        <v>28</v>
      </c>
      <c r="M112" s="19">
        <f t="shared" si="6"/>
        <v>0</v>
      </c>
      <c r="N112" s="19" t="str">
        <f t="shared" si="7"/>
        <v>FAIL</v>
      </c>
    </row>
    <row r="113" ht="14.25" customHeight="1" spans="4:14">
      <c r="D113" s="19">
        <v>99</v>
      </c>
      <c r="E113" s="22" t="s">
        <v>574</v>
      </c>
      <c r="F113" s="19">
        <v>16</v>
      </c>
      <c r="G113" s="19">
        <v>4</v>
      </c>
      <c r="H113" s="19">
        <v>7</v>
      </c>
      <c r="I113" s="19">
        <v>17</v>
      </c>
      <c r="J113" s="19">
        <f t="shared" si="4"/>
        <v>24</v>
      </c>
      <c r="K113" s="19">
        <v>14</v>
      </c>
      <c r="L113" s="36">
        <f t="shared" si="5"/>
        <v>58</v>
      </c>
      <c r="M113" s="19">
        <f t="shared" si="6"/>
        <v>2</v>
      </c>
      <c r="N113" s="19" t="str">
        <f t="shared" si="7"/>
        <v>PASS</v>
      </c>
    </row>
    <row r="114" ht="14.25" customHeight="1" spans="4:14">
      <c r="D114" s="19">
        <v>100</v>
      </c>
      <c r="E114" s="22" t="s">
        <v>579</v>
      </c>
      <c r="F114" s="19">
        <v>0</v>
      </c>
      <c r="G114" s="19">
        <v>1</v>
      </c>
      <c r="H114" s="19">
        <v>5</v>
      </c>
      <c r="I114" s="19">
        <v>4</v>
      </c>
      <c r="J114" s="19">
        <f t="shared" si="4"/>
        <v>9</v>
      </c>
      <c r="K114" s="19">
        <v>18</v>
      </c>
      <c r="L114" s="36">
        <f t="shared" si="5"/>
        <v>28</v>
      </c>
      <c r="M114" s="19">
        <f t="shared" si="6"/>
        <v>0</v>
      </c>
      <c r="N114" s="19" t="str">
        <f t="shared" si="7"/>
        <v>FAIL</v>
      </c>
    </row>
  </sheetData>
  <mergeCells count="8">
    <mergeCell ref="D4:Q4"/>
    <mergeCell ref="D5:Q5"/>
    <mergeCell ref="D6:Q6"/>
    <mergeCell ref="G7:L7"/>
    <mergeCell ref="D8:Q8"/>
    <mergeCell ref="D9:Q9"/>
    <mergeCell ref="P16:Q16"/>
    <mergeCell ref="D2:Q3"/>
  </mergeCells>
  <conditionalFormatting sqref="E15:E114">
    <cfRule type="expression" dxfId="2" priority="8">
      <formula>COUNTIF($E$15:$E$114,E15)&gt;1</formula>
    </cfRule>
  </conditionalFormatting>
  <conditionalFormatting sqref="F15:F114">
    <cfRule type="expression" dxfId="2" priority="3">
      <formula>OR(F15&lt;0,F15&gt;20,NOT(ISNUMBER(F15)))</formula>
    </cfRule>
  </conditionalFormatting>
  <conditionalFormatting sqref="G15:G114">
    <cfRule type="expression" dxfId="2" priority="4">
      <formula>OR(G15&lt;0,G15&gt;20,NOT(ISNUMBER(G15)))</formula>
    </cfRule>
  </conditionalFormatting>
  <conditionalFormatting sqref="H15:H114">
    <cfRule type="expression" dxfId="2" priority="5">
      <formula>OR(H15&lt;0,H15&gt;10,NOT(ISNUMBER(H15)))</formula>
    </cfRule>
  </conditionalFormatting>
  <conditionalFormatting sqref="I15:I114">
    <cfRule type="expression" dxfId="2" priority="6">
      <formula>OR(I15&lt;0,I15&gt;20,NOT(ISNUMBER(I15)))</formula>
    </cfRule>
  </conditionalFormatting>
  <conditionalFormatting sqref="K15:K114">
    <cfRule type="expression" dxfId="2" priority="7">
      <formula>OR(K15&lt;0,K15&gt;30,NOT(ISNUMBER(K15)))</formula>
    </cfRule>
  </conditionalFormatting>
  <conditionalFormatting sqref="N15:N114">
    <cfRule type="containsText" dxfId="0" priority="2" operator="between" text="FAIL">
      <formula>NOT(ISERROR(SEARCH("FAIL",N15)))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E15:E114">
      <formula1>11</formula1>
    </dataValidation>
    <dataValidation type="decimal" operator="between" allowBlank="1" showErrorMessage="1" errorTitle="Invalid mark" error="Enter a number between 0 and 10" sqref="H15:H114">
      <formula1>0</formula1>
      <formula2>10</formula2>
    </dataValidation>
    <dataValidation type="decimal" operator="between" allowBlank="1" showErrorMessage="1" errorTitle="Invalid mark" error="Enter a number between 0 and 20" sqref="I15:I114 F15:G114">
      <formula1>0</formula1>
      <formula2>20</formula2>
    </dataValidation>
    <dataValidation type="decimal" operator="between" allowBlank="1" showErrorMessage="1" errorTitle="Invalid mark" error="Enter a number between 0 and 30" sqref="K15:K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C1:R114"/>
  <sheetViews>
    <sheetView zoomScale="74" zoomScaleNormal="74" topLeftCell="F1" workbookViewId="0">
      <selection activeCell="AC20" sqref="AC20"/>
    </sheetView>
  </sheetViews>
  <sheetFormatPr defaultColWidth="9" defaultRowHeight="14.4"/>
  <cols>
    <col min="4" max="4" width="19.4537037037037" style="1" customWidth="1"/>
    <col min="5" max="5" width="16.7222222222222" style="1" customWidth="1"/>
    <col min="6" max="6" width="16.8055555555556" style="1" customWidth="1"/>
    <col min="7" max="7" width="28" style="1" customWidth="1"/>
    <col min="8" max="8" width="11.4537037037037" style="1" customWidth="1"/>
    <col min="9" max="9" width="18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0"/>
    </row>
    <row r="3" ht="14.25" customHeight="1" spans="3:17">
      <c r="C3" s="9"/>
      <c r="D3" s="32" t="s">
        <v>632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ht="14.25" customHeight="1" spans="3:17">
      <c r="C4" s="9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ht="21" customHeight="1" spans="3:17">
      <c r="C5" s="9"/>
      <c r="D5" s="12" t="s">
        <v>633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21" customHeight="1" spans="3:17">
      <c r="C6" s="9"/>
      <c r="D6" s="13" t="s">
        <v>634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ht="21" customHeight="1" spans="3:17">
      <c r="C7" s="9"/>
      <c r="D7" s="14" t="s">
        <v>635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ht="21" customHeight="1" spans="3:17">
      <c r="C8" s="9"/>
      <c r="D8" s="15"/>
      <c r="E8" s="15"/>
      <c r="F8" s="15"/>
      <c r="G8" s="13" t="s">
        <v>617</v>
      </c>
      <c r="H8" s="13"/>
      <c r="I8" s="13"/>
      <c r="J8" s="13"/>
      <c r="K8" s="13"/>
      <c r="L8" s="13"/>
      <c r="M8" s="15"/>
      <c r="N8" s="15"/>
      <c r="O8" s="15"/>
      <c r="P8" s="15"/>
      <c r="Q8" s="27"/>
    </row>
    <row r="9" ht="21" customHeight="1" spans="3:17">
      <c r="C9" s="9"/>
      <c r="D9" s="16" t="s">
        <v>636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21" customHeight="1" spans="3:17">
      <c r="C10" s="10"/>
      <c r="D10" s="16" t="s">
        <v>637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18" customHeight="1" spans="3:17">
      <c r="D11" s="33">
        <v>25241102</v>
      </c>
      <c r="E11" s="17" t="s">
        <v>638</v>
      </c>
      <c r="G11" s="17" t="s">
        <v>639</v>
      </c>
      <c r="N11" s="10"/>
    </row>
    <row r="12" ht="14.25" customHeight="1" spans="3:17">
      <c r="C12" s="18" t="s">
        <v>62</v>
      </c>
      <c r="D12" s="18" t="s">
        <v>63</v>
      </c>
      <c r="E12" s="18" t="s">
        <v>622</v>
      </c>
      <c r="F12" s="18" t="s">
        <v>623</v>
      </c>
      <c r="G12" s="18" t="s">
        <v>624</v>
      </c>
      <c r="H12" s="18" t="s">
        <v>625</v>
      </c>
      <c r="I12" s="18" t="s">
        <v>626</v>
      </c>
      <c r="J12" s="18" t="s">
        <v>627</v>
      </c>
      <c r="K12" s="18" t="s">
        <v>75</v>
      </c>
      <c r="L12" s="18" t="s">
        <v>47</v>
      </c>
      <c r="M12" s="18" t="s">
        <v>77</v>
      </c>
      <c r="N12" s="10"/>
    </row>
    <row r="13" ht="14.25" customHeight="1" spans="3:17">
      <c r="C13" s="19"/>
      <c r="D13" s="19"/>
      <c r="E13" s="20">
        <v>20</v>
      </c>
      <c r="F13" s="20">
        <v>20</v>
      </c>
      <c r="G13" s="20">
        <v>10</v>
      </c>
      <c r="H13" s="20">
        <v>20</v>
      </c>
      <c r="I13" s="20">
        <v>30</v>
      </c>
      <c r="J13" s="20">
        <v>30</v>
      </c>
      <c r="K13" s="20">
        <v>100</v>
      </c>
      <c r="L13" s="20">
        <v>2</v>
      </c>
      <c r="M13" s="20" t="s">
        <v>79</v>
      </c>
      <c r="N13" s="10"/>
    </row>
    <row r="14" ht="14.25" customHeight="1" spans="3:17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0"/>
    </row>
    <row r="15" ht="14.25" customHeight="1" spans="3:17">
      <c r="C15" s="19">
        <v>1</v>
      </c>
      <c r="D15" s="22" t="s">
        <v>90</v>
      </c>
      <c r="E15" s="19">
        <v>4</v>
      </c>
      <c r="F15" s="19">
        <v>20</v>
      </c>
      <c r="G15" s="19">
        <v>10</v>
      </c>
      <c r="H15" s="19">
        <v>1</v>
      </c>
      <c r="I15" s="19">
        <f t="shared" ref="I15:I78" si="0">G15+H15</f>
        <v>11</v>
      </c>
      <c r="J15" s="19">
        <v>27</v>
      </c>
      <c r="K15" s="19">
        <f t="shared" ref="K15:K34" si="1">J15+I15+F15+E15</f>
        <v>62</v>
      </c>
      <c r="L15" s="19">
        <f t="shared" ref="L15:L78" si="2">IF(K15&gt;50,2,IF(K15&gt;35,1,0))</f>
        <v>2</v>
      </c>
      <c r="M15" s="19" t="str">
        <f t="shared" ref="M15:M78" si="3">IF(K15&lt;35,"FAIL","PASS")</f>
        <v>PASS</v>
      </c>
      <c r="N15" s="10"/>
      <c r="O15" s="25" t="s">
        <v>628</v>
      </c>
      <c r="P15" s="25"/>
    </row>
    <row r="16" ht="14.25" customHeight="1" spans="3:17">
      <c r="C16" s="19">
        <v>2</v>
      </c>
      <c r="D16" s="22" t="s">
        <v>97</v>
      </c>
      <c r="E16" s="19">
        <v>14</v>
      </c>
      <c r="F16" s="19">
        <v>1</v>
      </c>
      <c r="G16" s="19">
        <v>0</v>
      </c>
      <c r="H16" s="19">
        <v>18</v>
      </c>
      <c r="I16" s="19">
        <f t="shared" si="0"/>
        <v>18</v>
      </c>
      <c r="J16" s="19">
        <v>23</v>
      </c>
      <c r="K16" s="19">
        <f t="shared" si="1"/>
        <v>56</v>
      </c>
      <c r="L16" s="19">
        <f t="shared" si="2"/>
        <v>2</v>
      </c>
      <c r="M16" s="19" t="str">
        <f t="shared" si="3"/>
        <v>PASS</v>
      </c>
      <c r="N16" s="10"/>
      <c r="O16" s="1" t="s">
        <v>640</v>
      </c>
      <c r="P16" s="1">
        <f>COUNTIF(M15:M114,"PASS")</f>
        <v>86</v>
      </c>
    </row>
    <row r="17" ht="14.25" customHeight="1" spans="3:18">
      <c r="C17" s="19">
        <v>3</v>
      </c>
      <c r="D17" s="22" t="s">
        <v>102</v>
      </c>
      <c r="E17" s="19">
        <v>14</v>
      </c>
      <c r="F17" s="19">
        <v>8</v>
      </c>
      <c r="G17" s="19">
        <v>10</v>
      </c>
      <c r="H17" s="19">
        <v>8</v>
      </c>
      <c r="I17" s="19">
        <f t="shared" si="0"/>
        <v>18</v>
      </c>
      <c r="J17" s="19">
        <v>5</v>
      </c>
      <c r="K17" s="19">
        <f t="shared" si="1"/>
        <v>45</v>
      </c>
      <c r="L17" s="19">
        <f t="shared" si="2"/>
        <v>1</v>
      </c>
      <c r="M17" s="19" t="str">
        <f t="shared" si="3"/>
        <v>PASS</v>
      </c>
      <c r="N17" s="10"/>
      <c r="O17" s="1" t="s">
        <v>641</v>
      </c>
      <c r="P17" s="1">
        <f>COUNTIF(M15:M114,"FAIL")</f>
        <v>14</v>
      </c>
    </row>
    <row r="18" ht="14.25" customHeight="1" spans="3:18">
      <c r="C18" s="19">
        <v>4</v>
      </c>
      <c r="D18" s="22" t="s">
        <v>107</v>
      </c>
      <c r="E18" s="19">
        <v>5</v>
      </c>
      <c r="F18" s="19">
        <v>8</v>
      </c>
      <c r="G18" s="19">
        <v>1</v>
      </c>
      <c r="H18" s="19">
        <v>15</v>
      </c>
      <c r="I18" s="19">
        <f t="shared" si="0"/>
        <v>16</v>
      </c>
      <c r="J18" s="19">
        <v>14</v>
      </c>
      <c r="K18" s="19">
        <f t="shared" si="1"/>
        <v>43</v>
      </c>
      <c r="L18" s="19">
        <f t="shared" si="2"/>
        <v>1</v>
      </c>
      <c r="M18" s="19" t="str">
        <f t="shared" si="3"/>
        <v>PASS</v>
      </c>
      <c r="N18" s="10"/>
      <c r="O18" s="34"/>
      <c r="P18" s="34"/>
      <c r="Q18" s="34"/>
      <c r="R18" s="34"/>
    </row>
    <row r="19" ht="14.25" customHeight="1" spans="3:18">
      <c r="C19" s="19">
        <v>5</v>
      </c>
      <c r="D19" s="22" t="s">
        <v>112</v>
      </c>
      <c r="E19" s="19">
        <v>1</v>
      </c>
      <c r="F19" s="19">
        <v>16</v>
      </c>
      <c r="G19" s="19">
        <v>8</v>
      </c>
      <c r="H19" s="19">
        <v>20</v>
      </c>
      <c r="I19" s="19">
        <f t="shared" si="0"/>
        <v>28</v>
      </c>
      <c r="J19" s="19">
        <v>2</v>
      </c>
      <c r="K19" s="19">
        <f t="shared" si="1"/>
        <v>47</v>
      </c>
      <c r="L19" s="19">
        <f t="shared" si="2"/>
        <v>1</v>
      </c>
      <c r="M19" s="19" t="str">
        <f t="shared" si="3"/>
        <v>PASS</v>
      </c>
      <c r="N19" s="10"/>
    </row>
    <row r="20" ht="14.25" customHeight="1" spans="3:18">
      <c r="C20" s="19">
        <v>6</v>
      </c>
      <c r="D20" s="22" t="s">
        <v>117</v>
      </c>
      <c r="E20" s="19">
        <v>15</v>
      </c>
      <c r="F20" s="19">
        <v>14</v>
      </c>
      <c r="G20" s="19">
        <v>5</v>
      </c>
      <c r="H20" s="19">
        <v>0</v>
      </c>
      <c r="I20" s="19">
        <f t="shared" si="0"/>
        <v>5</v>
      </c>
      <c r="J20" s="19">
        <v>22</v>
      </c>
      <c r="K20" s="19">
        <f t="shared" si="1"/>
        <v>56</v>
      </c>
      <c r="L20" s="19">
        <f t="shared" si="2"/>
        <v>2</v>
      </c>
      <c r="M20" s="19" t="str">
        <f t="shared" si="3"/>
        <v>PASS</v>
      </c>
      <c r="N20" s="10"/>
    </row>
    <row r="21" ht="14.25" customHeight="1" spans="3:18">
      <c r="C21" s="19">
        <v>7</v>
      </c>
      <c r="D21" s="22" t="s">
        <v>122</v>
      </c>
      <c r="E21" s="19">
        <v>18</v>
      </c>
      <c r="F21" s="19">
        <v>3</v>
      </c>
      <c r="G21" s="19">
        <v>6</v>
      </c>
      <c r="H21" s="19">
        <v>2</v>
      </c>
      <c r="I21" s="19">
        <f t="shared" si="0"/>
        <v>8</v>
      </c>
      <c r="J21" s="19">
        <v>15</v>
      </c>
      <c r="K21" s="19">
        <f t="shared" si="1"/>
        <v>44</v>
      </c>
      <c r="L21" s="19">
        <f t="shared" si="2"/>
        <v>1</v>
      </c>
      <c r="M21" s="19" t="str">
        <f t="shared" si="3"/>
        <v>PASS</v>
      </c>
      <c r="N21" s="10"/>
      <c r="O21" s="34"/>
      <c r="P21" s="34"/>
      <c r="Q21" s="34"/>
      <c r="R21" s="34"/>
    </row>
    <row r="22" ht="14.25" customHeight="1" spans="3:18">
      <c r="C22" s="19">
        <v>8</v>
      </c>
      <c r="D22" s="22" t="s">
        <v>127</v>
      </c>
      <c r="E22" s="19">
        <v>8</v>
      </c>
      <c r="F22" s="19">
        <v>1</v>
      </c>
      <c r="G22" s="19">
        <v>1</v>
      </c>
      <c r="H22" s="19">
        <v>3</v>
      </c>
      <c r="I22" s="19">
        <f t="shared" si="0"/>
        <v>4</v>
      </c>
      <c r="J22" s="19">
        <v>27</v>
      </c>
      <c r="K22" s="19">
        <f t="shared" si="1"/>
        <v>40</v>
      </c>
      <c r="L22" s="19">
        <f t="shared" si="2"/>
        <v>1</v>
      </c>
      <c r="M22" s="19" t="str">
        <f t="shared" si="3"/>
        <v>PASS</v>
      </c>
      <c r="N22" s="10"/>
    </row>
    <row r="23" ht="14.25" customHeight="1" spans="3:18">
      <c r="C23" s="19">
        <v>9</v>
      </c>
      <c r="D23" s="22" t="s">
        <v>132</v>
      </c>
      <c r="E23" s="19">
        <v>10</v>
      </c>
      <c r="F23" s="19">
        <v>18</v>
      </c>
      <c r="G23" s="19">
        <v>7</v>
      </c>
      <c r="H23" s="19">
        <v>9</v>
      </c>
      <c r="I23" s="19">
        <f t="shared" si="0"/>
        <v>16</v>
      </c>
      <c r="J23" s="19">
        <v>13</v>
      </c>
      <c r="K23" s="19">
        <f t="shared" si="1"/>
        <v>57</v>
      </c>
      <c r="L23" s="19">
        <f t="shared" si="2"/>
        <v>2</v>
      </c>
      <c r="M23" s="19" t="str">
        <f t="shared" si="3"/>
        <v>PASS</v>
      </c>
      <c r="N23" s="10"/>
    </row>
    <row r="24" ht="14.25" customHeight="1" spans="3:18">
      <c r="C24" s="19">
        <v>10</v>
      </c>
      <c r="D24" s="22" t="s">
        <v>137</v>
      </c>
      <c r="E24" s="19">
        <v>9</v>
      </c>
      <c r="F24" s="19">
        <v>13</v>
      </c>
      <c r="G24" s="19">
        <v>1</v>
      </c>
      <c r="H24" s="19">
        <v>2</v>
      </c>
      <c r="I24" s="19">
        <f t="shared" si="0"/>
        <v>3</v>
      </c>
      <c r="J24" s="19">
        <v>22</v>
      </c>
      <c r="K24" s="19">
        <f t="shared" si="1"/>
        <v>47</v>
      </c>
      <c r="L24" s="19">
        <f t="shared" si="2"/>
        <v>1</v>
      </c>
      <c r="M24" s="19" t="str">
        <f t="shared" si="3"/>
        <v>PASS</v>
      </c>
      <c r="N24" s="10"/>
    </row>
    <row r="25" ht="14.25" customHeight="1" spans="3:18">
      <c r="C25" s="19">
        <v>11</v>
      </c>
      <c r="D25" s="22" t="s">
        <v>141</v>
      </c>
      <c r="E25" s="19">
        <v>19</v>
      </c>
      <c r="F25" s="19">
        <v>7</v>
      </c>
      <c r="G25" s="19">
        <v>3</v>
      </c>
      <c r="H25" s="19">
        <v>10</v>
      </c>
      <c r="I25" s="19">
        <f t="shared" si="0"/>
        <v>13</v>
      </c>
      <c r="J25" s="19">
        <v>7</v>
      </c>
      <c r="K25" s="19">
        <f t="shared" si="1"/>
        <v>46</v>
      </c>
      <c r="L25" s="19">
        <f t="shared" si="2"/>
        <v>1</v>
      </c>
      <c r="M25" s="19" t="str">
        <f t="shared" si="3"/>
        <v>PASS</v>
      </c>
      <c r="N25" s="10"/>
    </row>
    <row r="26" ht="14.25" customHeight="1" spans="3:18">
      <c r="C26" s="19">
        <v>12</v>
      </c>
      <c r="D26" s="22" t="s">
        <v>146</v>
      </c>
      <c r="E26" s="19">
        <v>3</v>
      </c>
      <c r="F26" s="19">
        <v>14</v>
      </c>
      <c r="G26" s="19">
        <v>1</v>
      </c>
      <c r="H26" s="19">
        <v>8</v>
      </c>
      <c r="I26" s="19">
        <f t="shared" si="0"/>
        <v>9</v>
      </c>
      <c r="J26" s="19">
        <v>10</v>
      </c>
      <c r="K26" s="19">
        <f t="shared" si="1"/>
        <v>36</v>
      </c>
      <c r="L26" s="19">
        <f t="shared" si="2"/>
        <v>1</v>
      </c>
      <c r="M26" s="19" t="str">
        <f t="shared" si="3"/>
        <v>PASS</v>
      </c>
      <c r="N26" s="10"/>
    </row>
    <row r="27" ht="14.25" customHeight="1" spans="3:18">
      <c r="C27" s="19">
        <v>13</v>
      </c>
      <c r="D27" s="22" t="s">
        <v>151</v>
      </c>
      <c r="E27" s="19">
        <v>2</v>
      </c>
      <c r="F27" s="19">
        <v>8</v>
      </c>
      <c r="G27" s="19">
        <v>10</v>
      </c>
      <c r="H27" s="19">
        <v>20</v>
      </c>
      <c r="I27" s="19">
        <f t="shared" si="0"/>
        <v>30</v>
      </c>
      <c r="J27" s="19">
        <v>5</v>
      </c>
      <c r="K27" s="19">
        <f t="shared" si="1"/>
        <v>45</v>
      </c>
      <c r="L27" s="19">
        <f t="shared" si="2"/>
        <v>1</v>
      </c>
      <c r="M27" s="19" t="str">
        <f t="shared" si="3"/>
        <v>PASS</v>
      </c>
      <c r="N27" s="10"/>
    </row>
    <row r="28" ht="14.25" customHeight="1" spans="3:18">
      <c r="C28" s="19">
        <v>14</v>
      </c>
      <c r="D28" s="22" t="s">
        <v>156</v>
      </c>
      <c r="E28" s="19">
        <v>11</v>
      </c>
      <c r="F28" s="19">
        <v>20</v>
      </c>
      <c r="G28" s="19">
        <v>5</v>
      </c>
      <c r="H28" s="19">
        <v>2</v>
      </c>
      <c r="I28" s="19">
        <f t="shared" si="0"/>
        <v>7</v>
      </c>
      <c r="J28" s="19">
        <v>6</v>
      </c>
      <c r="K28" s="19">
        <f t="shared" si="1"/>
        <v>44</v>
      </c>
      <c r="L28" s="19">
        <f t="shared" si="2"/>
        <v>1</v>
      </c>
      <c r="M28" s="19" t="str">
        <f t="shared" si="3"/>
        <v>PASS</v>
      </c>
      <c r="N28" s="10"/>
    </row>
    <row r="29" ht="14.25" customHeight="1" spans="3:18">
      <c r="C29" s="19">
        <v>15</v>
      </c>
      <c r="D29" s="22" t="s">
        <v>161</v>
      </c>
      <c r="E29" s="19">
        <v>11</v>
      </c>
      <c r="F29" s="19">
        <v>16</v>
      </c>
      <c r="G29" s="19">
        <v>5</v>
      </c>
      <c r="H29" s="19">
        <v>14</v>
      </c>
      <c r="I29" s="19">
        <f t="shared" si="0"/>
        <v>19</v>
      </c>
      <c r="J29" s="19">
        <v>26</v>
      </c>
      <c r="K29" s="19">
        <f t="shared" si="1"/>
        <v>72</v>
      </c>
      <c r="L29" s="19">
        <f t="shared" si="2"/>
        <v>2</v>
      </c>
      <c r="M29" s="19" t="str">
        <f t="shared" si="3"/>
        <v>PASS</v>
      </c>
      <c r="N29" s="10"/>
    </row>
    <row r="30" ht="14.25" customHeight="1" spans="3:18">
      <c r="C30" s="19">
        <v>16</v>
      </c>
      <c r="D30" s="22" t="s">
        <v>166</v>
      </c>
      <c r="E30" s="19">
        <v>0</v>
      </c>
      <c r="F30" s="19">
        <v>18</v>
      </c>
      <c r="G30" s="19">
        <v>10</v>
      </c>
      <c r="H30" s="19">
        <v>10</v>
      </c>
      <c r="I30" s="19">
        <f t="shared" si="0"/>
        <v>20</v>
      </c>
      <c r="J30" s="19">
        <v>25</v>
      </c>
      <c r="K30" s="19">
        <f t="shared" si="1"/>
        <v>63</v>
      </c>
      <c r="L30" s="19">
        <f t="shared" si="2"/>
        <v>2</v>
      </c>
      <c r="M30" s="19" t="str">
        <f t="shared" si="3"/>
        <v>PASS</v>
      </c>
      <c r="N30" s="10"/>
    </row>
    <row r="31" ht="14.25" customHeight="1" spans="3:18">
      <c r="C31" s="19">
        <v>17</v>
      </c>
      <c r="D31" s="22" t="s">
        <v>171</v>
      </c>
      <c r="E31" s="19">
        <v>11</v>
      </c>
      <c r="F31" s="19">
        <v>19</v>
      </c>
      <c r="G31" s="19">
        <v>2</v>
      </c>
      <c r="H31" s="19">
        <v>9</v>
      </c>
      <c r="I31" s="19">
        <f t="shared" si="0"/>
        <v>11</v>
      </c>
      <c r="J31" s="19">
        <v>14</v>
      </c>
      <c r="K31" s="19">
        <f t="shared" si="1"/>
        <v>55</v>
      </c>
      <c r="L31" s="19">
        <f t="shared" si="2"/>
        <v>2</v>
      </c>
      <c r="M31" s="19" t="str">
        <f t="shared" si="3"/>
        <v>PASS</v>
      </c>
      <c r="N31" s="10"/>
    </row>
    <row r="32" ht="14.25" customHeight="1" spans="3:18">
      <c r="C32" s="19">
        <v>18</v>
      </c>
      <c r="D32" s="22" t="s">
        <v>176</v>
      </c>
      <c r="E32" s="19">
        <v>4</v>
      </c>
      <c r="F32" s="19">
        <v>4</v>
      </c>
      <c r="G32" s="19">
        <v>7</v>
      </c>
      <c r="H32" s="19">
        <v>2</v>
      </c>
      <c r="I32" s="19">
        <f t="shared" si="0"/>
        <v>9</v>
      </c>
      <c r="J32" s="19">
        <v>1</v>
      </c>
      <c r="K32" s="19">
        <f t="shared" si="1"/>
        <v>18</v>
      </c>
      <c r="L32" s="19">
        <f t="shared" si="2"/>
        <v>0</v>
      </c>
      <c r="M32" s="19" t="str">
        <f t="shared" si="3"/>
        <v>FAIL</v>
      </c>
      <c r="N32" s="10"/>
    </row>
    <row r="33" ht="14.25" customHeight="1" spans="3:14">
      <c r="C33" s="19">
        <v>19</v>
      </c>
      <c r="D33" s="22" t="s">
        <v>181</v>
      </c>
      <c r="E33" s="19">
        <v>8</v>
      </c>
      <c r="F33" s="19">
        <v>5</v>
      </c>
      <c r="G33" s="19">
        <v>9</v>
      </c>
      <c r="H33" s="19">
        <v>18</v>
      </c>
      <c r="I33" s="19">
        <f t="shared" si="0"/>
        <v>27</v>
      </c>
      <c r="J33" s="19">
        <v>13</v>
      </c>
      <c r="K33" s="19">
        <f t="shared" si="1"/>
        <v>53</v>
      </c>
      <c r="L33" s="19">
        <f t="shared" si="2"/>
        <v>2</v>
      </c>
      <c r="M33" s="19" t="str">
        <f t="shared" si="3"/>
        <v>PASS</v>
      </c>
      <c r="N33" s="10"/>
    </row>
    <row r="34" ht="14.25" customHeight="1" spans="3:14">
      <c r="C34" s="19">
        <v>20</v>
      </c>
      <c r="D34" s="22" t="s">
        <v>186</v>
      </c>
      <c r="E34" s="19">
        <v>6</v>
      </c>
      <c r="F34" s="19">
        <v>20</v>
      </c>
      <c r="G34" s="19">
        <v>4</v>
      </c>
      <c r="H34" s="19">
        <v>5</v>
      </c>
      <c r="I34" s="19">
        <f t="shared" si="0"/>
        <v>9</v>
      </c>
      <c r="J34" s="19">
        <v>29</v>
      </c>
      <c r="K34" s="19">
        <f t="shared" si="1"/>
        <v>64</v>
      </c>
      <c r="L34" s="19">
        <f t="shared" si="2"/>
        <v>2</v>
      </c>
      <c r="M34" s="19" t="str">
        <f t="shared" si="3"/>
        <v>PASS</v>
      </c>
      <c r="N34" s="10"/>
    </row>
    <row r="35" ht="14.25" customHeight="1" spans="3:14">
      <c r="C35" s="19">
        <v>21</v>
      </c>
      <c r="D35" s="22" t="s">
        <v>40</v>
      </c>
      <c r="E35" s="19">
        <v>15</v>
      </c>
      <c r="F35" s="19">
        <v>15</v>
      </c>
      <c r="G35" s="19">
        <v>8</v>
      </c>
      <c r="H35" s="19">
        <v>14</v>
      </c>
      <c r="I35" s="19">
        <f t="shared" si="0"/>
        <v>22</v>
      </c>
      <c r="J35" s="19">
        <v>25</v>
      </c>
      <c r="K35" s="19">
        <f t="shared" ref="K35:K98" si="4">E35+F35+I35+J35</f>
        <v>77</v>
      </c>
      <c r="L35" s="19">
        <f t="shared" si="2"/>
        <v>2</v>
      </c>
      <c r="M35" s="19" t="str">
        <f t="shared" si="3"/>
        <v>PASS</v>
      </c>
    </row>
    <row r="36" ht="14.25" customHeight="1" spans="3:14">
      <c r="C36" s="19">
        <v>22</v>
      </c>
      <c r="D36" s="22" t="s">
        <v>195</v>
      </c>
      <c r="E36" s="19">
        <v>1</v>
      </c>
      <c r="F36" s="19">
        <v>12</v>
      </c>
      <c r="G36" s="19">
        <v>1</v>
      </c>
      <c r="H36" s="19">
        <v>14</v>
      </c>
      <c r="I36" s="19">
        <f t="shared" si="0"/>
        <v>15</v>
      </c>
      <c r="J36" s="19">
        <v>20</v>
      </c>
      <c r="K36" s="19">
        <f t="shared" si="4"/>
        <v>48</v>
      </c>
      <c r="L36" s="19">
        <f t="shared" si="2"/>
        <v>1</v>
      </c>
      <c r="M36" s="19" t="str">
        <f t="shared" si="3"/>
        <v>PASS</v>
      </c>
    </row>
    <row r="37" ht="14.25" customHeight="1" spans="3:14">
      <c r="C37" s="19">
        <v>23</v>
      </c>
      <c r="D37" s="22" t="s">
        <v>200</v>
      </c>
      <c r="E37" s="19">
        <v>19</v>
      </c>
      <c r="F37" s="19">
        <v>17</v>
      </c>
      <c r="G37" s="19">
        <v>10</v>
      </c>
      <c r="H37" s="19">
        <v>19</v>
      </c>
      <c r="I37" s="19">
        <f t="shared" si="0"/>
        <v>29</v>
      </c>
      <c r="J37" s="19">
        <v>12</v>
      </c>
      <c r="K37" s="19">
        <f t="shared" si="4"/>
        <v>77</v>
      </c>
      <c r="L37" s="19">
        <f t="shared" si="2"/>
        <v>2</v>
      </c>
      <c r="M37" s="19" t="str">
        <f t="shared" si="3"/>
        <v>PASS</v>
      </c>
    </row>
    <row r="38" ht="14.25" customHeight="1" spans="3:14">
      <c r="C38" s="19">
        <v>24</v>
      </c>
      <c r="D38" s="22" t="s">
        <v>205</v>
      </c>
      <c r="E38" s="19">
        <v>0</v>
      </c>
      <c r="F38" s="19">
        <v>5</v>
      </c>
      <c r="G38" s="19">
        <v>4</v>
      </c>
      <c r="H38" s="19">
        <v>5</v>
      </c>
      <c r="I38" s="19">
        <f t="shared" si="0"/>
        <v>9</v>
      </c>
      <c r="J38" s="19">
        <v>13</v>
      </c>
      <c r="K38" s="19">
        <f t="shared" si="4"/>
        <v>27</v>
      </c>
      <c r="L38" s="19">
        <f t="shared" si="2"/>
        <v>0</v>
      </c>
      <c r="M38" s="19" t="str">
        <f t="shared" si="3"/>
        <v>FAIL</v>
      </c>
    </row>
    <row r="39" ht="14.25" customHeight="1" spans="3:14">
      <c r="C39" s="19">
        <v>25</v>
      </c>
      <c r="D39" s="22" t="s">
        <v>210</v>
      </c>
      <c r="E39" s="19">
        <v>11</v>
      </c>
      <c r="F39" s="19">
        <v>15</v>
      </c>
      <c r="G39" s="19">
        <v>8</v>
      </c>
      <c r="H39" s="19">
        <v>10</v>
      </c>
      <c r="I39" s="19">
        <f t="shared" si="0"/>
        <v>18</v>
      </c>
      <c r="J39" s="19">
        <v>5</v>
      </c>
      <c r="K39" s="19">
        <f t="shared" si="4"/>
        <v>49</v>
      </c>
      <c r="L39" s="19">
        <f t="shared" si="2"/>
        <v>1</v>
      </c>
      <c r="M39" s="19" t="str">
        <f t="shared" si="3"/>
        <v>PASS</v>
      </c>
    </row>
    <row r="40" ht="14.25" customHeight="1" spans="3:14">
      <c r="C40" s="19">
        <v>26</v>
      </c>
      <c r="D40" s="22" t="s">
        <v>215</v>
      </c>
      <c r="E40" s="19">
        <v>18</v>
      </c>
      <c r="F40" s="19">
        <v>13</v>
      </c>
      <c r="G40" s="19">
        <v>0</v>
      </c>
      <c r="H40" s="19">
        <v>20</v>
      </c>
      <c r="I40" s="19">
        <f t="shared" si="0"/>
        <v>20</v>
      </c>
      <c r="J40" s="19">
        <v>27</v>
      </c>
      <c r="K40" s="19">
        <f t="shared" si="4"/>
        <v>78</v>
      </c>
      <c r="L40" s="19">
        <f t="shared" si="2"/>
        <v>2</v>
      </c>
      <c r="M40" s="19" t="str">
        <f t="shared" si="3"/>
        <v>PASS</v>
      </c>
    </row>
    <row r="41" ht="14.25" customHeight="1" spans="3:14">
      <c r="C41" s="19">
        <v>27</v>
      </c>
      <c r="D41" s="22" t="s">
        <v>220</v>
      </c>
      <c r="E41" s="19">
        <v>19</v>
      </c>
      <c r="F41" s="19">
        <v>9</v>
      </c>
      <c r="G41" s="19">
        <v>4</v>
      </c>
      <c r="H41" s="19">
        <v>9</v>
      </c>
      <c r="I41" s="19">
        <f t="shared" si="0"/>
        <v>13</v>
      </c>
      <c r="J41" s="19">
        <v>5</v>
      </c>
      <c r="K41" s="19">
        <f t="shared" si="4"/>
        <v>46</v>
      </c>
      <c r="L41" s="19">
        <f t="shared" si="2"/>
        <v>1</v>
      </c>
      <c r="M41" s="19" t="str">
        <f t="shared" si="3"/>
        <v>PASS</v>
      </c>
    </row>
    <row r="42" ht="14.25" customHeight="1" spans="3:14">
      <c r="C42" s="19">
        <v>28</v>
      </c>
      <c r="D42" s="22" t="s">
        <v>225</v>
      </c>
      <c r="E42" s="19">
        <v>17</v>
      </c>
      <c r="F42" s="19">
        <v>0</v>
      </c>
      <c r="G42" s="19">
        <v>9</v>
      </c>
      <c r="H42" s="19">
        <v>1</v>
      </c>
      <c r="I42" s="19">
        <f t="shared" si="0"/>
        <v>10</v>
      </c>
      <c r="J42" s="19">
        <v>30</v>
      </c>
      <c r="K42" s="19">
        <f t="shared" si="4"/>
        <v>57</v>
      </c>
      <c r="L42" s="19">
        <f t="shared" si="2"/>
        <v>2</v>
      </c>
      <c r="M42" s="19" t="str">
        <f t="shared" si="3"/>
        <v>PASS</v>
      </c>
    </row>
    <row r="43" ht="14.25" customHeight="1" spans="3:14">
      <c r="C43" s="19">
        <v>29</v>
      </c>
      <c r="D43" s="22" t="s">
        <v>230</v>
      </c>
      <c r="E43" s="19">
        <v>18</v>
      </c>
      <c r="F43" s="19">
        <v>13</v>
      </c>
      <c r="G43" s="19">
        <v>8</v>
      </c>
      <c r="H43" s="19">
        <v>0</v>
      </c>
      <c r="I43" s="19">
        <f t="shared" si="0"/>
        <v>8</v>
      </c>
      <c r="J43" s="19">
        <v>10</v>
      </c>
      <c r="K43" s="19">
        <f t="shared" si="4"/>
        <v>49</v>
      </c>
      <c r="L43" s="19">
        <f t="shared" si="2"/>
        <v>1</v>
      </c>
      <c r="M43" s="19" t="str">
        <f t="shared" si="3"/>
        <v>PASS</v>
      </c>
    </row>
    <row r="44" ht="14.25" customHeight="1" spans="3:14">
      <c r="C44" s="19">
        <v>30</v>
      </c>
      <c r="D44" s="22" t="s">
        <v>235</v>
      </c>
      <c r="E44" s="19">
        <v>5</v>
      </c>
      <c r="F44" s="19">
        <v>16</v>
      </c>
      <c r="G44" s="19">
        <v>8</v>
      </c>
      <c r="H44" s="19">
        <v>14</v>
      </c>
      <c r="I44" s="19">
        <f t="shared" si="0"/>
        <v>22</v>
      </c>
      <c r="J44" s="19">
        <v>28</v>
      </c>
      <c r="K44" s="19">
        <f t="shared" si="4"/>
        <v>71</v>
      </c>
      <c r="L44" s="19">
        <f t="shared" si="2"/>
        <v>2</v>
      </c>
      <c r="M44" s="19" t="str">
        <f t="shared" si="3"/>
        <v>PASS</v>
      </c>
    </row>
    <row r="45" ht="14.25" customHeight="1" spans="3:14">
      <c r="C45" s="19">
        <v>31</v>
      </c>
      <c r="D45" s="22" t="s">
        <v>240</v>
      </c>
      <c r="E45" s="19">
        <v>0</v>
      </c>
      <c r="F45" s="19">
        <v>16</v>
      </c>
      <c r="G45" s="19">
        <v>10</v>
      </c>
      <c r="H45" s="19">
        <v>1</v>
      </c>
      <c r="I45" s="19">
        <f t="shared" si="0"/>
        <v>11</v>
      </c>
      <c r="J45" s="19">
        <v>19</v>
      </c>
      <c r="K45" s="19">
        <f t="shared" si="4"/>
        <v>46</v>
      </c>
      <c r="L45" s="19">
        <f t="shared" si="2"/>
        <v>1</v>
      </c>
      <c r="M45" s="19" t="str">
        <f t="shared" si="3"/>
        <v>PASS</v>
      </c>
    </row>
    <row r="46" ht="14.25" customHeight="1" spans="3:14">
      <c r="C46" s="19">
        <v>32</v>
      </c>
      <c r="D46" s="22" t="s">
        <v>245</v>
      </c>
      <c r="E46" s="19">
        <v>17</v>
      </c>
      <c r="F46" s="19">
        <v>5</v>
      </c>
      <c r="G46" s="19">
        <v>8</v>
      </c>
      <c r="H46" s="19">
        <v>9</v>
      </c>
      <c r="I46" s="19">
        <f t="shared" si="0"/>
        <v>17</v>
      </c>
      <c r="J46" s="19">
        <v>16</v>
      </c>
      <c r="K46" s="19">
        <f t="shared" si="4"/>
        <v>55</v>
      </c>
      <c r="L46" s="19">
        <f t="shared" si="2"/>
        <v>2</v>
      </c>
      <c r="M46" s="19" t="str">
        <f t="shared" si="3"/>
        <v>PASS</v>
      </c>
    </row>
    <row r="47" ht="14.25" customHeight="1" spans="3:14">
      <c r="C47" s="19">
        <v>33</v>
      </c>
      <c r="D47" s="22" t="s">
        <v>250</v>
      </c>
      <c r="E47" s="19">
        <v>18</v>
      </c>
      <c r="F47" s="19">
        <v>1</v>
      </c>
      <c r="G47" s="19">
        <v>7</v>
      </c>
      <c r="H47" s="19">
        <v>3</v>
      </c>
      <c r="I47" s="19">
        <f t="shared" si="0"/>
        <v>10</v>
      </c>
      <c r="J47" s="19">
        <v>5</v>
      </c>
      <c r="K47" s="19">
        <f t="shared" si="4"/>
        <v>34</v>
      </c>
      <c r="L47" s="19">
        <f t="shared" si="2"/>
        <v>0</v>
      </c>
      <c r="M47" s="19" t="str">
        <f t="shared" si="3"/>
        <v>FAIL</v>
      </c>
    </row>
    <row r="48" ht="14.25" customHeight="1" spans="3:14">
      <c r="C48" s="19">
        <v>34</v>
      </c>
      <c r="D48" s="22" t="s">
        <v>255</v>
      </c>
      <c r="E48" s="19">
        <v>9</v>
      </c>
      <c r="F48" s="19">
        <v>14</v>
      </c>
      <c r="G48" s="19">
        <v>4</v>
      </c>
      <c r="H48" s="19">
        <v>8</v>
      </c>
      <c r="I48" s="19">
        <f t="shared" si="0"/>
        <v>12</v>
      </c>
      <c r="J48" s="19">
        <v>10</v>
      </c>
      <c r="K48" s="19">
        <f t="shared" si="4"/>
        <v>45</v>
      </c>
      <c r="L48" s="19">
        <f t="shared" si="2"/>
        <v>1</v>
      </c>
      <c r="M48" s="19" t="str">
        <f t="shared" si="3"/>
        <v>PASS</v>
      </c>
    </row>
    <row r="49" ht="14.25" customHeight="1" spans="3:13">
      <c r="C49" s="19">
        <v>35</v>
      </c>
      <c r="D49" s="22" t="s">
        <v>260</v>
      </c>
      <c r="E49" s="19">
        <v>8</v>
      </c>
      <c r="F49" s="19">
        <v>2</v>
      </c>
      <c r="G49" s="19">
        <v>0</v>
      </c>
      <c r="H49" s="19">
        <v>5</v>
      </c>
      <c r="I49" s="19">
        <f t="shared" si="0"/>
        <v>5</v>
      </c>
      <c r="J49" s="19">
        <v>5</v>
      </c>
      <c r="K49" s="19">
        <f t="shared" si="4"/>
        <v>20</v>
      </c>
      <c r="L49" s="19">
        <f t="shared" si="2"/>
        <v>0</v>
      </c>
      <c r="M49" s="19" t="str">
        <f t="shared" si="3"/>
        <v>FAIL</v>
      </c>
    </row>
    <row r="50" ht="14.25" customHeight="1" spans="3:13">
      <c r="C50" s="19">
        <v>36</v>
      </c>
      <c r="D50" s="22" t="s">
        <v>265</v>
      </c>
      <c r="E50" s="19">
        <v>14</v>
      </c>
      <c r="F50" s="19">
        <v>12</v>
      </c>
      <c r="G50" s="19">
        <v>5</v>
      </c>
      <c r="H50" s="19">
        <v>16</v>
      </c>
      <c r="I50" s="19">
        <f t="shared" si="0"/>
        <v>21</v>
      </c>
      <c r="J50" s="19">
        <v>1</v>
      </c>
      <c r="K50" s="19">
        <f t="shared" si="4"/>
        <v>48</v>
      </c>
      <c r="L50" s="19">
        <f t="shared" si="2"/>
        <v>1</v>
      </c>
      <c r="M50" s="19" t="str">
        <f t="shared" si="3"/>
        <v>PASS</v>
      </c>
    </row>
    <row r="51" ht="14.25" customHeight="1" spans="3:13">
      <c r="C51" s="19">
        <v>37</v>
      </c>
      <c r="D51" s="22" t="s">
        <v>270</v>
      </c>
      <c r="E51" s="19">
        <v>0</v>
      </c>
      <c r="F51" s="19">
        <v>13</v>
      </c>
      <c r="G51" s="19">
        <v>2</v>
      </c>
      <c r="H51" s="19">
        <v>8</v>
      </c>
      <c r="I51" s="19">
        <f t="shared" si="0"/>
        <v>10</v>
      </c>
      <c r="J51" s="19">
        <v>23</v>
      </c>
      <c r="K51" s="19">
        <f t="shared" si="4"/>
        <v>46</v>
      </c>
      <c r="L51" s="19">
        <f t="shared" si="2"/>
        <v>1</v>
      </c>
      <c r="M51" s="19" t="str">
        <f t="shared" si="3"/>
        <v>PASS</v>
      </c>
    </row>
    <row r="52" ht="14.25" customHeight="1" spans="3:13">
      <c r="C52" s="19">
        <v>38</v>
      </c>
      <c r="D52" s="22" t="s">
        <v>275</v>
      </c>
      <c r="E52" s="19">
        <v>17</v>
      </c>
      <c r="F52" s="19">
        <v>9</v>
      </c>
      <c r="G52" s="19">
        <v>2</v>
      </c>
      <c r="H52" s="19">
        <v>5</v>
      </c>
      <c r="I52" s="19">
        <f t="shared" si="0"/>
        <v>7</v>
      </c>
      <c r="J52" s="19">
        <v>30</v>
      </c>
      <c r="K52" s="19">
        <f t="shared" si="4"/>
        <v>63</v>
      </c>
      <c r="L52" s="19">
        <f t="shared" si="2"/>
        <v>2</v>
      </c>
      <c r="M52" s="19" t="str">
        <f t="shared" si="3"/>
        <v>PASS</v>
      </c>
    </row>
    <row r="53" ht="14.25" customHeight="1" spans="3:13">
      <c r="C53" s="19">
        <v>39</v>
      </c>
      <c r="D53" s="22" t="s">
        <v>280</v>
      </c>
      <c r="E53" s="19">
        <v>18</v>
      </c>
      <c r="F53" s="19">
        <v>0</v>
      </c>
      <c r="G53" s="19">
        <v>3</v>
      </c>
      <c r="H53" s="19">
        <v>1</v>
      </c>
      <c r="I53" s="19">
        <f t="shared" si="0"/>
        <v>4</v>
      </c>
      <c r="J53" s="19">
        <v>21</v>
      </c>
      <c r="K53" s="19">
        <f t="shared" si="4"/>
        <v>43</v>
      </c>
      <c r="L53" s="19">
        <f t="shared" si="2"/>
        <v>1</v>
      </c>
      <c r="M53" s="19" t="str">
        <f t="shared" si="3"/>
        <v>PASS</v>
      </c>
    </row>
    <row r="54" ht="14.25" customHeight="1" spans="3:13">
      <c r="C54" s="19">
        <v>40</v>
      </c>
      <c r="D54" s="22" t="s">
        <v>285</v>
      </c>
      <c r="E54" s="19">
        <v>10</v>
      </c>
      <c r="F54" s="19">
        <v>5</v>
      </c>
      <c r="G54" s="19">
        <v>10</v>
      </c>
      <c r="H54" s="19">
        <v>8</v>
      </c>
      <c r="I54" s="19">
        <f t="shared" si="0"/>
        <v>18</v>
      </c>
      <c r="J54" s="19">
        <v>18</v>
      </c>
      <c r="K54" s="19">
        <f t="shared" si="4"/>
        <v>51</v>
      </c>
      <c r="L54" s="19">
        <f t="shared" si="2"/>
        <v>2</v>
      </c>
      <c r="M54" s="19" t="str">
        <f t="shared" si="3"/>
        <v>PASS</v>
      </c>
    </row>
    <row r="55" ht="14.25" customHeight="1" spans="3:13">
      <c r="C55" s="19">
        <v>41</v>
      </c>
      <c r="D55" s="22" t="s">
        <v>290</v>
      </c>
      <c r="E55" s="19">
        <v>1</v>
      </c>
      <c r="F55" s="19">
        <v>16</v>
      </c>
      <c r="G55" s="19">
        <v>8</v>
      </c>
      <c r="H55" s="19">
        <v>19</v>
      </c>
      <c r="I55" s="19">
        <f t="shared" si="0"/>
        <v>27</v>
      </c>
      <c r="J55" s="19">
        <v>12</v>
      </c>
      <c r="K55" s="19">
        <f t="shared" si="4"/>
        <v>56</v>
      </c>
      <c r="L55" s="19">
        <f t="shared" si="2"/>
        <v>2</v>
      </c>
      <c r="M55" s="19" t="str">
        <f t="shared" si="3"/>
        <v>PASS</v>
      </c>
    </row>
    <row r="56" ht="14.25" customHeight="1" spans="3:13">
      <c r="C56" s="19">
        <v>42</v>
      </c>
      <c r="D56" s="22" t="s">
        <v>295</v>
      </c>
      <c r="E56" s="19">
        <v>16</v>
      </c>
      <c r="F56" s="19">
        <v>0</v>
      </c>
      <c r="G56" s="19">
        <v>7</v>
      </c>
      <c r="H56" s="19">
        <v>7</v>
      </c>
      <c r="I56" s="19">
        <f t="shared" si="0"/>
        <v>14</v>
      </c>
      <c r="J56" s="19">
        <v>12</v>
      </c>
      <c r="K56" s="19">
        <f t="shared" si="4"/>
        <v>42</v>
      </c>
      <c r="L56" s="19">
        <f t="shared" si="2"/>
        <v>1</v>
      </c>
      <c r="M56" s="19" t="str">
        <f t="shared" si="3"/>
        <v>PASS</v>
      </c>
    </row>
    <row r="57" ht="14.25" customHeight="1" spans="3:13">
      <c r="C57" s="19">
        <v>43</v>
      </c>
      <c r="D57" s="22" t="s">
        <v>300</v>
      </c>
      <c r="E57" s="19">
        <v>13</v>
      </c>
      <c r="F57" s="19">
        <v>8</v>
      </c>
      <c r="G57" s="19">
        <v>2</v>
      </c>
      <c r="H57" s="19">
        <v>1</v>
      </c>
      <c r="I57" s="19">
        <f t="shared" si="0"/>
        <v>3</v>
      </c>
      <c r="J57" s="19">
        <v>29</v>
      </c>
      <c r="K57" s="19">
        <f t="shared" si="4"/>
        <v>53</v>
      </c>
      <c r="L57" s="19">
        <f t="shared" si="2"/>
        <v>2</v>
      </c>
      <c r="M57" s="19" t="str">
        <f t="shared" si="3"/>
        <v>PASS</v>
      </c>
    </row>
    <row r="58" ht="14.25" customHeight="1" spans="3:13">
      <c r="C58" s="19">
        <v>44</v>
      </c>
      <c r="D58" s="22" t="s">
        <v>305</v>
      </c>
      <c r="E58" s="19">
        <v>1</v>
      </c>
      <c r="F58" s="19">
        <v>2</v>
      </c>
      <c r="G58" s="19">
        <v>5</v>
      </c>
      <c r="H58" s="19">
        <v>7</v>
      </c>
      <c r="I58" s="19">
        <f t="shared" si="0"/>
        <v>12</v>
      </c>
      <c r="J58" s="19">
        <v>30</v>
      </c>
      <c r="K58" s="19">
        <f t="shared" si="4"/>
        <v>45</v>
      </c>
      <c r="L58" s="19">
        <f t="shared" si="2"/>
        <v>1</v>
      </c>
      <c r="M58" s="19" t="str">
        <f t="shared" si="3"/>
        <v>PASS</v>
      </c>
    </row>
    <row r="59" ht="14.25" customHeight="1" spans="3:13">
      <c r="C59" s="19">
        <v>45</v>
      </c>
      <c r="D59" s="22" t="s">
        <v>310</v>
      </c>
      <c r="E59" s="19">
        <v>16</v>
      </c>
      <c r="F59" s="19">
        <v>14</v>
      </c>
      <c r="G59" s="19">
        <v>3</v>
      </c>
      <c r="H59" s="19">
        <v>4</v>
      </c>
      <c r="I59" s="19">
        <f t="shared" si="0"/>
        <v>7</v>
      </c>
      <c r="J59" s="19">
        <v>1</v>
      </c>
      <c r="K59" s="19">
        <f t="shared" si="4"/>
        <v>38</v>
      </c>
      <c r="L59" s="19">
        <f t="shared" si="2"/>
        <v>1</v>
      </c>
      <c r="M59" s="19" t="str">
        <f t="shared" si="3"/>
        <v>PASS</v>
      </c>
    </row>
    <row r="60" ht="14.25" customHeight="1" spans="3:13">
      <c r="C60" s="19">
        <v>46</v>
      </c>
      <c r="D60" s="22" t="s">
        <v>315</v>
      </c>
      <c r="E60" s="19">
        <v>11</v>
      </c>
      <c r="F60" s="19">
        <v>18</v>
      </c>
      <c r="G60" s="19">
        <v>6</v>
      </c>
      <c r="H60" s="19">
        <v>10</v>
      </c>
      <c r="I60" s="19">
        <f t="shared" si="0"/>
        <v>16</v>
      </c>
      <c r="J60" s="19">
        <v>3</v>
      </c>
      <c r="K60" s="19">
        <f t="shared" si="4"/>
        <v>48</v>
      </c>
      <c r="L60" s="19">
        <f t="shared" si="2"/>
        <v>1</v>
      </c>
      <c r="M60" s="19" t="str">
        <f t="shared" si="3"/>
        <v>PASS</v>
      </c>
    </row>
    <row r="61" ht="14.25" customHeight="1" spans="3:13">
      <c r="C61" s="19">
        <v>47</v>
      </c>
      <c r="D61" s="22" t="s">
        <v>320</v>
      </c>
      <c r="E61" s="19">
        <v>18</v>
      </c>
      <c r="F61" s="19">
        <v>20</v>
      </c>
      <c r="G61" s="19">
        <v>8</v>
      </c>
      <c r="H61" s="19">
        <v>3</v>
      </c>
      <c r="I61" s="19">
        <f t="shared" si="0"/>
        <v>11</v>
      </c>
      <c r="J61" s="19">
        <v>2</v>
      </c>
      <c r="K61" s="19">
        <f t="shared" si="4"/>
        <v>51</v>
      </c>
      <c r="L61" s="19">
        <f t="shared" si="2"/>
        <v>2</v>
      </c>
      <c r="M61" s="19" t="str">
        <f t="shared" si="3"/>
        <v>PASS</v>
      </c>
    </row>
    <row r="62" ht="14.25" customHeight="1" spans="3:13">
      <c r="C62" s="19">
        <v>48</v>
      </c>
      <c r="D62" s="22" t="s">
        <v>325</v>
      </c>
      <c r="E62" s="19">
        <v>19</v>
      </c>
      <c r="F62" s="19">
        <v>6</v>
      </c>
      <c r="G62" s="19">
        <v>8</v>
      </c>
      <c r="H62" s="19">
        <v>6</v>
      </c>
      <c r="I62" s="19">
        <f t="shared" si="0"/>
        <v>14</v>
      </c>
      <c r="J62" s="19">
        <v>14</v>
      </c>
      <c r="K62" s="19">
        <f t="shared" si="4"/>
        <v>53</v>
      </c>
      <c r="L62" s="19">
        <f t="shared" si="2"/>
        <v>2</v>
      </c>
      <c r="M62" s="19" t="str">
        <f t="shared" si="3"/>
        <v>PASS</v>
      </c>
    </row>
    <row r="63" ht="14.25" customHeight="1" spans="3:13">
      <c r="C63" s="19">
        <v>49</v>
      </c>
      <c r="D63" s="22" t="s">
        <v>330</v>
      </c>
      <c r="E63" s="19">
        <v>8</v>
      </c>
      <c r="F63" s="19">
        <v>4</v>
      </c>
      <c r="G63" s="19">
        <v>2</v>
      </c>
      <c r="H63" s="19">
        <v>10</v>
      </c>
      <c r="I63" s="19">
        <f t="shared" si="0"/>
        <v>12</v>
      </c>
      <c r="J63" s="19">
        <v>0</v>
      </c>
      <c r="K63" s="19">
        <f t="shared" si="4"/>
        <v>24</v>
      </c>
      <c r="L63" s="19">
        <f t="shared" si="2"/>
        <v>0</v>
      </c>
      <c r="M63" s="19" t="str">
        <f t="shared" si="3"/>
        <v>FAIL</v>
      </c>
    </row>
    <row r="64" ht="14.25" customHeight="1" spans="3:13">
      <c r="C64" s="19">
        <v>50</v>
      </c>
      <c r="D64" s="22" t="s">
        <v>335</v>
      </c>
      <c r="E64" s="19">
        <v>15</v>
      </c>
      <c r="F64" s="19">
        <v>17</v>
      </c>
      <c r="G64" s="19">
        <v>7</v>
      </c>
      <c r="H64" s="19">
        <v>16</v>
      </c>
      <c r="I64" s="19">
        <f t="shared" si="0"/>
        <v>23</v>
      </c>
      <c r="J64" s="19">
        <v>9</v>
      </c>
      <c r="K64" s="19">
        <f t="shared" si="4"/>
        <v>64</v>
      </c>
      <c r="L64" s="19">
        <f t="shared" si="2"/>
        <v>2</v>
      </c>
      <c r="M64" s="19" t="str">
        <f t="shared" si="3"/>
        <v>PASS</v>
      </c>
    </row>
    <row r="65" ht="14.25" customHeight="1" spans="3:13">
      <c r="C65" s="19">
        <v>51</v>
      </c>
      <c r="D65" s="22" t="s">
        <v>340</v>
      </c>
      <c r="E65" s="19">
        <v>2</v>
      </c>
      <c r="F65" s="19">
        <v>9</v>
      </c>
      <c r="G65" s="19">
        <v>4</v>
      </c>
      <c r="H65" s="19">
        <v>17</v>
      </c>
      <c r="I65" s="19">
        <f t="shared" si="0"/>
        <v>21</v>
      </c>
      <c r="J65" s="19">
        <v>15</v>
      </c>
      <c r="K65" s="19">
        <f t="shared" si="4"/>
        <v>47</v>
      </c>
      <c r="L65" s="19">
        <f t="shared" si="2"/>
        <v>1</v>
      </c>
      <c r="M65" s="19" t="str">
        <f t="shared" si="3"/>
        <v>PASS</v>
      </c>
    </row>
    <row r="66" ht="14.25" customHeight="1" spans="3:13">
      <c r="C66" s="19">
        <v>52</v>
      </c>
      <c r="D66" s="22" t="s">
        <v>345</v>
      </c>
      <c r="E66" s="19">
        <v>14</v>
      </c>
      <c r="F66" s="19">
        <v>13</v>
      </c>
      <c r="G66" s="19">
        <v>6</v>
      </c>
      <c r="H66" s="19">
        <v>8</v>
      </c>
      <c r="I66" s="19">
        <f t="shared" si="0"/>
        <v>14</v>
      </c>
      <c r="J66" s="19">
        <v>14</v>
      </c>
      <c r="K66" s="19">
        <f t="shared" si="4"/>
        <v>55</v>
      </c>
      <c r="L66" s="19">
        <f t="shared" si="2"/>
        <v>2</v>
      </c>
      <c r="M66" s="19" t="str">
        <f t="shared" si="3"/>
        <v>PASS</v>
      </c>
    </row>
    <row r="67" ht="14.25" customHeight="1" spans="3:13">
      <c r="C67" s="19">
        <v>53</v>
      </c>
      <c r="D67" s="22" t="s">
        <v>350</v>
      </c>
      <c r="E67" s="19">
        <v>7</v>
      </c>
      <c r="F67" s="19">
        <v>11</v>
      </c>
      <c r="G67" s="19">
        <v>10</v>
      </c>
      <c r="H67" s="19">
        <v>9</v>
      </c>
      <c r="I67" s="19">
        <f t="shared" si="0"/>
        <v>19</v>
      </c>
      <c r="J67" s="19">
        <v>29</v>
      </c>
      <c r="K67" s="19">
        <f t="shared" si="4"/>
        <v>66</v>
      </c>
      <c r="L67" s="19">
        <f t="shared" si="2"/>
        <v>2</v>
      </c>
      <c r="M67" s="19" t="str">
        <f t="shared" si="3"/>
        <v>PASS</v>
      </c>
    </row>
    <row r="68" ht="14.25" customHeight="1" spans="3:13">
      <c r="C68" s="19">
        <v>54</v>
      </c>
      <c r="D68" s="22" t="s">
        <v>355</v>
      </c>
      <c r="E68" s="19">
        <v>14</v>
      </c>
      <c r="F68" s="19">
        <v>3</v>
      </c>
      <c r="G68" s="19">
        <v>9</v>
      </c>
      <c r="H68" s="19">
        <v>1</v>
      </c>
      <c r="I68" s="19">
        <f t="shared" si="0"/>
        <v>10</v>
      </c>
      <c r="J68" s="19">
        <v>18</v>
      </c>
      <c r="K68" s="19">
        <f t="shared" si="4"/>
        <v>45</v>
      </c>
      <c r="L68" s="19">
        <f t="shared" si="2"/>
        <v>1</v>
      </c>
      <c r="M68" s="19" t="str">
        <f t="shared" si="3"/>
        <v>PASS</v>
      </c>
    </row>
    <row r="69" ht="14.25" customHeight="1" spans="3:13">
      <c r="C69" s="19">
        <v>55</v>
      </c>
      <c r="D69" s="22" t="s">
        <v>360</v>
      </c>
      <c r="E69" s="19">
        <v>7</v>
      </c>
      <c r="F69" s="19">
        <v>20</v>
      </c>
      <c r="G69" s="19">
        <v>3</v>
      </c>
      <c r="H69" s="19">
        <v>5</v>
      </c>
      <c r="I69" s="19">
        <f t="shared" si="0"/>
        <v>8</v>
      </c>
      <c r="J69" s="19">
        <v>2</v>
      </c>
      <c r="K69" s="19">
        <f t="shared" si="4"/>
        <v>37</v>
      </c>
      <c r="L69" s="19">
        <f t="shared" si="2"/>
        <v>1</v>
      </c>
      <c r="M69" s="19" t="str">
        <f t="shared" si="3"/>
        <v>PASS</v>
      </c>
    </row>
    <row r="70" ht="14.25" customHeight="1" spans="3:13">
      <c r="C70" s="19">
        <v>56</v>
      </c>
      <c r="D70" s="22" t="s">
        <v>365</v>
      </c>
      <c r="E70" s="19">
        <v>1</v>
      </c>
      <c r="F70" s="19">
        <v>6</v>
      </c>
      <c r="G70" s="19">
        <v>3</v>
      </c>
      <c r="H70" s="19">
        <v>5</v>
      </c>
      <c r="I70" s="19">
        <f t="shared" si="0"/>
        <v>8</v>
      </c>
      <c r="J70" s="19">
        <v>12</v>
      </c>
      <c r="K70" s="19">
        <f t="shared" si="4"/>
        <v>27</v>
      </c>
      <c r="L70" s="19">
        <f t="shared" si="2"/>
        <v>0</v>
      </c>
      <c r="M70" s="19" t="str">
        <f t="shared" si="3"/>
        <v>FAIL</v>
      </c>
    </row>
    <row r="71" ht="14.25" customHeight="1" spans="3:13">
      <c r="C71" s="19">
        <v>57</v>
      </c>
      <c r="D71" s="22" t="s">
        <v>369</v>
      </c>
      <c r="E71" s="19">
        <v>4</v>
      </c>
      <c r="F71" s="19">
        <v>15</v>
      </c>
      <c r="G71" s="19">
        <v>10</v>
      </c>
      <c r="H71" s="19">
        <v>13</v>
      </c>
      <c r="I71" s="19">
        <f t="shared" si="0"/>
        <v>23</v>
      </c>
      <c r="J71" s="19">
        <v>1</v>
      </c>
      <c r="K71" s="19">
        <f t="shared" si="4"/>
        <v>43</v>
      </c>
      <c r="L71" s="19">
        <f t="shared" si="2"/>
        <v>1</v>
      </c>
      <c r="M71" s="19" t="str">
        <f t="shared" si="3"/>
        <v>PASS</v>
      </c>
    </row>
    <row r="72" ht="14.25" customHeight="1" spans="3:13">
      <c r="C72" s="19">
        <v>58</v>
      </c>
      <c r="D72" s="22" t="s">
        <v>374</v>
      </c>
      <c r="E72" s="19">
        <v>7</v>
      </c>
      <c r="F72" s="19">
        <v>12</v>
      </c>
      <c r="G72" s="19">
        <v>7</v>
      </c>
      <c r="H72" s="19">
        <v>9</v>
      </c>
      <c r="I72" s="19">
        <f t="shared" si="0"/>
        <v>16</v>
      </c>
      <c r="J72" s="19">
        <v>18</v>
      </c>
      <c r="K72" s="19">
        <f t="shared" si="4"/>
        <v>53</v>
      </c>
      <c r="L72" s="19">
        <f t="shared" si="2"/>
        <v>2</v>
      </c>
      <c r="M72" s="19" t="str">
        <f t="shared" si="3"/>
        <v>PASS</v>
      </c>
    </row>
    <row r="73" ht="14.25" customHeight="1" spans="3:13">
      <c r="C73" s="19">
        <v>59</v>
      </c>
      <c r="D73" s="22" t="s">
        <v>379</v>
      </c>
      <c r="E73" s="19">
        <v>4</v>
      </c>
      <c r="F73" s="19">
        <v>7</v>
      </c>
      <c r="G73" s="19">
        <v>5</v>
      </c>
      <c r="H73" s="19">
        <v>8</v>
      </c>
      <c r="I73" s="19">
        <f t="shared" si="0"/>
        <v>13</v>
      </c>
      <c r="J73" s="19">
        <v>28</v>
      </c>
      <c r="K73" s="19">
        <f t="shared" si="4"/>
        <v>52</v>
      </c>
      <c r="L73" s="19">
        <f t="shared" si="2"/>
        <v>2</v>
      </c>
      <c r="M73" s="19" t="str">
        <f t="shared" si="3"/>
        <v>PASS</v>
      </c>
    </row>
    <row r="74" ht="14.25" customHeight="1" spans="3:13">
      <c r="C74" s="19">
        <v>60</v>
      </c>
      <c r="D74" s="22" t="s">
        <v>384</v>
      </c>
      <c r="E74" s="19">
        <v>3</v>
      </c>
      <c r="F74" s="19">
        <v>10</v>
      </c>
      <c r="G74" s="19">
        <v>10</v>
      </c>
      <c r="H74" s="19">
        <v>3</v>
      </c>
      <c r="I74" s="19">
        <f t="shared" si="0"/>
        <v>13</v>
      </c>
      <c r="J74" s="19">
        <v>27</v>
      </c>
      <c r="K74" s="19">
        <f t="shared" si="4"/>
        <v>53</v>
      </c>
      <c r="L74" s="19">
        <f t="shared" si="2"/>
        <v>2</v>
      </c>
      <c r="M74" s="19" t="str">
        <f t="shared" si="3"/>
        <v>PASS</v>
      </c>
    </row>
    <row r="75" ht="14.25" customHeight="1" spans="3:13">
      <c r="C75" s="19">
        <v>61</v>
      </c>
      <c r="D75" s="22" t="s">
        <v>389</v>
      </c>
      <c r="E75" s="19">
        <v>16</v>
      </c>
      <c r="F75" s="19">
        <v>8</v>
      </c>
      <c r="G75" s="19">
        <v>5</v>
      </c>
      <c r="H75" s="19">
        <v>13</v>
      </c>
      <c r="I75" s="19">
        <f t="shared" si="0"/>
        <v>18</v>
      </c>
      <c r="J75" s="19">
        <v>22</v>
      </c>
      <c r="K75" s="19">
        <f t="shared" si="4"/>
        <v>64</v>
      </c>
      <c r="L75" s="19">
        <f t="shared" si="2"/>
        <v>2</v>
      </c>
      <c r="M75" s="19" t="str">
        <f t="shared" si="3"/>
        <v>PASS</v>
      </c>
    </row>
    <row r="76" ht="14.25" customHeight="1" spans="3:13">
      <c r="C76" s="19">
        <v>62</v>
      </c>
      <c r="D76" s="22" t="s">
        <v>394</v>
      </c>
      <c r="E76" s="19">
        <v>1</v>
      </c>
      <c r="F76" s="19">
        <v>9</v>
      </c>
      <c r="G76" s="19">
        <v>2</v>
      </c>
      <c r="H76" s="19">
        <v>14</v>
      </c>
      <c r="I76" s="19">
        <f t="shared" si="0"/>
        <v>16</v>
      </c>
      <c r="J76" s="19">
        <v>9</v>
      </c>
      <c r="K76" s="19">
        <f t="shared" si="4"/>
        <v>35</v>
      </c>
      <c r="L76" s="19">
        <f t="shared" si="2"/>
        <v>0</v>
      </c>
      <c r="M76" s="19" t="str">
        <f t="shared" si="3"/>
        <v>PASS</v>
      </c>
    </row>
    <row r="77" ht="14.25" customHeight="1" spans="3:13">
      <c r="C77" s="19">
        <v>63</v>
      </c>
      <c r="D77" s="22" t="s">
        <v>399</v>
      </c>
      <c r="E77" s="19">
        <v>13</v>
      </c>
      <c r="F77" s="19">
        <v>9</v>
      </c>
      <c r="G77" s="19">
        <v>5</v>
      </c>
      <c r="H77" s="19">
        <v>14</v>
      </c>
      <c r="I77" s="19">
        <f t="shared" si="0"/>
        <v>19</v>
      </c>
      <c r="J77" s="19">
        <v>3</v>
      </c>
      <c r="K77" s="19">
        <f t="shared" si="4"/>
        <v>44</v>
      </c>
      <c r="L77" s="19">
        <f t="shared" si="2"/>
        <v>1</v>
      </c>
      <c r="M77" s="19" t="str">
        <f t="shared" si="3"/>
        <v>PASS</v>
      </c>
    </row>
    <row r="78" ht="14.25" customHeight="1" spans="3:13">
      <c r="C78" s="19">
        <v>64</v>
      </c>
      <c r="D78" s="22" t="s">
        <v>403</v>
      </c>
      <c r="E78" s="19">
        <v>11</v>
      </c>
      <c r="F78" s="19">
        <v>7</v>
      </c>
      <c r="G78" s="19">
        <v>3</v>
      </c>
      <c r="H78" s="19">
        <v>0</v>
      </c>
      <c r="I78" s="19">
        <f t="shared" si="0"/>
        <v>3</v>
      </c>
      <c r="J78" s="19">
        <v>24</v>
      </c>
      <c r="K78" s="19">
        <f t="shared" si="4"/>
        <v>45</v>
      </c>
      <c r="L78" s="19">
        <f t="shared" si="2"/>
        <v>1</v>
      </c>
      <c r="M78" s="19" t="str">
        <f t="shared" si="3"/>
        <v>PASS</v>
      </c>
    </row>
    <row r="79" ht="14.25" customHeight="1" spans="3:13">
      <c r="C79" s="19">
        <v>65</v>
      </c>
      <c r="D79" s="22" t="s">
        <v>408</v>
      </c>
      <c r="E79" s="19">
        <v>16</v>
      </c>
      <c r="F79" s="19">
        <v>6</v>
      </c>
      <c r="G79" s="19">
        <v>7</v>
      </c>
      <c r="H79" s="19">
        <v>6</v>
      </c>
      <c r="I79" s="19">
        <f t="shared" ref="I79:I114" si="5">G79+H79</f>
        <v>13</v>
      </c>
      <c r="J79" s="19">
        <v>20</v>
      </c>
      <c r="K79" s="19">
        <f t="shared" si="4"/>
        <v>55</v>
      </c>
      <c r="L79" s="19">
        <f t="shared" ref="L79:L114" si="6">IF(K79&gt;50,2,IF(K79&gt;35,1,0))</f>
        <v>2</v>
      </c>
      <c r="M79" s="19" t="str">
        <f t="shared" ref="M79:M114" si="7">IF(K79&lt;35,"FAIL","PASS")</f>
        <v>PASS</v>
      </c>
    </row>
    <row r="80" ht="14.25" customHeight="1" spans="3:13">
      <c r="C80" s="19">
        <v>66</v>
      </c>
      <c r="D80" s="22" t="s">
        <v>413</v>
      </c>
      <c r="E80" s="19">
        <v>14</v>
      </c>
      <c r="F80" s="19">
        <v>9</v>
      </c>
      <c r="G80" s="19">
        <v>6</v>
      </c>
      <c r="H80" s="19">
        <v>0</v>
      </c>
      <c r="I80" s="19">
        <f t="shared" si="5"/>
        <v>6</v>
      </c>
      <c r="J80" s="19">
        <v>14</v>
      </c>
      <c r="K80" s="19">
        <f t="shared" si="4"/>
        <v>43</v>
      </c>
      <c r="L80" s="19">
        <f t="shared" si="6"/>
        <v>1</v>
      </c>
      <c r="M80" s="19" t="str">
        <f t="shared" si="7"/>
        <v>PASS</v>
      </c>
    </row>
    <row r="81" ht="14.25" customHeight="1" spans="3:13">
      <c r="C81" s="19">
        <v>67</v>
      </c>
      <c r="D81" s="22" t="s">
        <v>418</v>
      </c>
      <c r="E81" s="19">
        <v>10</v>
      </c>
      <c r="F81" s="19">
        <v>2</v>
      </c>
      <c r="G81" s="19">
        <v>3</v>
      </c>
      <c r="H81" s="19">
        <v>3</v>
      </c>
      <c r="I81" s="19">
        <f t="shared" si="5"/>
        <v>6</v>
      </c>
      <c r="J81" s="19">
        <v>30</v>
      </c>
      <c r="K81" s="19">
        <f t="shared" si="4"/>
        <v>48</v>
      </c>
      <c r="L81" s="19">
        <f t="shared" si="6"/>
        <v>1</v>
      </c>
      <c r="M81" s="19" t="str">
        <f t="shared" si="7"/>
        <v>PASS</v>
      </c>
    </row>
    <row r="82" ht="14.25" customHeight="1" spans="3:13">
      <c r="C82" s="19">
        <v>68</v>
      </c>
      <c r="D82" s="22" t="s">
        <v>422</v>
      </c>
      <c r="E82" s="19">
        <v>7</v>
      </c>
      <c r="F82" s="19">
        <v>12</v>
      </c>
      <c r="G82" s="19">
        <v>5</v>
      </c>
      <c r="H82" s="19">
        <v>4</v>
      </c>
      <c r="I82" s="19">
        <f t="shared" si="5"/>
        <v>9</v>
      </c>
      <c r="J82" s="19">
        <v>8</v>
      </c>
      <c r="K82" s="19">
        <f t="shared" si="4"/>
        <v>36</v>
      </c>
      <c r="L82" s="19">
        <f t="shared" si="6"/>
        <v>1</v>
      </c>
      <c r="M82" s="19" t="str">
        <f t="shared" si="7"/>
        <v>PASS</v>
      </c>
    </row>
    <row r="83" ht="14.25" customHeight="1" spans="3:13">
      <c r="C83" s="19">
        <v>69</v>
      </c>
      <c r="D83" s="22" t="s">
        <v>427</v>
      </c>
      <c r="E83" s="19">
        <v>3</v>
      </c>
      <c r="F83" s="19">
        <v>6</v>
      </c>
      <c r="G83" s="19">
        <v>5</v>
      </c>
      <c r="H83" s="19">
        <v>7</v>
      </c>
      <c r="I83" s="19">
        <f t="shared" si="5"/>
        <v>12</v>
      </c>
      <c r="J83" s="19">
        <v>14</v>
      </c>
      <c r="K83" s="19">
        <f t="shared" si="4"/>
        <v>35</v>
      </c>
      <c r="L83" s="19">
        <f t="shared" si="6"/>
        <v>0</v>
      </c>
      <c r="M83" s="19" t="str">
        <f t="shared" si="7"/>
        <v>PASS</v>
      </c>
    </row>
    <row r="84" ht="14.25" customHeight="1" spans="3:13">
      <c r="C84" s="19">
        <v>70</v>
      </c>
      <c r="D84" s="22" t="s">
        <v>432</v>
      </c>
      <c r="E84" s="19">
        <v>13</v>
      </c>
      <c r="F84" s="19">
        <v>8</v>
      </c>
      <c r="G84" s="19">
        <v>8</v>
      </c>
      <c r="H84" s="19">
        <v>8</v>
      </c>
      <c r="I84" s="19">
        <f t="shared" si="5"/>
        <v>16</v>
      </c>
      <c r="J84" s="19">
        <v>5</v>
      </c>
      <c r="K84" s="19">
        <f t="shared" si="4"/>
        <v>42</v>
      </c>
      <c r="L84" s="19">
        <f t="shared" si="6"/>
        <v>1</v>
      </c>
      <c r="M84" s="19" t="str">
        <f t="shared" si="7"/>
        <v>PASS</v>
      </c>
    </row>
    <row r="85" ht="14.25" customHeight="1" spans="3:13">
      <c r="C85" s="19">
        <v>71</v>
      </c>
      <c r="D85" s="22" t="s">
        <v>437</v>
      </c>
      <c r="E85" s="19">
        <v>4</v>
      </c>
      <c r="F85" s="19">
        <v>20</v>
      </c>
      <c r="G85" s="19">
        <v>3</v>
      </c>
      <c r="H85" s="19">
        <v>20</v>
      </c>
      <c r="I85" s="19">
        <f t="shared" si="5"/>
        <v>23</v>
      </c>
      <c r="J85" s="19">
        <v>0</v>
      </c>
      <c r="K85" s="19">
        <f t="shared" si="4"/>
        <v>47</v>
      </c>
      <c r="L85" s="19">
        <f t="shared" si="6"/>
        <v>1</v>
      </c>
      <c r="M85" s="19" t="str">
        <f t="shared" si="7"/>
        <v>PASS</v>
      </c>
    </row>
    <row r="86" ht="14.25" customHeight="1" spans="3:13">
      <c r="C86" s="19">
        <v>72</v>
      </c>
      <c r="D86" s="22" t="s">
        <v>441</v>
      </c>
      <c r="E86" s="19">
        <v>4</v>
      </c>
      <c r="F86" s="19">
        <v>6</v>
      </c>
      <c r="G86" s="19">
        <v>5</v>
      </c>
      <c r="H86" s="19">
        <v>17</v>
      </c>
      <c r="I86" s="19">
        <f t="shared" si="5"/>
        <v>22</v>
      </c>
      <c r="J86" s="19">
        <v>28</v>
      </c>
      <c r="K86" s="19">
        <f t="shared" si="4"/>
        <v>60</v>
      </c>
      <c r="L86" s="19">
        <f t="shared" si="6"/>
        <v>2</v>
      </c>
      <c r="M86" s="19" t="str">
        <f t="shared" si="7"/>
        <v>PASS</v>
      </c>
    </row>
    <row r="87" ht="14.25" customHeight="1" spans="3:13">
      <c r="C87" s="19">
        <v>73</v>
      </c>
      <c r="D87" s="22" t="s">
        <v>446</v>
      </c>
      <c r="E87" s="19">
        <v>19</v>
      </c>
      <c r="F87" s="19">
        <v>8</v>
      </c>
      <c r="G87" s="19">
        <v>3</v>
      </c>
      <c r="H87" s="19">
        <v>0</v>
      </c>
      <c r="I87" s="19">
        <f t="shared" si="5"/>
        <v>3</v>
      </c>
      <c r="J87" s="19">
        <v>2</v>
      </c>
      <c r="K87" s="19">
        <f t="shared" si="4"/>
        <v>32</v>
      </c>
      <c r="L87" s="19">
        <f t="shared" si="6"/>
        <v>0</v>
      </c>
      <c r="M87" s="19" t="str">
        <f t="shared" si="7"/>
        <v>FAIL</v>
      </c>
    </row>
    <row r="88" ht="14.25" customHeight="1" spans="3:13">
      <c r="C88" s="19">
        <v>74</v>
      </c>
      <c r="D88" s="22" t="s">
        <v>451</v>
      </c>
      <c r="E88" s="19">
        <v>7</v>
      </c>
      <c r="F88" s="19">
        <v>19</v>
      </c>
      <c r="G88" s="19">
        <v>6</v>
      </c>
      <c r="H88" s="19">
        <v>9</v>
      </c>
      <c r="I88" s="19">
        <f t="shared" si="5"/>
        <v>15</v>
      </c>
      <c r="J88" s="19">
        <v>26</v>
      </c>
      <c r="K88" s="19">
        <f t="shared" si="4"/>
        <v>67</v>
      </c>
      <c r="L88" s="19">
        <f t="shared" si="6"/>
        <v>2</v>
      </c>
      <c r="M88" s="19" t="str">
        <f t="shared" si="7"/>
        <v>PASS</v>
      </c>
    </row>
    <row r="89" ht="14.25" customHeight="1" spans="3:13">
      <c r="C89" s="19">
        <v>75</v>
      </c>
      <c r="D89" s="22" t="s">
        <v>456</v>
      </c>
      <c r="E89" s="19">
        <v>0</v>
      </c>
      <c r="F89" s="19">
        <v>19</v>
      </c>
      <c r="G89" s="19">
        <v>8</v>
      </c>
      <c r="H89" s="19">
        <v>10</v>
      </c>
      <c r="I89" s="19">
        <f t="shared" si="5"/>
        <v>18</v>
      </c>
      <c r="J89" s="19">
        <v>10</v>
      </c>
      <c r="K89" s="19">
        <f t="shared" si="4"/>
        <v>47</v>
      </c>
      <c r="L89" s="19">
        <f t="shared" si="6"/>
        <v>1</v>
      </c>
      <c r="M89" s="19" t="str">
        <f t="shared" si="7"/>
        <v>PASS</v>
      </c>
    </row>
    <row r="90" ht="14.25" customHeight="1" spans="3:13">
      <c r="C90" s="19">
        <v>76</v>
      </c>
      <c r="D90" s="22" t="s">
        <v>461</v>
      </c>
      <c r="E90" s="19">
        <v>17</v>
      </c>
      <c r="F90" s="19">
        <v>16</v>
      </c>
      <c r="G90" s="19">
        <v>4</v>
      </c>
      <c r="H90" s="19">
        <v>10</v>
      </c>
      <c r="I90" s="19">
        <f t="shared" si="5"/>
        <v>14</v>
      </c>
      <c r="J90" s="19">
        <v>17</v>
      </c>
      <c r="K90" s="19">
        <f t="shared" si="4"/>
        <v>64</v>
      </c>
      <c r="L90" s="19">
        <f t="shared" si="6"/>
        <v>2</v>
      </c>
      <c r="M90" s="19" t="str">
        <f t="shared" si="7"/>
        <v>PASS</v>
      </c>
    </row>
    <row r="91" ht="14.25" customHeight="1" spans="3:13">
      <c r="C91" s="19">
        <v>77</v>
      </c>
      <c r="D91" s="22" t="s">
        <v>466</v>
      </c>
      <c r="E91" s="19">
        <v>0</v>
      </c>
      <c r="F91" s="19">
        <v>11</v>
      </c>
      <c r="G91" s="19">
        <v>6</v>
      </c>
      <c r="H91" s="19">
        <v>11</v>
      </c>
      <c r="I91" s="19">
        <f t="shared" si="5"/>
        <v>17</v>
      </c>
      <c r="J91" s="19">
        <v>4</v>
      </c>
      <c r="K91" s="19">
        <f t="shared" si="4"/>
        <v>32</v>
      </c>
      <c r="L91" s="19">
        <f t="shared" si="6"/>
        <v>0</v>
      </c>
      <c r="M91" s="19" t="str">
        <f t="shared" si="7"/>
        <v>FAIL</v>
      </c>
    </row>
    <row r="92" ht="14.25" customHeight="1" spans="3:13">
      <c r="C92" s="19">
        <v>78</v>
      </c>
      <c r="D92" s="22" t="s">
        <v>470</v>
      </c>
      <c r="E92" s="19">
        <v>1</v>
      </c>
      <c r="F92" s="19">
        <v>2</v>
      </c>
      <c r="G92" s="19">
        <v>6</v>
      </c>
      <c r="H92" s="19">
        <v>5</v>
      </c>
      <c r="I92" s="19">
        <f t="shared" si="5"/>
        <v>11</v>
      </c>
      <c r="J92" s="19">
        <v>13</v>
      </c>
      <c r="K92" s="19">
        <f t="shared" si="4"/>
        <v>27</v>
      </c>
      <c r="L92" s="19">
        <f t="shared" si="6"/>
        <v>0</v>
      </c>
      <c r="M92" s="19" t="str">
        <f t="shared" si="7"/>
        <v>FAIL</v>
      </c>
    </row>
    <row r="93" ht="14.25" customHeight="1" spans="3:13">
      <c r="C93" s="19">
        <v>79</v>
      </c>
      <c r="D93" s="22" t="s">
        <v>475</v>
      </c>
      <c r="E93" s="19">
        <v>14</v>
      </c>
      <c r="F93" s="19">
        <v>7</v>
      </c>
      <c r="G93" s="19">
        <v>8</v>
      </c>
      <c r="H93" s="19">
        <v>6</v>
      </c>
      <c r="I93" s="19">
        <f t="shared" si="5"/>
        <v>14</v>
      </c>
      <c r="J93" s="19">
        <v>0</v>
      </c>
      <c r="K93" s="19">
        <f t="shared" si="4"/>
        <v>35</v>
      </c>
      <c r="L93" s="19">
        <f t="shared" si="6"/>
        <v>0</v>
      </c>
      <c r="M93" s="19" t="str">
        <f t="shared" si="7"/>
        <v>PASS</v>
      </c>
    </row>
    <row r="94" ht="14.25" customHeight="1" spans="3:13">
      <c r="C94" s="19">
        <v>80</v>
      </c>
      <c r="D94" s="22" t="s">
        <v>480</v>
      </c>
      <c r="E94" s="19">
        <v>15</v>
      </c>
      <c r="F94" s="19">
        <v>6</v>
      </c>
      <c r="G94" s="19">
        <v>8</v>
      </c>
      <c r="H94" s="19">
        <v>4</v>
      </c>
      <c r="I94" s="19">
        <f t="shared" si="5"/>
        <v>12</v>
      </c>
      <c r="J94" s="19">
        <v>19</v>
      </c>
      <c r="K94" s="19">
        <f t="shared" si="4"/>
        <v>52</v>
      </c>
      <c r="L94" s="19">
        <f t="shared" si="6"/>
        <v>2</v>
      </c>
      <c r="M94" s="19" t="str">
        <f t="shared" si="7"/>
        <v>PASS</v>
      </c>
    </row>
    <row r="95" ht="14.25" customHeight="1" spans="3:13">
      <c r="C95" s="19">
        <v>81</v>
      </c>
      <c r="D95" s="22" t="s">
        <v>485</v>
      </c>
      <c r="E95" s="19">
        <v>1</v>
      </c>
      <c r="F95" s="19">
        <v>0</v>
      </c>
      <c r="G95" s="19">
        <v>2</v>
      </c>
      <c r="H95" s="19">
        <v>18</v>
      </c>
      <c r="I95" s="19">
        <f t="shared" si="5"/>
        <v>20</v>
      </c>
      <c r="J95" s="19">
        <v>24</v>
      </c>
      <c r="K95" s="19">
        <f t="shared" si="4"/>
        <v>45</v>
      </c>
      <c r="L95" s="19">
        <f t="shared" si="6"/>
        <v>1</v>
      </c>
      <c r="M95" s="19" t="str">
        <f t="shared" si="7"/>
        <v>PASS</v>
      </c>
    </row>
    <row r="96" ht="14.25" customHeight="1" spans="3:13">
      <c r="C96" s="19">
        <v>82</v>
      </c>
      <c r="D96" s="22" t="s">
        <v>490</v>
      </c>
      <c r="E96" s="19">
        <v>17</v>
      </c>
      <c r="F96" s="19">
        <v>14</v>
      </c>
      <c r="G96" s="19">
        <v>7</v>
      </c>
      <c r="H96" s="19">
        <v>6</v>
      </c>
      <c r="I96" s="19">
        <f t="shared" si="5"/>
        <v>13</v>
      </c>
      <c r="J96" s="19">
        <v>16</v>
      </c>
      <c r="K96" s="19">
        <f t="shared" si="4"/>
        <v>60</v>
      </c>
      <c r="L96" s="19">
        <f t="shared" si="6"/>
        <v>2</v>
      </c>
      <c r="M96" s="19" t="str">
        <f t="shared" si="7"/>
        <v>PASS</v>
      </c>
    </row>
    <row r="97" ht="14.25" customHeight="1" spans="3:13">
      <c r="C97" s="19">
        <v>83</v>
      </c>
      <c r="D97" s="22" t="s">
        <v>495</v>
      </c>
      <c r="E97" s="19">
        <v>14</v>
      </c>
      <c r="F97" s="19">
        <v>3</v>
      </c>
      <c r="G97" s="19">
        <v>4</v>
      </c>
      <c r="H97" s="19">
        <v>12</v>
      </c>
      <c r="I97" s="19">
        <f t="shared" si="5"/>
        <v>16</v>
      </c>
      <c r="J97" s="19">
        <v>0</v>
      </c>
      <c r="K97" s="19">
        <f t="shared" si="4"/>
        <v>33</v>
      </c>
      <c r="L97" s="19">
        <f t="shared" si="6"/>
        <v>0</v>
      </c>
      <c r="M97" s="19" t="str">
        <f t="shared" si="7"/>
        <v>FAIL</v>
      </c>
    </row>
    <row r="98" ht="14.25" customHeight="1" spans="3:13">
      <c r="C98" s="19">
        <v>84</v>
      </c>
      <c r="D98" s="22" t="s">
        <v>500</v>
      </c>
      <c r="E98" s="19">
        <v>8</v>
      </c>
      <c r="F98" s="19">
        <v>18</v>
      </c>
      <c r="G98" s="19">
        <v>0</v>
      </c>
      <c r="H98" s="19">
        <v>9</v>
      </c>
      <c r="I98" s="19">
        <f t="shared" si="5"/>
        <v>9</v>
      </c>
      <c r="J98" s="19">
        <v>23</v>
      </c>
      <c r="K98" s="19">
        <f t="shared" si="4"/>
        <v>58</v>
      </c>
      <c r="L98" s="19">
        <f t="shared" si="6"/>
        <v>2</v>
      </c>
      <c r="M98" s="19" t="str">
        <f t="shared" si="7"/>
        <v>PASS</v>
      </c>
    </row>
    <row r="99" ht="14.25" customHeight="1" spans="3:13">
      <c r="C99" s="19">
        <v>85</v>
      </c>
      <c r="D99" s="22" t="s">
        <v>505</v>
      </c>
      <c r="E99" s="19">
        <v>20</v>
      </c>
      <c r="F99" s="19">
        <v>13</v>
      </c>
      <c r="G99" s="19">
        <v>10</v>
      </c>
      <c r="H99" s="19">
        <v>4</v>
      </c>
      <c r="I99" s="19">
        <f t="shared" si="5"/>
        <v>14</v>
      </c>
      <c r="J99" s="19">
        <v>25</v>
      </c>
      <c r="K99" s="19">
        <f t="shared" ref="K99:K114" si="8">E99+F99+I99+J99</f>
        <v>72</v>
      </c>
      <c r="L99" s="19">
        <f t="shared" si="6"/>
        <v>2</v>
      </c>
      <c r="M99" s="19" t="str">
        <f t="shared" si="7"/>
        <v>PASS</v>
      </c>
    </row>
    <row r="100" ht="14.25" customHeight="1" spans="3:13">
      <c r="C100" s="19">
        <v>86</v>
      </c>
      <c r="D100" s="22" t="s">
        <v>510</v>
      </c>
      <c r="E100" s="19">
        <v>1</v>
      </c>
      <c r="F100" s="19">
        <v>18</v>
      </c>
      <c r="G100" s="19">
        <v>9</v>
      </c>
      <c r="H100" s="19">
        <v>12</v>
      </c>
      <c r="I100" s="19">
        <f t="shared" si="5"/>
        <v>21</v>
      </c>
      <c r="J100" s="19">
        <v>4</v>
      </c>
      <c r="K100" s="19">
        <f t="shared" si="8"/>
        <v>44</v>
      </c>
      <c r="L100" s="19">
        <f t="shared" si="6"/>
        <v>1</v>
      </c>
      <c r="M100" s="19" t="str">
        <f t="shared" si="7"/>
        <v>PASS</v>
      </c>
    </row>
    <row r="101" ht="14.25" customHeight="1" spans="3:13">
      <c r="C101" s="19">
        <v>87</v>
      </c>
      <c r="D101" s="22" t="s">
        <v>515</v>
      </c>
      <c r="E101" s="19">
        <v>19</v>
      </c>
      <c r="F101" s="19">
        <v>16</v>
      </c>
      <c r="G101" s="19">
        <v>10</v>
      </c>
      <c r="H101" s="19">
        <v>20</v>
      </c>
      <c r="I101" s="19">
        <f t="shared" si="5"/>
        <v>30</v>
      </c>
      <c r="J101" s="19">
        <v>25</v>
      </c>
      <c r="K101" s="19">
        <f t="shared" si="8"/>
        <v>90</v>
      </c>
      <c r="L101" s="19">
        <f t="shared" si="6"/>
        <v>2</v>
      </c>
      <c r="M101" s="19" t="str">
        <f t="shared" si="7"/>
        <v>PASS</v>
      </c>
    </row>
    <row r="102" ht="14.25" customHeight="1" spans="3:13">
      <c r="C102" s="19">
        <v>88</v>
      </c>
      <c r="D102" s="22" t="s">
        <v>520</v>
      </c>
      <c r="E102" s="19">
        <v>19</v>
      </c>
      <c r="F102" s="19">
        <v>11</v>
      </c>
      <c r="G102" s="19">
        <v>10</v>
      </c>
      <c r="H102" s="19">
        <v>16</v>
      </c>
      <c r="I102" s="19">
        <f t="shared" si="5"/>
        <v>26</v>
      </c>
      <c r="J102" s="19">
        <v>29</v>
      </c>
      <c r="K102" s="19">
        <f t="shared" si="8"/>
        <v>85</v>
      </c>
      <c r="L102" s="19">
        <f t="shared" si="6"/>
        <v>2</v>
      </c>
      <c r="M102" s="19" t="str">
        <f t="shared" si="7"/>
        <v>PASS</v>
      </c>
    </row>
    <row r="103" ht="14.25" customHeight="1" spans="3:13">
      <c r="C103" s="19">
        <v>89</v>
      </c>
      <c r="D103" s="22" t="s">
        <v>525</v>
      </c>
      <c r="E103" s="19">
        <v>4</v>
      </c>
      <c r="F103" s="19">
        <v>1</v>
      </c>
      <c r="G103" s="19">
        <v>10</v>
      </c>
      <c r="H103" s="19">
        <v>9</v>
      </c>
      <c r="I103" s="19">
        <f t="shared" si="5"/>
        <v>19</v>
      </c>
      <c r="J103" s="19">
        <v>6</v>
      </c>
      <c r="K103" s="19">
        <f t="shared" si="8"/>
        <v>30</v>
      </c>
      <c r="L103" s="19">
        <f t="shared" si="6"/>
        <v>0</v>
      </c>
      <c r="M103" s="19" t="str">
        <f t="shared" si="7"/>
        <v>FAIL</v>
      </c>
    </row>
    <row r="104" ht="14.25" customHeight="1" spans="3:13">
      <c r="C104" s="19">
        <v>90</v>
      </c>
      <c r="D104" s="22" t="s">
        <v>530</v>
      </c>
      <c r="E104" s="19">
        <v>12</v>
      </c>
      <c r="F104" s="19">
        <v>3</v>
      </c>
      <c r="G104" s="19">
        <v>7</v>
      </c>
      <c r="H104" s="19">
        <v>7</v>
      </c>
      <c r="I104" s="19">
        <f t="shared" si="5"/>
        <v>14</v>
      </c>
      <c r="J104" s="19">
        <v>19</v>
      </c>
      <c r="K104" s="19">
        <f t="shared" si="8"/>
        <v>48</v>
      </c>
      <c r="L104" s="19">
        <f t="shared" si="6"/>
        <v>1</v>
      </c>
      <c r="M104" s="19" t="str">
        <f t="shared" si="7"/>
        <v>PASS</v>
      </c>
    </row>
    <row r="105" ht="14.25" customHeight="1" spans="3:13">
      <c r="C105" s="19">
        <v>91</v>
      </c>
      <c r="D105" s="22" t="s">
        <v>535</v>
      </c>
      <c r="E105" s="19">
        <v>19</v>
      </c>
      <c r="F105" s="19">
        <v>8</v>
      </c>
      <c r="G105" s="19">
        <v>10</v>
      </c>
      <c r="H105" s="19">
        <v>12</v>
      </c>
      <c r="I105" s="19">
        <f t="shared" si="5"/>
        <v>22</v>
      </c>
      <c r="J105" s="19">
        <v>5</v>
      </c>
      <c r="K105" s="19">
        <f t="shared" si="8"/>
        <v>54</v>
      </c>
      <c r="L105" s="19">
        <f t="shared" si="6"/>
        <v>2</v>
      </c>
      <c r="M105" s="19" t="str">
        <f t="shared" si="7"/>
        <v>PASS</v>
      </c>
    </row>
    <row r="106" ht="14.25" customHeight="1" spans="3:13">
      <c r="C106" s="19">
        <v>92</v>
      </c>
      <c r="D106" s="22" t="s">
        <v>540</v>
      </c>
      <c r="E106" s="19">
        <v>1</v>
      </c>
      <c r="F106" s="19">
        <v>0</v>
      </c>
      <c r="G106" s="19">
        <v>5</v>
      </c>
      <c r="H106" s="19">
        <v>18</v>
      </c>
      <c r="I106" s="19">
        <f t="shared" si="5"/>
        <v>23</v>
      </c>
      <c r="J106" s="19">
        <v>1</v>
      </c>
      <c r="K106" s="19">
        <f t="shared" si="8"/>
        <v>25</v>
      </c>
      <c r="L106" s="19">
        <f t="shared" si="6"/>
        <v>0</v>
      </c>
      <c r="M106" s="19" t="str">
        <f t="shared" si="7"/>
        <v>FAIL</v>
      </c>
    </row>
    <row r="107" ht="14.25" customHeight="1" spans="3:13">
      <c r="C107" s="19">
        <v>93</v>
      </c>
      <c r="D107" s="22" t="s">
        <v>545</v>
      </c>
      <c r="E107" s="19">
        <v>7</v>
      </c>
      <c r="F107" s="19">
        <v>0</v>
      </c>
      <c r="G107" s="19">
        <v>3</v>
      </c>
      <c r="H107" s="19">
        <v>9</v>
      </c>
      <c r="I107" s="19">
        <f t="shared" si="5"/>
        <v>12</v>
      </c>
      <c r="J107" s="19">
        <v>14</v>
      </c>
      <c r="K107" s="19">
        <f t="shared" si="8"/>
        <v>33</v>
      </c>
      <c r="L107" s="19">
        <f t="shared" si="6"/>
        <v>0</v>
      </c>
      <c r="M107" s="19" t="str">
        <f t="shared" si="7"/>
        <v>FAIL</v>
      </c>
    </row>
    <row r="108" ht="14.25" customHeight="1" spans="3:13">
      <c r="C108" s="19">
        <v>94</v>
      </c>
      <c r="D108" s="22" t="s">
        <v>549</v>
      </c>
      <c r="E108" s="19">
        <v>9</v>
      </c>
      <c r="F108" s="19">
        <v>8</v>
      </c>
      <c r="G108" s="19">
        <v>7</v>
      </c>
      <c r="H108" s="19">
        <v>18</v>
      </c>
      <c r="I108" s="19">
        <f t="shared" si="5"/>
        <v>25</v>
      </c>
      <c r="J108" s="19">
        <v>5</v>
      </c>
      <c r="K108" s="19">
        <f t="shared" si="8"/>
        <v>47</v>
      </c>
      <c r="L108" s="19">
        <f t="shared" si="6"/>
        <v>1</v>
      </c>
      <c r="M108" s="19" t="str">
        <f t="shared" si="7"/>
        <v>PASS</v>
      </c>
    </row>
    <row r="109" ht="14.25" customHeight="1" spans="3:13">
      <c r="C109" s="19">
        <v>95</v>
      </c>
      <c r="D109" s="22" t="s">
        <v>554</v>
      </c>
      <c r="E109" s="19">
        <v>11</v>
      </c>
      <c r="F109" s="19">
        <v>0</v>
      </c>
      <c r="G109" s="19">
        <v>4</v>
      </c>
      <c r="H109" s="19">
        <v>18</v>
      </c>
      <c r="I109" s="19">
        <f t="shared" si="5"/>
        <v>22</v>
      </c>
      <c r="J109" s="19">
        <v>0</v>
      </c>
      <c r="K109" s="19">
        <f t="shared" si="8"/>
        <v>33</v>
      </c>
      <c r="L109" s="19">
        <f t="shared" si="6"/>
        <v>0</v>
      </c>
      <c r="M109" s="19" t="str">
        <f t="shared" si="7"/>
        <v>FAIL</v>
      </c>
    </row>
    <row r="110" ht="14.25" customHeight="1" spans="3:13">
      <c r="C110" s="19">
        <v>96</v>
      </c>
      <c r="D110" s="22" t="s">
        <v>559</v>
      </c>
      <c r="E110" s="19">
        <v>19</v>
      </c>
      <c r="F110" s="19">
        <v>2</v>
      </c>
      <c r="G110" s="19">
        <v>2</v>
      </c>
      <c r="H110" s="19">
        <v>14</v>
      </c>
      <c r="I110" s="19">
        <f t="shared" si="5"/>
        <v>16</v>
      </c>
      <c r="J110" s="19">
        <v>14</v>
      </c>
      <c r="K110" s="19">
        <f t="shared" si="8"/>
        <v>51</v>
      </c>
      <c r="L110" s="19">
        <f t="shared" si="6"/>
        <v>2</v>
      </c>
      <c r="M110" s="19" t="str">
        <f t="shared" si="7"/>
        <v>PASS</v>
      </c>
    </row>
    <row r="111" ht="14.25" customHeight="1" spans="3:13">
      <c r="C111" s="19">
        <v>97</v>
      </c>
      <c r="D111" s="22" t="s">
        <v>564</v>
      </c>
      <c r="E111" s="19">
        <v>8</v>
      </c>
      <c r="F111" s="19">
        <v>1</v>
      </c>
      <c r="G111" s="19">
        <v>6</v>
      </c>
      <c r="H111" s="19">
        <v>6</v>
      </c>
      <c r="I111" s="19">
        <f t="shared" si="5"/>
        <v>12</v>
      </c>
      <c r="J111" s="19">
        <v>27</v>
      </c>
      <c r="K111" s="19">
        <f t="shared" si="8"/>
        <v>48</v>
      </c>
      <c r="L111" s="19">
        <f t="shared" si="6"/>
        <v>1</v>
      </c>
      <c r="M111" s="19" t="str">
        <f t="shared" si="7"/>
        <v>PASS</v>
      </c>
    </row>
    <row r="112" ht="14.25" customHeight="1" spans="3:13">
      <c r="C112" s="19">
        <v>98</v>
      </c>
      <c r="D112" s="22" t="s">
        <v>569</v>
      </c>
      <c r="E112" s="19">
        <v>8</v>
      </c>
      <c r="F112" s="19">
        <v>8</v>
      </c>
      <c r="G112" s="19">
        <v>0</v>
      </c>
      <c r="H112" s="19">
        <v>10</v>
      </c>
      <c r="I112" s="19">
        <f t="shared" si="5"/>
        <v>10</v>
      </c>
      <c r="J112" s="19">
        <v>23</v>
      </c>
      <c r="K112" s="19">
        <f t="shared" si="8"/>
        <v>49</v>
      </c>
      <c r="L112" s="19">
        <f t="shared" si="6"/>
        <v>1</v>
      </c>
      <c r="M112" s="19" t="str">
        <f t="shared" si="7"/>
        <v>PASS</v>
      </c>
    </row>
    <row r="113" ht="14.25" customHeight="1" spans="3:13">
      <c r="C113" s="19">
        <v>99</v>
      </c>
      <c r="D113" s="22" t="s">
        <v>574</v>
      </c>
      <c r="E113" s="19">
        <v>15</v>
      </c>
      <c r="F113" s="19">
        <v>0</v>
      </c>
      <c r="G113" s="19">
        <v>2</v>
      </c>
      <c r="H113" s="19">
        <v>3</v>
      </c>
      <c r="I113" s="19">
        <f t="shared" si="5"/>
        <v>5</v>
      </c>
      <c r="J113" s="19">
        <v>24</v>
      </c>
      <c r="K113" s="19">
        <f t="shared" si="8"/>
        <v>44</v>
      </c>
      <c r="L113" s="19">
        <f t="shared" si="6"/>
        <v>1</v>
      </c>
      <c r="M113" s="19" t="str">
        <f t="shared" si="7"/>
        <v>PASS</v>
      </c>
    </row>
    <row r="114" ht="14.25" customHeight="1" spans="3:13">
      <c r="C114" s="19">
        <v>100</v>
      </c>
      <c r="D114" s="22" t="s">
        <v>579</v>
      </c>
      <c r="E114" s="19">
        <v>11</v>
      </c>
      <c r="F114" s="19">
        <v>11</v>
      </c>
      <c r="G114" s="19">
        <v>7</v>
      </c>
      <c r="H114" s="19">
        <v>19</v>
      </c>
      <c r="I114" s="19">
        <f t="shared" si="5"/>
        <v>26</v>
      </c>
      <c r="J114" s="19">
        <v>7</v>
      </c>
      <c r="K114" s="19">
        <f t="shared" si="8"/>
        <v>55</v>
      </c>
      <c r="L114" s="19">
        <f t="shared" si="6"/>
        <v>2</v>
      </c>
      <c r="M114" s="19" t="str">
        <f t="shared" si="7"/>
        <v>PASS</v>
      </c>
    </row>
  </sheetData>
  <mergeCells count="10">
    <mergeCell ref="D5:Q5"/>
    <mergeCell ref="D6:Q6"/>
    <mergeCell ref="D7:Q7"/>
    <mergeCell ref="G8:L8"/>
    <mergeCell ref="D9:Q9"/>
    <mergeCell ref="D10:Q10"/>
    <mergeCell ref="O15:P15"/>
    <mergeCell ref="O18:R18"/>
    <mergeCell ref="O21:R21"/>
    <mergeCell ref="D3:Q4"/>
  </mergeCells>
  <conditionalFormatting sqref="D15:D114">
    <cfRule type="expression" dxfId="2" priority="8">
      <formula>COUNTIF($D$15:$D$114,D15)&gt;1</formula>
    </cfRule>
  </conditionalFormatting>
  <conditionalFormatting sqref="E15:E114">
    <cfRule type="expression" dxfId="2" priority="3">
      <formula>OR(E15&lt;0,E15&gt;20,NOT(ISNUMBER(E15)))</formula>
    </cfRule>
  </conditionalFormatting>
  <conditionalFormatting sqref="F15:F114">
    <cfRule type="expression" dxfId="2" priority="4">
      <formula>OR(F15&lt;0,F15&gt;20,NOT(ISNUMBER(F15)))</formula>
    </cfRule>
  </conditionalFormatting>
  <conditionalFormatting sqref="G15:G114">
    <cfRule type="expression" dxfId="2" priority="5">
      <formula>OR(G15&lt;0,G15&gt;10,NOT(ISNUMBER(G15)))</formula>
    </cfRule>
  </conditionalFormatting>
  <conditionalFormatting sqref="H15:H114">
    <cfRule type="expression" dxfId="2" priority="6">
      <formula>OR(H15&lt;0,H15&gt;20,NOT(ISNUMBER(H15)))</formula>
    </cfRule>
  </conditionalFormatting>
  <conditionalFormatting sqref="J15:J114">
    <cfRule type="expression" dxfId="2" priority="7">
      <formula>OR(J15&lt;0,J15&gt;30,NOT(ISNUMBER(J15)))</formula>
    </cfRule>
  </conditionalFormatting>
  <conditionalFormatting sqref="M15:M114">
    <cfRule type="containsText" dxfId="0" priority="2" operator="between" text="FAIL">
      <formula>NOT(ISERROR(SEARCH("FAIL",M15)))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D15:D114">
      <formula1>11</formula1>
    </dataValidation>
    <dataValidation type="decimal" operator="between" allowBlank="1" showErrorMessage="1" errorTitle="Invalid mark" error="Enter a number between 0 and 10" sqref="G15:G114">
      <formula1>0</formula1>
      <formula2>10</formula2>
    </dataValidation>
    <dataValidation type="decimal" operator="between" allowBlank="1" showErrorMessage="1" errorTitle="Invalid mark" error="Enter a number between 0 and 20" sqref="H15:H114 E15:F114">
      <formula1>0</formula1>
      <formula2>20</formula2>
    </dataValidation>
    <dataValidation type="decimal" operator="between" allowBlank="1" showErrorMessage="1" errorTitle="Invalid mark" error="Enter a number between 0 and 30" sqref="J15:J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C1:Q114"/>
  <sheetViews>
    <sheetView zoomScale="80" zoomScaleNormal="80" topLeftCell="A6" workbookViewId="0">
      <selection activeCell="L15" sqref="L15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6.8055555555556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642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643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644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9"/>
      <c r="E7" s="9"/>
      <c r="F7" s="9"/>
      <c r="G7" s="13" t="s">
        <v>645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646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647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25241103</v>
      </c>
      <c r="F11" s="17" t="s">
        <v>620</v>
      </c>
      <c r="H11" s="17" t="s">
        <v>648</v>
      </c>
      <c r="I11" s="17"/>
    </row>
    <row r="12" ht="14.25" customHeight="1" spans="3:17">
      <c r="D12" s="18" t="s">
        <v>62</v>
      </c>
      <c r="E12" s="18" t="s">
        <v>63</v>
      </c>
      <c r="F12" s="18" t="s">
        <v>622</v>
      </c>
      <c r="G12" s="18" t="s">
        <v>623</v>
      </c>
      <c r="H12" s="18" t="s">
        <v>624</v>
      </c>
      <c r="I12" s="18" t="s">
        <v>625</v>
      </c>
      <c r="J12" s="18" t="s">
        <v>626</v>
      </c>
      <c r="K12" s="18" t="s">
        <v>627</v>
      </c>
      <c r="L12" s="18" t="s">
        <v>75</v>
      </c>
      <c r="M12" s="18" t="s">
        <v>47</v>
      </c>
      <c r="N12" s="18" t="s">
        <v>77</v>
      </c>
    </row>
    <row r="13" ht="14.25" customHeight="1" spans="3:17">
      <c r="D13" s="19"/>
      <c r="E13" s="19"/>
      <c r="F13" s="20">
        <v>20</v>
      </c>
      <c r="G13" s="20">
        <v>20</v>
      </c>
      <c r="H13" s="20">
        <v>10</v>
      </c>
      <c r="I13" s="20">
        <v>20</v>
      </c>
      <c r="J13" s="20">
        <v>30</v>
      </c>
      <c r="K13" s="20">
        <v>30</v>
      </c>
      <c r="L13" s="20">
        <v>100</v>
      </c>
      <c r="M13" s="20">
        <v>3</v>
      </c>
      <c r="N13" s="20" t="s">
        <v>79</v>
      </c>
    </row>
    <row r="14" ht="14.25" customHeight="1" spans="3:17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4.25" customHeight="1" spans="3:17">
      <c r="D15" s="19">
        <v>1</v>
      </c>
      <c r="E15" s="22" t="s">
        <v>90</v>
      </c>
      <c r="F15" s="19">
        <v>0</v>
      </c>
      <c r="G15" s="19">
        <v>7</v>
      </c>
      <c r="H15" s="19">
        <v>1</v>
      </c>
      <c r="I15" s="19">
        <v>6</v>
      </c>
      <c r="J15" s="19">
        <f t="shared" ref="J15:J34" si="0">H15+I15</f>
        <v>7</v>
      </c>
      <c r="K15" s="19">
        <v>24</v>
      </c>
      <c r="L15" s="19">
        <f t="shared" ref="L15:L78" si="1">K15+J15+G15+F15</f>
        <v>38</v>
      </c>
      <c r="M15" s="19">
        <f t="shared" ref="M15:M78" si="2">IF(L15&gt;75,3,IF(L15&gt;50,2,IF(L15&gt;35,1,0)))</f>
        <v>1</v>
      </c>
      <c r="N15" s="19" t="str">
        <f t="shared" ref="N15:N78" si="3">IF(L15&lt;35,"FAIL","PASS")</f>
        <v>PASS</v>
      </c>
    </row>
    <row r="16" ht="14.25" customHeight="1" spans="3:17">
      <c r="D16" s="19">
        <v>2</v>
      </c>
      <c r="E16" s="22" t="s">
        <v>97</v>
      </c>
      <c r="F16" s="19">
        <v>18</v>
      </c>
      <c r="G16" s="19">
        <v>1</v>
      </c>
      <c r="H16" s="19">
        <v>2</v>
      </c>
      <c r="I16" s="19">
        <v>17</v>
      </c>
      <c r="J16" s="19">
        <f t="shared" si="0"/>
        <v>19</v>
      </c>
      <c r="K16" s="19">
        <v>1</v>
      </c>
      <c r="L16" s="19">
        <f t="shared" si="1"/>
        <v>39</v>
      </c>
      <c r="M16" s="19">
        <f t="shared" si="2"/>
        <v>1</v>
      </c>
      <c r="N16" s="19" t="str">
        <f t="shared" si="3"/>
        <v>PASS</v>
      </c>
      <c r="P16" s="25" t="s">
        <v>628</v>
      </c>
      <c r="Q16" s="25"/>
    </row>
    <row r="17" ht="14.25" customHeight="1" spans="4:17">
      <c r="D17" s="19">
        <v>3</v>
      </c>
      <c r="E17" s="22" t="s">
        <v>102</v>
      </c>
      <c r="F17" s="19">
        <v>4</v>
      </c>
      <c r="G17" s="19">
        <v>13</v>
      </c>
      <c r="H17" s="19">
        <v>4</v>
      </c>
      <c r="I17" s="19">
        <v>3</v>
      </c>
      <c r="J17" s="19">
        <f t="shared" si="0"/>
        <v>7</v>
      </c>
      <c r="K17" s="19">
        <v>8</v>
      </c>
      <c r="L17" s="19">
        <f t="shared" si="1"/>
        <v>32</v>
      </c>
      <c r="M17" s="19">
        <f t="shared" si="2"/>
        <v>0</v>
      </c>
      <c r="N17" s="19" t="str">
        <f t="shared" si="3"/>
        <v>FAIL</v>
      </c>
      <c r="P17" s="1" t="s">
        <v>649</v>
      </c>
      <c r="Q17" s="1">
        <f>COUNTIF(N15:N114,"PASS")</f>
        <v>89</v>
      </c>
    </row>
    <row r="18" ht="14.25" customHeight="1" spans="4:17">
      <c r="D18" s="19">
        <v>4</v>
      </c>
      <c r="E18" s="22" t="s">
        <v>107</v>
      </c>
      <c r="F18" s="19">
        <v>14</v>
      </c>
      <c r="G18" s="19">
        <v>12</v>
      </c>
      <c r="H18" s="19">
        <v>7</v>
      </c>
      <c r="I18" s="19">
        <v>14</v>
      </c>
      <c r="J18" s="19">
        <f t="shared" si="0"/>
        <v>21</v>
      </c>
      <c r="K18" s="19">
        <v>22</v>
      </c>
      <c r="L18" s="19">
        <f t="shared" si="1"/>
        <v>69</v>
      </c>
      <c r="M18" s="19">
        <f t="shared" si="2"/>
        <v>2</v>
      </c>
      <c r="N18" s="19" t="str">
        <f t="shared" si="3"/>
        <v>PASS</v>
      </c>
      <c r="P18" s="1" t="s">
        <v>650</v>
      </c>
      <c r="Q18" s="1">
        <f>COUNTIF(N15:N114,"FAIL")</f>
        <v>11</v>
      </c>
    </row>
    <row r="19" ht="14.25" customHeight="1" spans="4:17">
      <c r="D19" s="19">
        <v>5</v>
      </c>
      <c r="E19" s="22" t="s">
        <v>112</v>
      </c>
      <c r="F19" s="19">
        <v>6</v>
      </c>
      <c r="G19" s="19">
        <v>4</v>
      </c>
      <c r="H19" s="19">
        <v>3</v>
      </c>
      <c r="I19" s="19">
        <v>9</v>
      </c>
      <c r="J19" s="19">
        <f t="shared" si="0"/>
        <v>12</v>
      </c>
      <c r="K19" s="19">
        <v>11</v>
      </c>
      <c r="L19" s="19">
        <f t="shared" si="1"/>
        <v>33</v>
      </c>
      <c r="M19" s="19">
        <f t="shared" si="2"/>
        <v>0</v>
      </c>
      <c r="N19" s="19" t="str">
        <f t="shared" si="3"/>
        <v>FAIL</v>
      </c>
    </row>
    <row r="20" ht="14.25" customHeight="1" spans="4:17">
      <c r="D20" s="19">
        <v>6</v>
      </c>
      <c r="E20" s="22" t="s">
        <v>117</v>
      </c>
      <c r="F20" s="19">
        <v>3</v>
      </c>
      <c r="G20" s="19">
        <v>12</v>
      </c>
      <c r="H20" s="19">
        <v>7</v>
      </c>
      <c r="I20" s="19">
        <v>14</v>
      </c>
      <c r="J20" s="19">
        <f t="shared" si="0"/>
        <v>21</v>
      </c>
      <c r="K20" s="19">
        <v>13</v>
      </c>
      <c r="L20" s="19">
        <f t="shared" si="1"/>
        <v>49</v>
      </c>
      <c r="M20" s="19">
        <f t="shared" si="2"/>
        <v>1</v>
      </c>
      <c r="N20" s="19" t="str">
        <f t="shared" si="3"/>
        <v>PASS</v>
      </c>
    </row>
    <row r="21" ht="14.25" customHeight="1" spans="4:17">
      <c r="D21" s="19">
        <v>7</v>
      </c>
      <c r="E21" s="22" t="s">
        <v>122</v>
      </c>
      <c r="F21" s="19">
        <v>2</v>
      </c>
      <c r="G21" s="19">
        <v>9</v>
      </c>
      <c r="H21" s="19">
        <v>6</v>
      </c>
      <c r="I21" s="19">
        <v>9</v>
      </c>
      <c r="J21" s="19">
        <f t="shared" si="0"/>
        <v>15</v>
      </c>
      <c r="K21" s="19">
        <v>13</v>
      </c>
      <c r="L21" s="19">
        <f t="shared" si="1"/>
        <v>39</v>
      </c>
      <c r="M21" s="19">
        <f t="shared" si="2"/>
        <v>1</v>
      </c>
      <c r="N21" s="19" t="str">
        <f t="shared" si="3"/>
        <v>PASS</v>
      </c>
    </row>
    <row r="22" ht="14.25" customHeight="1" spans="4:17">
      <c r="D22" s="19">
        <v>8</v>
      </c>
      <c r="E22" s="22" t="s">
        <v>127</v>
      </c>
      <c r="F22" s="19">
        <v>17</v>
      </c>
      <c r="G22" s="19">
        <v>13</v>
      </c>
      <c r="H22" s="19">
        <v>5</v>
      </c>
      <c r="I22" s="19">
        <v>12</v>
      </c>
      <c r="J22" s="19">
        <f t="shared" si="0"/>
        <v>17</v>
      </c>
      <c r="K22" s="19">
        <v>4</v>
      </c>
      <c r="L22" s="19">
        <f t="shared" si="1"/>
        <v>51</v>
      </c>
      <c r="M22" s="19">
        <f t="shared" si="2"/>
        <v>2</v>
      </c>
      <c r="N22" s="19" t="str">
        <f t="shared" si="3"/>
        <v>PASS</v>
      </c>
    </row>
    <row r="23" ht="14.25" customHeight="1" spans="4:17">
      <c r="D23" s="19">
        <v>9</v>
      </c>
      <c r="E23" s="22" t="s">
        <v>132</v>
      </c>
      <c r="F23" s="19">
        <v>18</v>
      </c>
      <c r="G23" s="19">
        <v>2</v>
      </c>
      <c r="H23" s="19">
        <v>7</v>
      </c>
      <c r="I23" s="19">
        <v>8</v>
      </c>
      <c r="J23" s="19">
        <f t="shared" si="0"/>
        <v>15</v>
      </c>
      <c r="K23" s="19">
        <v>16</v>
      </c>
      <c r="L23" s="19">
        <f t="shared" si="1"/>
        <v>51</v>
      </c>
      <c r="M23" s="19">
        <f t="shared" si="2"/>
        <v>2</v>
      </c>
      <c r="N23" s="19" t="str">
        <f t="shared" si="3"/>
        <v>PASS</v>
      </c>
    </row>
    <row r="24" ht="14.25" customHeight="1" spans="4:17">
      <c r="D24" s="19">
        <v>10</v>
      </c>
      <c r="E24" s="22" t="s">
        <v>137</v>
      </c>
      <c r="F24" s="19">
        <v>16</v>
      </c>
      <c r="G24" s="19">
        <v>12</v>
      </c>
      <c r="H24" s="19">
        <v>1</v>
      </c>
      <c r="I24" s="19">
        <v>0</v>
      </c>
      <c r="J24" s="19">
        <f t="shared" si="0"/>
        <v>1</v>
      </c>
      <c r="K24" s="19">
        <v>7</v>
      </c>
      <c r="L24" s="19">
        <f t="shared" si="1"/>
        <v>36</v>
      </c>
      <c r="M24" s="19">
        <f t="shared" si="2"/>
        <v>1</v>
      </c>
      <c r="N24" s="19" t="str">
        <f t="shared" si="3"/>
        <v>PASS</v>
      </c>
    </row>
    <row r="25" ht="14.25" customHeight="1" spans="4:17">
      <c r="D25" s="19">
        <v>11</v>
      </c>
      <c r="E25" s="22" t="s">
        <v>141</v>
      </c>
      <c r="F25" s="19">
        <v>3</v>
      </c>
      <c r="G25" s="19">
        <v>20</v>
      </c>
      <c r="H25" s="19">
        <v>9</v>
      </c>
      <c r="I25" s="19">
        <v>17</v>
      </c>
      <c r="J25" s="19">
        <f t="shared" si="0"/>
        <v>26</v>
      </c>
      <c r="K25" s="19">
        <v>16</v>
      </c>
      <c r="L25" s="19">
        <f t="shared" si="1"/>
        <v>65</v>
      </c>
      <c r="M25" s="19">
        <f t="shared" si="2"/>
        <v>2</v>
      </c>
      <c r="N25" s="19" t="str">
        <f t="shared" si="3"/>
        <v>PASS</v>
      </c>
    </row>
    <row r="26" ht="14.25" customHeight="1" spans="4:17">
      <c r="D26" s="19">
        <v>12</v>
      </c>
      <c r="E26" s="22" t="s">
        <v>146</v>
      </c>
      <c r="F26" s="19">
        <v>20</v>
      </c>
      <c r="G26" s="19">
        <v>2</v>
      </c>
      <c r="H26" s="19">
        <v>0</v>
      </c>
      <c r="I26" s="19">
        <v>2</v>
      </c>
      <c r="J26" s="19">
        <f t="shared" si="0"/>
        <v>2</v>
      </c>
      <c r="K26" s="19">
        <v>13</v>
      </c>
      <c r="L26" s="19">
        <f t="shared" si="1"/>
        <v>37</v>
      </c>
      <c r="M26" s="19">
        <f t="shared" si="2"/>
        <v>1</v>
      </c>
      <c r="N26" s="19" t="str">
        <f t="shared" si="3"/>
        <v>PASS</v>
      </c>
    </row>
    <row r="27" ht="14.25" customHeight="1" spans="4:17">
      <c r="D27" s="19">
        <v>13</v>
      </c>
      <c r="E27" s="22" t="s">
        <v>151</v>
      </c>
      <c r="F27" s="19">
        <v>9</v>
      </c>
      <c r="G27" s="19">
        <v>18</v>
      </c>
      <c r="H27" s="19">
        <v>8</v>
      </c>
      <c r="I27" s="19">
        <v>16</v>
      </c>
      <c r="J27" s="19">
        <f t="shared" si="0"/>
        <v>24</v>
      </c>
      <c r="K27" s="19">
        <v>7</v>
      </c>
      <c r="L27" s="19">
        <f t="shared" si="1"/>
        <v>58</v>
      </c>
      <c r="M27" s="19">
        <f t="shared" si="2"/>
        <v>2</v>
      </c>
      <c r="N27" s="19" t="str">
        <f t="shared" si="3"/>
        <v>PASS</v>
      </c>
    </row>
    <row r="28" ht="14.25" customHeight="1" spans="4:17">
      <c r="D28" s="19">
        <v>14</v>
      </c>
      <c r="E28" s="22" t="s">
        <v>156</v>
      </c>
      <c r="F28" s="19">
        <v>15</v>
      </c>
      <c r="G28" s="19">
        <v>5</v>
      </c>
      <c r="H28" s="19">
        <v>10</v>
      </c>
      <c r="I28" s="19">
        <v>17</v>
      </c>
      <c r="J28" s="19">
        <f t="shared" si="0"/>
        <v>27</v>
      </c>
      <c r="K28" s="19">
        <v>24</v>
      </c>
      <c r="L28" s="19">
        <f t="shared" si="1"/>
        <v>71</v>
      </c>
      <c r="M28" s="19">
        <f t="shared" si="2"/>
        <v>2</v>
      </c>
      <c r="N28" s="19" t="str">
        <f t="shared" si="3"/>
        <v>PASS</v>
      </c>
    </row>
    <row r="29" ht="14.25" customHeight="1" spans="4:17">
      <c r="D29" s="19">
        <v>15</v>
      </c>
      <c r="E29" s="22" t="s">
        <v>161</v>
      </c>
      <c r="F29" s="19">
        <v>2</v>
      </c>
      <c r="G29" s="19">
        <v>15</v>
      </c>
      <c r="H29" s="19">
        <v>4</v>
      </c>
      <c r="I29" s="19">
        <v>5</v>
      </c>
      <c r="J29" s="19">
        <f t="shared" si="0"/>
        <v>9</v>
      </c>
      <c r="K29" s="19">
        <v>10</v>
      </c>
      <c r="L29" s="19">
        <f t="shared" si="1"/>
        <v>36</v>
      </c>
      <c r="M29" s="19">
        <f t="shared" si="2"/>
        <v>1</v>
      </c>
      <c r="N29" s="19" t="str">
        <f t="shared" si="3"/>
        <v>PASS</v>
      </c>
    </row>
    <row r="30" ht="14.25" customHeight="1" spans="4:17">
      <c r="D30" s="19">
        <v>16</v>
      </c>
      <c r="E30" s="22" t="s">
        <v>166</v>
      </c>
      <c r="F30" s="19">
        <v>11</v>
      </c>
      <c r="G30" s="19">
        <v>6</v>
      </c>
      <c r="H30" s="19">
        <v>8</v>
      </c>
      <c r="I30" s="19">
        <v>14</v>
      </c>
      <c r="J30" s="19">
        <f t="shared" si="0"/>
        <v>22</v>
      </c>
      <c r="K30" s="19">
        <v>20</v>
      </c>
      <c r="L30" s="19">
        <f t="shared" si="1"/>
        <v>59</v>
      </c>
      <c r="M30" s="19">
        <f t="shared" si="2"/>
        <v>2</v>
      </c>
      <c r="N30" s="19" t="str">
        <f t="shared" si="3"/>
        <v>PASS</v>
      </c>
    </row>
    <row r="31" ht="14.25" customHeight="1" spans="4:17">
      <c r="D31" s="19">
        <v>17</v>
      </c>
      <c r="E31" s="22" t="s">
        <v>171</v>
      </c>
      <c r="F31" s="19">
        <v>0</v>
      </c>
      <c r="G31" s="19">
        <v>9</v>
      </c>
      <c r="H31" s="19">
        <v>8</v>
      </c>
      <c r="I31" s="19">
        <v>16</v>
      </c>
      <c r="J31" s="19">
        <f t="shared" si="0"/>
        <v>24</v>
      </c>
      <c r="K31" s="19">
        <v>15</v>
      </c>
      <c r="L31" s="19">
        <f t="shared" si="1"/>
        <v>48</v>
      </c>
      <c r="M31" s="19">
        <f t="shared" si="2"/>
        <v>1</v>
      </c>
      <c r="N31" s="19" t="str">
        <f t="shared" si="3"/>
        <v>PASS</v>
      </c>
    </row>
    <row r="32" ht="14.25" customHeight="1" spans="4:17">
      <c r="D32" s="19">
        <v>18</v>
      </c>
      <c r="E32" s="22" t="s">
        <v>176</v>
      </c>
      <c r="F32" s="19">
        <v>3</v>
      </c>
      <c r="G32" s="19">
        <v>16</v>
      </c>
      <c r="H32" s="19">
        <v>10</v>
      </c>
      <c r="I32" s="19">
        <v>0</v>
      </c>
      <c r="J32" s="19">
        <f t="shared" si="0"/>
        <v>10</v>
      </c>
      <c r="K32" s="19">
        <v>9</v>
      </c>
      <c r="L32" s="19">
        <f t="shared" si="1"/>
        <v>38</v>
      </c>
      <c r="M32" s="19">
        <f t="shared" si="2"/>
        <v>1</v>
      </c>
      <c r="N32" s="19" t="str">
        <f t="shared" si="3"/>
        <v>PASS</v>
      </c>
    </row>
    <row r="33" ht="14.25" customHeight="1" spans="4:14">
      <c r="D33" s="19">
        <v>19</v>
      </c>
      <c r="E33" s="22" t="s">
        <v>181</v>
      </c>
      <c r="F33" s="19">
        <v>14</v>
      </c>
      <c r="G33" s="19">
        <v>10</v>
      </c>
      <c r="H33" s="19">
        <v>5</v>
      </c>
      <c r="I33" s="19">
        <v>0</v>
      </c>
      <c r="J33" s="19">
        <f t="shared" si="0"/>
        <v>5</v>
      </c>
      <c r="K33" s="19">
        <v>7</v>
      </c>
      <c r="L33" s="19">
        <f t="shared" si="1"/>
        <v>36</v>
      </c>
      <c r="M33" s="19">
        <f t="shared" si="2"/>
        <v>1</v>
      </c>
      <c r="N33" s="19" t="str">
        <f t="shared" si="3"/>
        <v>PASS</v>
      </c>
    </row>
    <row r="34" ht="14.25" customHeight="1" spans="4:14">
      <c r="D34" s="19">
        <v>20</v>
      </c>
      <c r="E34" s="22" t="s">
        <v>186</v>
      </c>
      <c r="F34" s="19">
        <v>3</v>
      </c>
      <c r="G34" s="19">
        <v>16</v>
      </c>
      <c r="H34" s="19">
        <v>3</v>
      </c>
      <c r="I34" s="19">
        <v>8</v>
      </c>
      <c r="J34" s="19">
        <f t="shared" si="0"/>
        <v>11</v>
      </c>
      <c r="K34" s="19">
        <v>27</v>
      </c>
      <c r="L34" s="19">
        <f t="shared" si="1"/>
        <v>57</v>
      </c>
      <c r="M34" s="19">
        <f t="shared" si="2"/>
        <v>2</v>
      </c>
      <c r="N34" s="19" t="str">
        <f t="shared" si="3"/>
        <v>PASS</v>
      </c>
    </row>
    <row r="35" ht="14.25" customHeight="1" spans="4:14">
      <c r="D35" s="19">
        <v>21</v>
      </c>
      <c r="E35" s="22" t="s">
        <v>40</v>
      </c>
      <c r="F35" s="19">
        <v>18</v>
      </c>
      <c r="G35" s="19">
        <v>19</v>
      </c>
      <c r="H35" s="19">
        <v>10</v>
      </c>
      <c r="I35" s="19">
        <v>20</v>
      </c>
      <c r="J35" s="19">
        <f t="shared" ref="J35:J98" si="4">I35+H35</f>
        <v>30</v>
      </c>
      <c r="K35" s="19">
        <v>29</v>
      </c>
      <c r="L35" s="19">
        <f t="shared" si="1"/>
        <v>96</v>
      </c>
      <c r="M35" s="19">
        <f t="shared" si="2"/>
        <v>3</v>
      </c>
      <c r="N35" s="19" t="str">
        <f t="shared" si="3"/>
        <v>PASS</v>
      </c>
    </row>
    <row r="36" ht="14.25" customHeight="1" spans="4:14">
      <c r="D36" s="19">
        <v>22</v>
      </c>
      <c r="E36" s="22" t="s">
        <v>195</v>
      </c>
      <c r="F36" s="19">
        <v>4</v>
      </c>
      <c r="G36" s="19">
        <v>20</v>
      </c>
      <c r="H36" s="19">
        <v>10</v>
      </c>
      <c r="I36" s="19">
        <v>8</v>
      </c>
      <c r="J36" s="19">
        <f t="shared" si="4"/>
        <v>18</v>
      </c>
      <c r="K36" s="19">
        <v>5</v>
      </c>
      <c r="L36" s="19">
        <f t="shared" si="1"/>
        <v>47</v>
      </c>
      <c r="M36" s="19">
        <f t="shared" si="2"/>
        <v>1</v>
      </c>
      <c r="N36" s="19" t="str">
        <f t="shared" si="3"/>
        <v>PASS</v>
      </c>
    </row>
    <row r="37" ht="14.25" customHeight="1" spans="4:14">
      <c r="D37" s="19">
        <v>23</v>
      </c>
      <c r="E37" s="22" t="s">
        <v>200</v>
      </c>
      <c r="F37" s="19">
        <v>14</v>
      </c>
      <c r="G37" s="19">
        <v>19</v>
      </c>
      <c r="H37" s="19">
        <v>8</v>
      </c>
      <c r="I37" s="19">
        <v>16</v>
      </c>
      <c r="J37" s="19">
        <f t="shared" si="4"/>
        <v>24</v>
      </c>
      <c r="K37" s="19">
        <v>6</v>
      </c>
      <c r="L37" s="19">
        <f t="shared" si="1"/>
        <v>63</v>
      </c>
      <c r="M37" s="19">
        <f t="shared" si="2"/>
        <v>2</v>
      </c>
      <c r="N37" s="19" t="str">
        <f t="shared" si="3"/>
        <v>PASS</v>
      </c>
    </row>
    <row r="38" ht="14.25" customHeight="1" spans="4:14">
      <c r="D38" s="19">
        <v>24</v>
      </c>
      <c r="E38" s="22" t="s">
        <v>205</v>
      </c>
      <c r="F38" s="19">
        <v>8</v>
      </c>
      <c r="G38" s="19">
        <v>16</v>
      </c>
      <c r="H38" s="19">
        <v>7</v>
      </c>
      <c r="I38" s="19">
        <v>10</v>
      </c>
      <c r="J38" s="19">
        <f t="shared" si="4"/>
        <v>17</v>
      </c>
      <c r="K38" s="19">
        <v>8</v>
      </c>
      <c r="L38" s="19">
        <f t="shared" si="1"/>
        <v>49</v>
      </c>
      <c r="M38" s="19">
        <f t="shared" si="2"/>
        <v>1</v>
      </c>
      <c r="N38" s="19" t="str">
        <f t="shared" si="3"/>
        <v>PASS</v>
      </c>
    </row>
    <row r="39" ht="14.25" customHeight="1" spans="4:14">
      <c r="D39" s="19">
        <v>25</v>
      </c>
      <c r="E39" s="22" t="s">
        <v>210</v>
      </c>
      <c r="F39" s="19">
        <v>8</v>
      </c>
      <c r="G39" s="19">
        <v>2</v>
      </c>
      <c r="H39" s="19">
        <v>10</v>
      </c>
      <c r="I39" s="19">
        <v>17</v>
      </c>
      <c r="J39" s="19">
        <f t="shared" si="4"/>
        <v>27</v>
      </c>
      <c r="K39" s="19">
        <v>1</v>
      </c>
      <c r="L39" s="19">
        <f t="shared" si="1"/>
        <v>38</v>
      </c>
      <c r="M39" s="19">
        <f t="shared" si="2"/>
        <v>1</v>
      </c>
      <c r="N39" s="19" t="str">
        <f t="shared" si="3"/>
        <v>PASS</v>
      </c>
    </row>
    <row r="40" ht="14.25" customHeight="1" spans="4:14">
      <c r="D40" s="19">
        <v>26</v>
      </c>
      <c r="E40" s="22" t="s">
        <v>215</v>
      </c>
      <c r="F40" s="19">
        <v>0</v>
      </c>
      <c r="G40" s="19">
        <v>12</v>
      </c>
      <c r="H40" s="19">
        <v>7</v>
      </c>
      <c r="I40" s="19">
        <v>2</v>
      </c>
      <c r="J40" s="19">
        <f t="shared" si="4"/>
        <v>9</v>
      </c>
      <c r="K40" s="19">
        <v>10</v>
      </c>
      <c r="L40" s="19">
        <f t="shared" si="1"/>
        <v>31</v>
      </c>
      <c r="M40" s="19">
        <f t="shared" si="2"/>
        <v>0</v>
      </c>
      <c r="N40" s="19" t="str">
        <f t="shared" si="3"/>
        <v>FAIL</v>
      </c>
    </row>
    <row r="41" ht="14.25" customHeight="1" spans="4:14">
      <c r="D41" s="19">
        <v>27</v>
      </c>
      <c r="E41" s="22" t="s">
        <v>220</v>
      </c>
      <c r="F41" s="19">
        <v>9</v>
      </c>
      <c r="G41" s="19">
        <v>14</v>
      </c>
      <c r="H41" s="19">
        <v>9</v>
      </c>
      <c r="I41" s="19">
        <v>12</v>
      </c>
      <c r="J41" s="19">
        <f t="shared" si="4"/>
        <v>21</v>
      </c>
      <c r="K41" s="19">
        <v>6</v>
      </c>
      <c r="L41" s="19">
        <f t="shared" si="1"/>
        <v>50</v>
      </c>
      <c r="M41" s="19">
        <f t="shared" si="2"/>
        <v>1</v>
      </c>
      <c r="N41" s="19" t="str">
        <f t="shared" si="3"/>
        <v>PASS</v>
      </c>
    </row>
    <row r="42" ht="14.25" customHeight="1" spans="4:14">
      <c r="D42" s="19">
        <v>28</v>
      </c>
      <c r="E42" s="22" t="s">
        <v>225</v>
      </c>
      <c r="F42" s="19">
        <v>4</v>
      </c>
      <c r="G42" s="19">
        <v>8</v>
      </c>
      <c r="H42" s="19">
        <v>7</v>
      </c>
      <c r="I42" s="19">
        <v>20</v>
      </c>
      <c r="J42" s="19">
        <f t="shared" si="4"/>
        <v>27</v>
      </c>
      <c r="K42" s="19">
        <v>8</v>
      </c>
      <c r="L42" s="19">
        <f t="shared" si="1"/>
        <v>47</v>
      </c>
      <c r="M42" s="19">
        <f t="shared" si="2"/>
        <v>1</v>
      </c>
      <c r="N42" s="19" t="str">
        <f t="shared" si="3"/>
        <v>PASS</v>
      </c>
    </row>
    <row r="43" ht="14.25" customHeight="1" spans="4:14">
      <c r="D43" s="19">
        <v>29</v>
      </c>
      <c r="E43" s="22" t="s">
        <v>230</v>
      </c>
      <c r="F43" s="19">
        <v>15</v>
      </c>
      <c r="G43" s="19">
        <v>4</v>
      </c>
      <c r="H43" s="19">
        <v>8</v>
      </c>
      <c r="I43" s="19">
        <v>5</v>
      </c>
      <c r="J43" s="19">
        <f t="shared" si="4"/>
        <v>13</v>
      </c>
      <c r="K43" s="19">
        <v>28</v>
      </c>
      <c r="L43" s="19">
        <f t="shared" si="1"/>
        <v>60</v>
      </c>
      <c r="M43" s="19">
        <f t="shared" si="2"/>
        <v>2</v>
      </c>
      <c r="N43" s="19" t="str">
        <f t="shared" si="3"/>
        <v>PASS</v>
      </c>
    </row>
    <row r="44" ht="14.25" customHeight="1" spans="4:14">
      <c r="D44" s="19">
        <v>30</v>
      </c>
      <c r="E44" s="22" t="s">
        <v>235</v>
      </c>
      <c r="F44" s="19">
        <v>15</v>
      </c>
      <c r="G44" s="19">
        <v>6</v>
      </c>
      <c r="H44" s="19">
        <v>7</v>
      </c>
      <c r="I44" s="19">
        <v>19</v>
      </c>
      <c r="J44" s="19">
        <f t="shared" si="4"/>
        <v>26</v>
      </c>
      <c r="K44" s="19">
        <v>13</v>
      </c>
      <c r="L44" s="19">
        <f t="shared" si="1"/>
        <v>60</v>
      </c>
      <c r="M44" s="19">
        <f t="shared" si="2"/>
        <v>2</v>
      </c>
      <c r="N44" s="19" t="str">
        <f t="shared" si="3"/>
        <v>PASS</v>
      </c>
    </row>
    <row r="45" ht="14.25" customHeight="1" spans="4:14">
      <c r="D45" s="19">
        <v>31</v>
      </c>
      <c r="E45" s="22" t="s">
        <v>240</v>
      </c>
      <c r="F45" s="19">
        <v>12</v>
      </c>
      <c r="G45" s="19">
        <v>11</v>
      </c>
      <c r="H45" s="19">
        <v>2</v>
      </c>
      <c r="I45" s="19">
        <v>9</v>
      </c>
      <c r="J45" s="19">
        <f t="shared" si="4"/>
        <v>11</v>
      </c>
      <c r="K45" s="19">
        <v>12</v>
      </c>
      <c r="L45" s="19">
        <f t="shared" si="1"/>
        <v>46</v>
      </c>
      <c r="M45" s="19">
        <f t="shared" si="2"/>
        <v>1</v>
      </c>
      <c r="N45" s="19" t="str">
        <f t="shared" si="3"/>
        <v>PASS</v>
      </c>
    </row>
    <row r="46" ht="14.25" customHeight="1" spans="4:14">
      <c r="D46" s="19">
        <v>32</v>
      </c>
      <c r="E46" s="22" t="s">
        <v>245</v>
      </c>
      <c r="F46" s="19">
        <v>6</v>
      </c>
      <c r="G46" s="19">
        <v>10</v>
      </c>
      <c r="H46" s="19">
        <v>5</v>
      </c>
      <c r="I46" s="19">
        <v>10</v>
      </c>
      <c r="J46" s="19">
        <f t="shared" si="4"/>
        <v>15</v>
      </c>
      <c r="K46" s="19">
        <v>27</v>
      </c>
      <c r="L46" s="19">
        <f t="shared" si="1"/>
        <v>58</v>
      </c>
      <c r="M46" s="19">
        <f t="shared" si="2"/>
        <v>2</v>
      </c>
      <c r="N46" s="19" t="str">
        <f t="shared" si="3"/>
        <v>PASS</v>
      </c>
    </row>
    <row r="47" ht="14.25" customHeight="1" spans="4:14">
      <c r="D47" s="19">
        <v>33</v>
      </c>
      <c r="E47" s="22" t="s">
        <v>250</v>
      </c>
      <c r="F47" s="19">
        <v>0</v>
      </c>
      <c r="G47" s="19">
        <v>9</v>
      </c>
      <c r="H47" s="19">
        <v>7</v>
      </c>
      <c r="I47" s="19">
        <v>6</v>
      </c>
      <c r="J47" s="19">
        <f t="shared" si="4"/>
        <v>13</v>
      </c>
      <c r="K47" s="19">
        <v>14</v>
      </c>
      <c r="L47" s="19">
        <f t="shared" si="1"/>
        <v>36</v>
      </c>
      <c r="M47" s="19">
        <f t="shared" si="2"/>
        <v>1</v>
      </c>
      <c r="N47" s="19" t="str">
        <f t="shared" si="3"/>
        <v>PASS</v>
      </c>
    </row>
    <row r="48" ht="14.25" customHeight="1" spans="4:14">
      <c r="D48" s="19">
        <v>34</v>
      </c>
      <c r="E48" s="22" t="s">
        <v>255</v>
      </c>
      <c r="F48" s="19">
        <v>6</v>
      </c>
      <c r="G48" s="19">
        <v>15</v>
      </c>
      <c r="H48" s="19">
        <v>2</v>
      </c>
      <c r="I48" s="19">
        <v>4</v>
      </c>
      <c r="J48" s="19">
        <f t="shared" si="4"/>
        <v>6</v>
      </c>
      <c r="K48" s="19">
        <v>11</v>
      </c>
      <c r="L48" s="19">
        <f t="shared" si="1"/>
        <v>38</v>
      </c>
      <c r="M48" s="19">
        <f t="shared" si="2"/>
        <v>1</v>
      </c>
      <c r="N48" s="19" t="str">
        <f t="shared" si="3"/>
        <v>PASS</v>
      </c>
    </row>
    <row r="49" ht="14.25" customHeight="1" spans="4:14">
      <c r="D49" s="19">
        <v>35</v>
      </c>
      <c r="E49" s="22" t="s">
        <v>260</v>
      </c>
      <c r="F49" s="19">
        <v>13</v>
      </c>
      <c r="G49" s="19">
        <v>18</v>
      </c>
      <c r="H49" s="19">
        <v>8</v>
      </c>
      <c r="I49" s="19">
        <v>4</v>
      </c>
      <c r="J49" s="19">
        <f t="shared" si="4"/>
        <v>12</v>
      </c>
      <c r="K49" s="19">
        <v>28</v>
      </c>
      <c r="L49" s="19">
        <f t="shared" si="1"/>
        <v>71</v>
      </c>
      <c r="M49" s="19">
        <f t="shared" si="2"/>
        <v>2</v>
      </c>
      <c r="N49" s="19" t="str">
        <f t="shared" si="3"/>
        <v>PASS</v>
      </c>
    </row>
    <row r="50" ht="14.25" customHeight="1" spans="4:14">
      <c r="D50" s="19">
        <v>36</v>
      </c>
      <c r="E50" s="22" t="s">
        <v>265</v>
      </c>
      <c r="F50" s="19">
        <v>6</v>
      </c>
      <c r="G50" s="19">
        <v>17</v>
      </c>
      <c r="H50" s="19">
        <v>7</v>
      </c>
      <c r="I50" s="19">
        <v>0</v>
      </c>
      <c r="J50" s="19">
        <f t="shared" si="4"/>
        <v>7</v>
      </c>
      <c r="K50" s="19">
        <v>22</v>
      </c>
      <c r="L50" s="19">
        <f t="shared" si="1"/>
        <v>52</v>
      </c>
      <c r="M50" s="19">
        <f t="shared" si="2"/>
        <v>2</v>
      </c>
      <c r="N50" s="19" t="str">
        <f t="shared" si="3"/>
        <v>PASS</v>
      </c>
    </row>
    <row r="51" ht="14.25" customHeight="1" spans="4:14">
      <c r="D51" s="19">
        <v>37</v>
      </c>
      <c r="E51" s="22" t="s">
        <v>270</v>
      </c>
      <c r="F51" s="19">
        <v>16</v>
      </c>
      <c r="G51" s="19">
        <v>5</v>
      </c>
      <c r="H51" s="19">
        <v>4</v>
      </c>
      <c r="I51" s="19">
        <v>15</v>
      </c>
      <c r="J51" s="19">
        <f t="shared" si="4"/>
        <v>19</v>
      </c>
      <c r="K51" s="19">
        <v>22</v>
      </c>
      <c r="L51" s="19">
        <f t="shared" si="1"/>
        <v>62</v>
      </c>
      <c r="M51" s="19">
        <f t="shared" si="2"/>
        <v>2</v>
      </c>
      <c r="N51" s="19" t="str">
        <f t="shared" si="3"/>
        <v>PASS</v>
      </c>
    </row>
    <row r="52" ht="14.25" customHeight="1" spans="4:14">
      <c r="D52" s="19">
        <v>38</v>
      </c>
      <c r="E52" s="22" t="s">
        <v>275</v>
      </c>
      <c r="F52" s="19">
        <v>16</v>
      </c>
      <c r="G52" s="19">
        <v>20</v>
      </c>
      <c r="H52" s="19">
        <v>10</v>
      </c>
      <c r="I52" s="19">
        <v>0</v>
      </c>
      <c r="J52" s="19">
        <f t="shared" si="4"/>
        <v>10</v>
      </c>
      <c r="K52" s="19">
        <v>3</v>
      </c>
      <c r="L52" s="19">
        <f t="shared" si="1"/>
        <v>49</v>
      </c>
      <c r="M52" s="19">
        <f t="shared" si="2"/>
        <v>1</v>
      </c>
      <c r="N52" s="19" t="str">
        <f t="shared" si="3"/>
        <v>PASS</v>
      </c>
    </row>
    <row r="53" ht="14.25" customHeight="1" spans="4:14">
      <c r="D53" s="19">
        <v>39</v>
      </c>
      <c r="E53" s="22" t="s">
        <v>280</v>
      </c>
      <c r="F53" s="19">
        <v>4</v>
      </c>
      <c r="G53" s="19">
        <v>10</v>
      </c>
      <c r="H53" s="19">
        <v>4</v>
      </c>
      <c r="I53" s="19">
        <v>19</v>
      </c>
      <c r="J53" s="19">
        <f t="shared" si="4"/>
        <v>23</v>
      </c>
      <c r="K53" s="19">
        <v>2</v>
      </c>
      <c r="L53" s="19">
        <f t="shared" si="1"/>
        <v>39</v>
      </c>
      <c r="M53" s="19">
        <f t="shared" si="2"/>
        <v>1</v>
      </c>
      <c r="N53" s="19" t="str">
        <f t="shared" si="3"/>
        <v>PASS</v>
      </c>
    </row>
    <row r="54" ht="14.25" customHeight="1" spans="4:14">
      <c r="D54" s="19">
        <v>40</v>
      </c>
      <c r="E54" s="22" t="s">
        <v>285</v>
      </c>
      <c r="F54" s="19">
        <v>11</v>
      </c>
      <c r="G54" s="19">
        <v>0</v>
      </c>
      <c r="H54" s="19">
        <v>1</v>
      </c>
      <c r="I54" s="19">
        <v>3</v>
      </c>
      <c r="J54" s="19">
        <f t="shared" si="4"/>
        <v>4</v>
      </c>
      <c r="K54" s="19">
        <v>26</v>
      </c>
      <c r="L54" s="19">
        <f t="shared" si="1"/>
        <v>41</v>
      </c>
      <c r="M54" s="19">
        <f t="shared" si="2"/>
        <v>1</v>
      </c>
      <c r="N54" s="19" t="str">
        <f t="shared" si="3"/>
        <v>PASS</v>
      </c>
    </row>
    <row r="55" ht="14.25" customHeight="1" spans="4:14">
      <c r="D55" s="19">
        <v>41</v>
      </c>
      <c r="E55" s="22" t="s">
        <v>290</v>
      </c>
      <c r="F55" s="19">
        <v>6</v>
      </c>
      <c r="G55" s="19">
        <v>12</v>
      </c>
      <c r="H55" s="19">
        <v>7</v>
      </c>
      <c r="I55" s="19">
        <v>18</v>
      </c>
      <c r="J55" s="19">
        <f t="shared" si="4"/>
        <v>25</v>
      </c>
      <c r="K55" s="19">
        <v>11</v>
      </c>
      <c r="L55" s="19">
        <f t="shared" si="1"/>
        <v>54</v>
      </c>
      <c r="M55" s="19">
        <f t="shared" si="2"/>
        <v>2</v>
      </c>
      <c r="N55" s="19" t="str">
        <f t="shared" si="3"/>
        <v>PASS</v>
      </c>
    </row>
    <row r="56" ht="14.25" customHeight="1" spans="4:14">
      <c r="D56" s="19">
        <v>42</v>
      </c>
      <c r="E56" s="22" t="s">
        <v>295</v>
      </c>
      <c r="F56" s="19">
        <v>12</v>
      </c>
      <c r="G56" s="19">
        <v>15</v>
      </c>
      <c r="H56" s="19">
        <v>7</v>
      </c>
      <c r="I56" s="19">
        <v>17</v>
      </c>
      <c r="J56" s="19">
        <f t="shared" si="4"/>
        <v>24</v>
      </c>
      <c r="K56" s="19">
        <v>19</v>
      </c>
      <c r="L56" s="19">
        <f t="shared" si="1"/>
        <v>70</v>
      </c>
      <c r="M56" s="19">
        <f t="shared" si="2"/>
        <v>2</v>
      </c>
      <c r="N56" s="19" t="str">
        <f t="shared" si="3"/>
        <v>PASS</v>
      </c>
    </row>
    <row r="57" ht="14.25" customHeight="1" spans="4:14">
      <c r="D57" s="19">
        <v>43</v>
      </c>
      <c r="E57" s="22" t="s">
        <v>300</v>
      </c>
      <c r="F57" s="19">
        <v>0</v>
      </c>
      <c r="G57" s="19">
        <v>4</v>
      </c>
      <c r="H57" s="19">
        <v>6</v>
      </c>
      <c r="I57" s="19">
        <v>5</v>
      </c>
      <c r="J57" s="19">
        <f t="shared" si="4"/>
        <v>11</v>
      </c>
      <c r="K57" s="19">
        <v>25</v>
      </c>
      <c r="L57" s="19">
        <f t="shared" si="1"/>
        <v>40</v>
      </c>
      <c r="M57" s="19">
        <f t="shared" si="2"/>
        <v>1</v>
      </c>
      <c r="N57" s="19" t="str">
        <f t="shared" si="3"/>
        <v>PASS</v>
      </c>
    </row>
    <row r="58" ht="14.25" customHeight="1" spans="4:14">
      <c r="D58" s="19">
        <v>44</v>
      </c>
      <c r="E58" s="22" t="s">
        <v>305</v>
      </c>
      <c r="F58" s="19">
        <v>10</v>
      </c>
      <c r="G58" s="19">
        <v>14</v>
      </c>
      <c r="H58" s="19">
        <v>8</v>
      </c>
      <c r="I58" s="19">
        <v>15</v>
      </c>
      <c r="J58" s="19">
        <f t="shared" si="4"/>
        <v>23</v>
      </c>
      <c r="K58" s="19">
        <v>13</v>
      </c>
      <c r="L58" s="19">
        <f t="shared" si="1"/>
        <v>60</v>
      </c>
      <c r="M58" s="19">
        <f t="shared" si="2"/>
        <v>2</v>
      </c>
      <c r="N58" s="19" t="str">
        <f t="shared" si="3"/>
        <v>PASS</v>
      </c>
    </row>
    <row r="59" ht="14.25" customHeight="1" spans="4:14">
      <c r="D59" s="19">
        <v>45</v>
      </c>
      <c r="E59" s="22" t="s">
        <v>310</v>
      </c>
      <c r="F59" s="19">
        <v>20</v>
      </c>
      <c r="G59" s="19">
        <v>5</v>
      </c>
      <c r="H59" s="19">
        <v>10</v>
      </c>
      <c r="I59" s="19">
        <v>8</v>
      </c>
      <c r="J59" s="19">
        <f t="shared" si="4"/>
        <v>18</v>
      </c>
      <c r="K59" s="19">
        <v>14</v>
      </c>
      <c r="L59" s="19">
        <f t="shared" si="1"/>
        <v>57</v>
      </c>
      <c r="M59" s="19">
        <f t="shared" si="2"/>
        <v>2</v>
      </c>
      <c r="N59" s="19" t="str">
        <f t="shared" si="3"/>
        <v>PASS</v>
      </c>
    </row>
    <row r="60" ht="14.25" customHeight="1" spans="4:14">
      <c r="D60" s="19">
        <v>46</v>
      </c>
      <c r="E60" s="22" t="s">
        <v>315</v>
      </c>
      <c r="F60" s="19">
        <v>3</v>
      </c>
      <c r="G60" s="19">
        <v>9</v>
      </c>
      <c r="H60" s="19">
        <v>10</v>
      </c>
      <c r="I60" s="19">
        <v>13</v>
      </c>
      <c r="J60" s="19">
        <f t="shared" si="4"/>
        <v>23</v>
      </c>
      <c r="K60" s="19">
        <v>12</v>
      </c>
      <c r="L60" s="19">
        <f t="shared" si="1"/>
        <v>47</v>
      </c>
      <c r="M60" s="19">
        <f t="shared" si="2"/>
        <v>1</v>
      </c>
      <c r="N60" s="19" t="str">
        <f t="shared" si="3"/>
        <v>PASS</v>
      </c>
    </row>
    <row r="61" ht="14.25" customHeight="1" spans="4:14">
      <c r="D61" s="19">
        <v>47</v>
      </c>
      <c r="E61" s="22" t="s">
        <v>320</v>
      </c>
      <c r="F61" s="19">
        <v>13</v>
      </c>
      <c r="G61" s="19">
        <v>8</v>
      </c>
      <c r="H61" s="19">
        <v>2</v>
      </c>
      <c r="I61" s="19">
        <v>16</v>
      </c>
      <c r="J61" s="19">
        <f t="shared" si="4"/>
        <v>18</v>
      </c>
      <c r="K61" s="19">
        <v>14</v>
      </c>
      <c r="L61" s="19">
        <f t="shared" si="1"/>
        <v>53</v>
      </c>
      <c r="M61" s="19">
        <f t="shared" si="2"/>
        <v>2</v>
      </c>
      <c r="N61" s="19" t="str">
        <f t="shared" si="3"/>
        <v>PASS</v>
      </c>
    </row>
    <row r="62" ht="14.25" customHeight="1" spans="4:14">
      <c r="D62" s="19">
        <v>48</v>
      </c>
      <c r="E62" s="22" t="s">
        <v>325</v>
      </c>
      <c r="F62" s="19">
        <v>7</v>
      </c>
      <c r="G62" s="19">
        <v>20</v>
      </c>
      <c r="H62" s="19">
        <v>3</v>
      </c>
      <c r="I62" s="19">
        <v>20</v>
      </c>
      <c r="J62" s="19">
        <f t="shared" si="4"/>
        <v>23</v>
      </c>
      <c r="K62" s="19">
        <v>4</v>
      </c>
      <c r="L62" s="19">
        <f t="shared" si="1"/>
        <v>54</v>
      </c>
      <c r="M62" s="19">
        <f t="shared" si="2"/>
        <v>2</v>
      </c>
      <c r="N62" s="19" t="str">
        <f t="shared" si="3"/>
        <v>PASS</v>
      </c>
    </row>
    <row r="63" ht="14.25" customHeight="1" spans="4:14">
      <c r="D63" s="19">
        <v>49</v>
      </c>
      <c r="E63" s="22" t="s">
        <v>330</v>
      </c>
      <c r="F63" s="19">
        <v>17</v>
      </c>
      <c r="G63" s="19">
        <v>2</v>
      </c>
      <c r="H63" s="19">
        <v>7</v>
      </c>
      <c r="I63" s="19">
        <v>13</v>
      </c>
      <c r="J63" s="19">
        <f t="shared" si="4"/>
        <v>20</v>
      </c>
      <c r="K63" s="19">
        <v>23</v>
      </c>
      <c r="L63" s="19">
        <f t="shared" si="1"/>
        <v>62</v>
      </c>
      <c r="M63" s="19">
        <f t="shared" si="2"/>
        <v>2</v>
      </c>
      <c r="N63" s="19" t="str">
        <f t="shared" si="3"/>
        <v>PASS</v>
      </c>
    </row>
    <row r="64" ht="14.25" customHeight="1" spans="4:14">
      <c r="D64" s="19">
        <v>50</v>
      </c>
      <c r="E64" s="22" t="s">
        <v>335</v>
      </c>
      <c r="F64" s="19">
        <v>11</v>
      </c>
      <c r="G64" s="19">
        <v>18</v>
      </c>
      <c r="H64" s="19">
        <v>1</v>
      </c>
      <c r="I64" s="19">
        <v>4</v>
      </c>
      <c r="J64" s="19">
        <f t="shared" si="4"/>
        <v>5</v>
      </c>
      <c r="K64" s="19">
        <v>8</v>
      </c>
      <c r="L64" s="19">
        <f t="shared" si="1"/>
        <v>42</v>
      </c>
      <c r="M64" s="19">
        <f t="shared" si="2"/>
        <v>1</v>
      </c>
      <c r="N64" s="19" t="str">
        <f t="shared" si="3"/>
        <v>PASS</v>
      </c>
    </row>
    <row r="65" ht="14.25" customHeight="1" spans="4:14">
      <c r="D65" s="19">
        <v>51</v>
      </c>
      <c r="E65" s="22" t="s">
        <v>340</v>
      </c>
      <c r="F65" s="19">
        <v>20</v>
      </c>
      <c r="G65" s="19">
        <v>10</v>
      </c>
      <c r="H65" s="19">
        <v>3</v>
      </c>
      <c r="I65" s="19">
        <v>2</v>
      </c>
      <c r="J65" s="19">
        <f t="shared" si="4"/>
        <v>5</v>
      </c>
      <c r="K65" s="19">
        <v>24</v>
      </c>
      <c r="L65" s="19">
        <f t="shared" si="1"/>
        <v>59</v>
      </c>
      <c r="M65" s="19">
        <f t="shared" si="2"/>
        <v>2</v>
      </c>
      <c r="N65" s="19" t="str">
        <f t="shared" si="3"/>
        <v>PASS</v>
      </c>
    </row>
    <row r="66" ht="14.25" customHeight="1" spans="4:14">
      <c r="D66" s="19">
        <v>52</v>
      </c>
      <c r="E66" s="22" t="s">
        <v>345</v>
      </c>
      <c r="F66" s="19">
        <v>5</v>
      </c>
      <c r="G66" s="19">
        <v>4</v>
      </c>
      <c r="H66" s="19">
        <v>1</v>
      </c>
      <c r="I66" s="19">
        <v>5</v>
      </c>
      <c r="J66" s="19">
        <f t="shared" si="4"/>
        <v>6</v>
      </c>
      <c r="K66" s="19">
        <v>11</v>
      </c>
      <c r="L66" s="19">
        <f t="shared" si="1"/>
        <v>26</v>
      </c>
      <c r="M66" s="19">
        <f t="shared" si="2"/>
        <v>0</v>
      </c>
      <c r="N66" s="19" t="str">
        <f t="shared" si="3"/>
        <v>FAIL</v>
      </c>
    </row>
    <row r="67" ht="14.25" customHeight="1" spans="4:14">
      <c r="D67" s="19">
        <v>53</v>
      </c>
      <c r="E67" s="22" t="s">
        <v>350</v>
      </c>
      <c r="F67" s="19">
        <v>7</v>
      </c>
      <c r="G67" s="19">
        <v>0</v>
      </c>
      <c r="H67" s="19">
        <v>6</v>
      </c>
      <c r="I67" s="19">
        <v>0</v>
      </c>
      <c r="J67" s="19">
        <f t="shared" si="4"/>
        <v>6</v>
      </c>
      <c r="K67" s="19">
        <v>29</v>
      </c>
      <c r="L67" s="19">
        <f t="shared" si="1"/>
        <v>42</v>
      </c>
      <c r="M67" s="19">
        <f t="shared" si="2"/>
        <v>1</v>
      </c>
      <c r="N67" s="19" t="str">
        <f t="shared" si="3"/>
        <v>PASS</v>
      </c>
    </row>
    <row r="68" ht="14.25" customHeight="1" spans="4:14">
      <c r="D68" s="19">
        <v>54</v>
      </c>
      <c r="E68" s="22" t="s">
        <v>355</v>
      </c>
      <c r="F68" s="19">
        <v>19</v>
      </c>
      <c r="G68" s="19">
        <v>0</v>
      </c>
      <c r="H68" s="19">
        <v>10</v>
      </c>
      <c r="I68" s="19">
        <v>18</v>
      </c>
      <c r="J68" s="19">
        <f t="shared" si="4"/>
        <v>28</v>
      </c>
      <c r="K68" s="19">
        <v>7</v>
      </c>
      <c r="L68" s="19">
        <f t="shared" si="1"/>
        <v>54</v>
      </c>
      <c r="M68" s="19">
        <f t="shared" si="2"/>
        <v>2</v>
      </c>
      <c r="N68" s="19" t="str">
        <f t="shared" si="3"/>
        <v>PASS</v>
      </c>
    </row>
    <row r="69" ht="14.25" customHeight="1" spans="4:14">
      <c r="D69" s="19">
        <v>55</v>
      </c>
      <c r="E69" s="22" t="s">
        <v>360</v>
      </c>
      <c r="F69" s="19">
        <v>11</v>
      </c>
      <c r="G69" s="19">
        <v>16</v>
      </c>
      <c r="H69" s="19">
        <v>4</v>
      </c>
      <c r="I69" s="19">
        <v>16</v>
      </c>
      <c r="J69" s="19">
        <f t="shared" si="4"/>
        <v>20</v>
      </c>
      <c r="K69" s="19">
        <v>19</v>
      </c>
      <c r="L69" s="19">
        <f t="shared" si="1"/>
        <v>66</v>
      </c>
      <c r="M69" s="19">
        <f t="shared" si="2"/>
        <v>2</v>
      </c>
      <c r="N69" s="19" t="str">
        <f t="shared" si="3"/>
        <v>PASS</v>
      </c>
    </row>
    <row r="70" ht="14.25" customHeight="1" spans="4:14">
      <c r="D70" s="19">
        <v>56</v>
      </c>
      <c r="E70" s="22" t="s">
        <v>365</v>
      </c>
      <c r="F70" s="19">
        <v>14</v>
      </c>
      <c r="G70" s="19">
        <v>19</v>
      </c>
      <c r="H70" s="19">
        <v>4</v>
      </c>
      <c r="I70" s="19">
        <v>19</v>
      </c>
      <c r="J70" s="19">
        <f t="shared" si="4"/>
        <v>23</v>
      </c>
      <c r="K70" s="19">
        <v>13</v>
      </c>
      <c r="L70" s="19">
        <f t="shared" si="1"/>
        <v>69</v>
      </c>
      <c r="M70" s="19">
        <f t="shared" si="2"/>
        <v>2</v>
      </c>
      <c r="N70" s="19" t="str">
        <f t="shared" si="3"/>
        <v>PASS</v>
      </c>
    </row>
    <row r="71" ht="14.25" customHeight="1" spans="4:14">
      <c r="D71" s="19">
        <v>57</v>
      </c>
      <c r="E71" s="22" t="s">
        <v>369</v>
      </c>
      <c r="F71" s="19">
        <v>2</v>
      </c>
      <c r="G71" s="19">
        <v>12</v>
      </c>
      <c r="H71" s="19">
        <v>9</v>
      </c>
      <c r="I71" s="19">
        <v>11</v>
      </c>
      <c r="J71" s="19">
        <f t="shared" si="4"/>
        <v>20</v>
      </c>
      <c r="K71" s="19">
        <v>9</v>
      </c>
      <c r="L71" s="19">
        <f t="shared" si="1"/>
        <v>43</v>
      </c>
      <c r="M71" s="19">
        <f t="shared" si="2"/>
        <v>1</v>
      </c>
      <c r="N71" s="19" t="str">
        <f t="shared" si="3"/>
        <v>PASS</v>
      </c>
    </row>
    <row r="72" ht="14.25" customHeight="1" spans="4:14">
      <c r="D72" s="19">
        <v>58</v>
      </c>
      <c r="E72" s="22" t="s">
        <v>374</v>
      </c>
      <c r="F72" s="19">
        <v>9</v>
      </c>
      <c r="G72" s="19">
        <v>3</v>
      </c>
      <c r="H72" s="19">
        <v>4</v>
      </c>
      <c r="I72" s="19">
        <v>19</v>
      </c>
      <c r="J72" s="19">
        <f t="shared" si="4"/>
        <v>23</v>
      </c>
      <c r="K72" s="19">
        <v>9</v>
      </c>
      <c r="L72" s="19">
        <f t="shared" si="1"/>
        <v>44</v>
      </c>
      <c r="M72" s="19">
        <f t="shared" si="2"/>
        <v>1</v>
      </c>
      <c r="N72" s="19" t="str">
        <f t="shared" si="3"/>
        <v>PASS</v>
      </c>
    </row>
    <row r="73" ht="14.25" customHeight="1" spans="4:14">
      <c r="D73" s="19">
        <v>59</v>
      </c>
      <c r="E73" s="22" t="s">
        <v>379</v>
      </c>
      <c r="F73" s="19">
        <v>0</v>
      </c>
      <c r="G73" s="19">
        <v>8</v>
      </c>
      <c r="H73" s="19">
        <v>7</v>
      </c>
      <c r="I73" s="19">
        <v>5</v>
      </c>
      <c r="J73" s="19">
        <f t="shared" si="4"/>
        <v>12</v>
      </c>
      <c r="K73" s="19">
        <v>7</v>
      </c>
      <c r="L73" s="19">
        <f t="shared" si="1"/>
        <v>27</v>
      </c>
      <c r="M73" s="19">
        <f t="shared" si="2"/>
        <v>0</v>
      </c>
      <c r="N73" s="19" t="str">
        <f t="shared" si="3"/>
        <v>FAIL</v>
      </c>
    </row>
    <row r="74" ht="14.25" customHeight="1" spans="4:14">
      <c r="D74" s="19">
        <v>60</v>
      </c>
      <c r="E74" s="22" t="s">
        <v>384</v>
      </c>
      <c r="F74" s="19">
        <v>2</v>
      </c>
      <c r="G74" s="19">
        <v>9</v>
      </c>
      <c r="H74" s="19">
        <v>8</v>
      </c>
      <c r="I74" s="19">
        <v>6</v>
      </c>
      <c r="J74" s="19">
        <f t="shared" si="4"/>
        <v>14</v>
      </c>
      <c r="K74" s="19">
        <v>5</v>
      </c>
      <c r="L74" s="19">
        <f t="shared" si="1"/>
        <v>30</v>
      </c>
      <c r="M74" s="19">
        <f t="shared" si="2"/>
        <v>0</v>
      </c>
      <c r="N74" s="19" t="str">
        <f t="shared" si="3"/>
        <v>FAIL</v>
      </c>
    </row>
    <row r="75" ht="14.25" customHeight="1" spans="4:14">
      <c r="D75" s="19">
        <v>61</v>
      </c>
      <c r="E75" s="22" t="s">
        <v>389</v>
      </c>
      <c r="F75" s="19">
        <v>8</v>
      </c>
      <c r="G75" s="19">
        <v>8</v>
      </c>
      <c r="H75" s="19">
        <v>8</v>
      </c>
      <c r="I75" s="19">
        <v>10</v>
      </c>
      <c r="J75" s="19">
        <f t="shared" si="4"/>
        <v>18</v>
      </c>
      <c r="K75" s="19">
        <v>27</v>
      </c>
      <c r="L75" s="19">
        <f t="shared" si="1"/>
        <v>61</v>
      </c>
      <c r="M75" s="19">
        <f t="shared" si="2"/>
        <v>2</v>
      </c>
      <c r="N75" s="19" t="str">
        <f t="shared" si="3"/>
        <v>PASS</v>
      </c>
    </row>
    <row r="76" ht="14.25" customHeight="1" spans="4:14">
      <c r="D76" s="19">
        <v>62</v>
      </c>
      <c r="E76" s="22" t="s">
        <v>394</v>
      </c>
      <c r="F76" s="19">
        <v>16</v>
      </c>
      <c r="G76" s="19">
        <v>0</v>
      </c>
      <c r="H76" s="19">
        <v>0</v>
      </c>
      <c r="I76" s="19">
        <v>7</v>
      </c>
      <c r="J76" s="19">
        <f t="shared" si="4"/>
        <v>7</v>
      </c>
      <c r="K76" s="19">
        <v>10</v>
      </c>
      <c r="L76" s="19">
        <f t="shared" si="1"/>
        <v>33</v>
      </c>
      <c r="M76" s="19">
        <f t="shared" si="2"/>
        <v>0</v>
      </c>
      <c r="N76" s="19" t="str">
        <f t="shared" si="3"/>
        <v>FAIL</v>
      </c>
    </row>
    <row r="77" ht="14.25" customHeight="1" spans="4:14">
      <c r="D77" s="19">
        <v>63</v>
      </c>
      <c r="E77" s="22" t="s">
        <v>399</v>
      </c>
      <c r="F77" s="19">
        <v>16</v>
      </c>
      <c r="G77" s="19">
        <v>0</v>
      </c>
      <c r="H77" s="19">
        <v>2</v>
      </c>
      <c r="I77" s="19">
        <v>8</v>
      </c>
      <c r="J77" s="19">
        <f t="shared" si="4"/>
        <v>10</v>
      </c>
      <c r="K77" s="19">
        <v>14</v>
      </c>
      <c r="L77" s="19">
        <f t="shared" si="1"/>
        <v>40</v>
      </c>
      <c r="M77" s="19">
        <f t="shared" si="2"/>
        <v>1</v>
      </c>
      <c r="N77" s="19" t="str">
        <f t="shared" si="3"/>
        <v>PASS</v>
      </c>
    </row>
    <row r="78" ht="14.25" customHeight="1" spans="4:14">
      <c r="D78" s="19">
        <v>64</v>
      </c>
      <c r="E78" s="22" t="s">
        <v>403</v>
      </c>
      <c r="F78" s="19">
        <v>7</v>
      </c>
      <c r="G78" s="19">
        <v>8</v>
      </c>
      <c r="H78" s="19">
        <v>1</v>
      </c>
      <c r="I78" s="19">
        <v>0</v>
      </c>
      <c r="J78" s="19">
        <f t="shared" si="4"/>
        <v>1</v>
      </c>
      <c r="K78" s="19">
        <v>1</v>
      </c>
      <c r="L78" s="19">
        <f t="shared" si="1"/>
        <v>17</v>
      </c>
      <c r="M78" s="19">
        <f t="shared" si="2"/>
        <v>0</v>
      </c>
      <c r="N78" s="19" t="str">
        <f t="shared" si="3"/>
        <v>FAIL</v>
      </c>
    </row>
    <row r="79" ht="14.25" customHeight="1" spans="4:14">
      <c r="D79" s="19">
        <v>65</v>
      </c>
      <c r="E79" s="22" t="s">
        <v>408</v>
      </c>
      <c r="F79" s="19">
        <v>6</v>
      </c>
      <c r="G79" s="19">
        <v>1</v>
      </c>
      <c r="H79" s="19">
        <v>6</v>
      </c>
      <c r="I79" s="19">
        <v>19</v>
      </c>
      <c r="J79" s="19">
        <f t="shared" si="4"/>
        <v>25</v>
      </c>
      <c r="K79" s="19">
        <v>13</v>
      </c>
      <c r="L79" s="19">
        <f t="shared" ref="L79:L114" si="5">K79+J79+G79+F79</f>
        <v>45</v>
      </c>
      <c r="M79" s="19">
        <f t="shared" ref="M79:M114" si="6">IF(L79&gt;75,3,IF(L79&gt;50,2,IF(L79&gt;35,1,0)))</f>
        <v>1</v>
      </c>
      <c r="N79" s="19" t="str">
        <f t="shared" ref="N79:N114" si="7">IF(L79&lt;35,"FAIL","PASS")</f>
        <v>PASS</v>
      </c>
    </row>
    <row r="80" ht="14.25" customHeight="1" spans="4:14">
      <c r="D80" s="19">
        <v>66</v>
      </c>
      <c r="E80" s="22" t="s">
        <v>413</v>
      </c>
      <c r="F80" s="19">
        <v>15</v>
      </c>
      <c r="G80" s="19">
        <v>3</v>
      </c>
      <c r="H80" s="19">
        <v>10</v>
      </c>
      <c r="I80" s="19">
        <v>0</v>
      </c>
      <c r="J80" s="19">
        <f t="shared" si="4"/>
        <v>10</v>
      </c>
      <c r="K80" s="19">
        <v>17</v>
      </c>
      <c r="L80" s="19">
        <f t="shared" si="5"/>
        <v>45</v>
      </c>
      <c r="M80" s="19">
        <f t="shared" si="6"/>
        <v>1</v>
      </c>
      <c r="N80" s="19" t="str">
        <f t="shared" si="7"/>
        <v>PASS</v>
      </c>
    </row>
    <row r="81" ht="14.25" customHeight="1" spans="4:14">
      <c r="D81" s="19">
        <v>67</v>
      </c>
      <c r="E81" s="22" t="s">
        <v>418</v>
      </c>
      <c r="F81" s="19">
        <v>8</v>
      </c>
      <c r="G81" s="19">
        <v>5</v>
      </c>
      <c r="H81" s="19">
        <v>6</v>
      </c>
      <c r="I81" s="19">
        <v>17</v>
      </c>
      <c r="J81" s="19">
        <f t="shared" si="4"/>
        <v>23</v>
      </c>
      <c r="K81" s="19">
        <v>9</v>
      </c>
      <c r="L81" s="19">
        <f t="shared" si="5"/>
        <v>45</v>
      </c>
      <c r="M81" s="19">
        <f t="shared" si="6"/>
        <v>1</v>
      </c>
      <c r="N81" s="19" t="str">
        <f t="shared" si="7"/>
        <v>PASS</v>
      </c>
    </row>
    <row r="82" ht="14.25" customHeight="1" spans="4:14">
      <c r="D82" s="19">
        <v>68</v>
      </c>
      <c r="E82" s="22" t="s">
        <v>422</v>
      </c>
      <c r="F82" s="19">
        <v>5</v>
      </c>
      <c r="G82" s="19">
        <v>9</v>
      </c>
      <c r="H82" s="19">
        <v>3</v>
      </c>
      <c r="I82" s="19">
        <v>15</v>
      </c>
      <c r="J82" s="19">
        <f t="shared" si="4"/>
        <v>18</v>
      </c>
      <c r="K82" s="19">
        <v>19</v>
      </c>
      <c r="L82" s="19">
        <f t="shared" si="5"/>
        <v>51</v>
      </c>
      <c r="M82" s="19">
        <f t="shared" si="6"/>
        <v>2</v>
      </c>
      <c r="N82" s="19" t="str">
        <f t="shared" si="7"/>
        <v>PASS</v>
      </c>
    </row>
    <row r="83" ht="14.25" customHeight="1" spans="4:14">
      <c r="D83" s="19">
        <v>69</v>
      </c>
      <c r="E83" s="22" t="s">
        <v>427</v>
      </c>
      <c r="F83" s="19">
        <v>10</v>
      </c>
      <c r="G83" s="19">
        <v>13</v>
      </c>
      <c r="H83" s="19">
        <v>5</v>
      </c>
      <c r="I83" s="19">
        <v>0</v>
      </c>
      <c r="J83" s="19">
        <f t="shared" si="4"/>
        <v>5</v>
      </c>
      <c r="K83" s="19">
        <v>11</v>
      </c>
      <c r="L83" s="19">
        <f t="shared" si="5"/>
        <v>39</v>
      </c>
      <c r="M83" s="19">
        <f t="shared" si="6"/>
        <v>1</v>
      </c>
      <c r="N83" s="19" t="str">
        <f t="shared" si="7"/>
        <v>PASS</v>
      </c>
    </row>
    <row r="84" ht="14.25" customHeight="1" spans="4:14">
      <c r="D84" s="19">
        <v>70</v>
      </c>
      <c r="E84" s="22" t="s">
        <v>432</v>
      </c>
      <c r="F84" s="19">
        <v>3</v>
      </c>
      <c r="G84" s="19">
        <v>20</v>
      </c>
      <c r="H84" s="19">
        <v>4</v>
      </c>
      <c r="I84" s="19">
        <v>18</v>
      </c>
      <c r="J84" s="19">
        <f t="shared" si="4"/>
        <v>22</v>
      </c>
      <c r="K84" s="19">
        <v>25</v>
      </c>
      <c r="L84" s="19">
        <f t="shared" si="5"/>
        <v>70</v>
      </c>
      <c r="M84" s="19">
        <f t="shared" si="6"/>
        <v>2</v>
      </c>
      <c r="N84" s="19" t="str">
        <f t="shared" si="7"/>
        <v>PASS</v>
      </c>
    </row>
    <row r="85" ht="14.25" customHeight="1" spans="4:14">
      <c r="D85" s="19">
        <v>71</v>
      </c>
      <c r="E85" s="22" t="s">
        <v>437</v>
      </c>
      <c r="F85" s="19">
        <v>20</v>
      </c>
      <c r="G85" s="19">
        <v>11</v>
      </c>
      <c r="H85" s="19">
        <v>4</v>
      </c>
      <c r="I85" s="19">
        <v>10</v>
      </c>
      <c r="J85" s="19">
        <f t="shared" si="4"/>
        <v>14</v>
      </c>
      <c r="K85" s="19">
        <v>7</v>
      </c>
      <c r="L85" s="19">
        <f t="shared" si="5"/>
        <v>52</v>
      </c>
      <c r="M85" s="19">
        <f t="shared" si="6"/>
        <v>2</v>
      </c>
      <c r="N85" s="19" t="str">
        <f t="shared" si="7"/>
        <v>PASS</v>
      </c>
    </row>
    <row r="86" ht="14.25" customHeight="1" spans="4:14">
      <c r="D86" s="19">
        <v>72</v>
      </c>
      <c r="E86" s="22" t="s">
        <v>441</v>
      </c>
      <c r="F86" s="19">
        <v>0</v>
      </c>
      <c r="G86" s="19">
        <v>15</v>
      </c>
      <c r="H86" s="19">
        <v>7</v>
      </c>
      <c r="I86" s="19">
        <v>14</v>
      </c>
      <c r="J86" s="19">
        <f t="shared" si="4"/>
        <v>21</v>
      </c>
      <c r="K86" s="19">
        <v>12</v>
      </c>
      <c r="L86" s="19">
        <f t="shared" si="5"/>
        <v>48</v>
      </c>
      <c r="M86" s="19">
        <f t="shared" si="6"/>
        <v>1</v>
      </c>
      <c r="N86" s="19" t="str">
        <f t="shared" si="7"/>
        <v>PASS</v>
      </c>
    </row>
    <row r="87" ht="14.25" customHeight="1" spans="4:14">
      <c r="D87" s="19">
        <v>73</v>
      </c>
      <c r="E87" s="22" t="s">
        <v>446</v>
      </c>
      <c r="F87" s="19">
        <v>6</v>
      </c>
      <c r="G87" s="19">
        <v>1</v>
      </c>
      <c r="H87" s="19">
        <v>4</v>
      </c>
      <c r="I87" s="19">
        <v>1</v>
      </c>
      <c r="J87" s="19">
        <f t="shared" si="4"/>
        <v>5</v>
      </c>
      <c r="K87" s="19">
        <v>20</v>
      </c>
      <c r="L87" s="19">
        <f t="shared" si="5"/>
        <v>32</v>
      </c>
      <c r="M87" s="19">
        <f t="shared" si="6"/>
        <v>0</v>
      </c>
      <c r="N87" s="19" t="str">
        <f t="shared" si="7"/>
        <v>FAIL</v>
      </c>
    </row>
    <row r="88" ht="14.25" customHeight="1" spans="4:14">
      <c r="D88" s="19">
        <v>74</v>
      </c>
      <c r="E88" s="22" t="s">
        <v>451</v>
      </c>
      <c r="F88" s="19">
        <v>0</v>
      </c>
      <c r="G88" s="19">
        <v>20</v>
      </c>
      <c r="H88" s="19">
        <v>1</v>
      </c>
      <c r="I88" s="19">
        <v>7</v>
      </c>
      <c r="J88" s="19">
        <f t="shared" si="4"/>
        <v>8</v>
      </c>
      <c r="K88" s="19">
        <v>10</v>
      </c>
      <c r="L88" s="19">
        <f t="shared" si="5"/>
        <v>38</v>
      </c>
      <c r="M88" s="19">
        <f t="shared" si="6"/>
        <v>1</v>
      </c>
      <c r="N88" s="19" t="str">
        <f t="shared" si="7"/>
        <v>PASS</v>
      </c>
    </row>
    <row r="89" ht="14.25" customHeight="1" spans="4:14">
      <c r="D89" s="19">
        <v>75</v>
      </c>
      <c r="E89" s="22" t="s">
        <v>456</v>
      </c>
      <c r="F89" s="19">
        <v>12</v>
      </c>
      <c r="G89" s="19">
        <v>10</v>
      </c>
      <c r="H89" s="19">
        <v>1</v>
      </c>
      <c r="I89" s="19">
        <v>18</v>
      </c>
      <c r="J89" s="19">
        <f t="shared" si="4"/>
        <v>19</v>
      </c>
      <c r="K89" s="19">
        <v>11</v>
      </c>
      <c r="L89" s="19">
        <f t="shared" si="5"/>
        <v>52</v>
      </c>
      <c r="M89" s="19">
        <f t="shared" si="6"/>
        <v>2</v>
      </c>
      <c r="N89" s="19" t="str">
        <f t="shared" si="7"/>
        <v>PASS</v>
      </c>
    </row>
    <row r="90" ht="14.25" customHeight="1" spans="4:14">
      <c r="D90" s="19">
        <v>76</v>
      </c>
      <c r="E90" s="22" t="s">
        <v>461</v>
      </c>
      <c r="F90" s="19">
        <v>13</v>
      </c>
      <c r="G90" s="19">
        <v>3</v>
      </c>
      <c r="H90" s="19">
        <v>8</v>
      </c>
      <c r="I90" s="19">
        <v>17</v>
      </c>
      <c r="J90" s="19">
        <f t="shared" si="4"/>
        <v>25</v>
      </c>
      <c r="K90" s="19">
        <v>14</v>
      </c>
      <c r="L90" s="19">
        <f t="shared" si="5"/>
        <v>55</v>
      </c>
      <c r="M90" s="19">
        <f t="shared" si="6"/>
        <v>2</v>
      </c>
      <c r="N90" s="19" t="str">
        <f t="shared" si="7"/>
        <v>PASS</v>
      </c>
    </row>
    <row r="91" ht="14.25" customHeight="1" spans="4:14">
      <c r="D91" s="19">
        <v>77</v>
      </c>
      <c r="E91" s="22" t="s">
        <v>466</v>
      </c>
      <c r="F91" s="19">
        <v>2</v>
      </c>
      <c r="G91" s="19">
        <v>15</v>
      </c>
      <c r="H91" s="19">
        <v>0</v>
      </c>
      <c r="I91" s="19">
        <v>11</v>
      </c>
      <c r="J91" s="19">
        <f t="shared" si="4"/>
        <v>11</v>
      </c>
      <c r="K91" s="19">
        <v>4</v>
      </c>
      <c r="L91" s="19">
        <f t="shared" si="5"/>
        <v>32</v>
      </c>
      <c r="M91" s="19">
        <f t="shared" si="6"/>
        <v>0</v>
      </c>
      <c r="N91" s="19" t="str">
        <f t="shared" si="7"/>
        <v>FAIL</v>
      </c>
    </row>
    <row r="92" ht="14.25" customHeight="1" spans="4:14">
      <c r="D92" s="19">
        <v>78</v>
      </c>
      <c r="E92" s="22" t="s">
        <v>470</v>
      </c>
      <c r="F92" s="19">
        <v>12</v>
      </c>
      <c r="G92" s="19">
        <v>8</v>
      </c>
      <c r="H92" s="19">
        <v>0</v>
      </c>
      <c r="I92" s="19">
        <v>14</v>
      </c>
      <c r="J92" s="19">
        <f t="shared" si="4"/>
        <v>14</v>
      </c>
      <c r="K92" s="19">
        <v>1</v>
      </c>
      <c r="L92" s="19">
        <f t="shared" si="5"/>
        <v>35</v>
      </c>
      <c r="M92" s="19">
        <f t="shared" si="6"/>
        <v>0</v>
      </c>
      <c r="N92" s="19" t="str">
        <f t="shared" si="7"/>
        <v>PASS</v>
      </c>
    </row>
    <row r="93" ht="14.25" customHeight="1" spans="4:14">
      <c r="D93" s="19">
        <v>79</v>
      </c>
      <c r="E93" s="22" t="s">
        <v>475</v>
      </c>
      <c r="F93" s="19">
        <v>17</v>
      </c>
      <c r="G93" s="19">
        <v>8</v>
      </c>
      <c r="H93" s="19">
        <v>10</v>
      </c>
      <c r="I93" s="19">
        <v>17</v>
      </c>
      <c r="J93" s="19">
        <f t="shared" si="4"/>
        <v>27</v>
      </c>
      <c r="K93" s="19">
        <v>21</v>
      </c>
      <c r="L93" s="19">
        <f t="shared" si="5"/>
        <v>73</v>
      </c>
      <c r="M93" s="19">
        <f t="shared" si="6"/>
        <v>2</v>
      </c>
      <c r="N93" s="19" t="str">
        <f t="shared" si="7"/>
        <v>PASS</v>
      </c>
    </row>
    <row r="94" ht="14.25" customHeight="1" spans="4:14">
      <c r="D94" s="19">
        <v>80</v>
      </c>
      <c r="E94" s="22" t="s">
        <v>480</v>
      </c>
      <c r="F94" s="19">
        <v>18</v>
      </c>
      <c r="G94" s="19">
        <v>14</v>
      </c>
      <c r="H94" s="19">
        <v>9</v>
      </c>
      <c r="I94" s="19">
        <v>8</v>
      </c>
      <c r="J94" s="19">
        <f t="shared" si="4"/>
        <v>17</v>
      </c>
      <c r="K94" s="19">
        <v>29</v>
      </c>
      <c r="L94" s="19">
        <f t="shared" si="5"/>
        <v>78</v>
      </c>
      <c r="M94" s="19">
        <f t="shared" si="6"/>
        <v>3</v>
      </c>
      <c r="N94" s="19" t="str">
        <f t="shared" si="7"/>
        <v>PASS</v>
      </c>
    </row>
    <row r="95" ht="14.25" customHeight="1" spans="4:14">
      <c r="D95" s="19">
        <v>81</v>
      </c>
      <c r="E95" s="22" t="s">
        <v>485</v>
      </c>
      <c r="F95" s="19">
        <v>12</v>
      </c>
      <c r="G95" s="19">
        <v>1</v>
      </c>
      <c r="H95" s="19">
        <v>10</v>
      </c>
      <c r="I95" s="19">
        <v>14</v>
      </c>
      <c r="J95" s="19">
        <f t="shared" si="4"/>
        <v>24</v>
      </c>
      <c r="K95" s="19">
        <v>10</v>
      </c>
      <c r="L95" s="19">
        <f t="shared" si="5"/>
        <v>47</v>
      </c>
      <c r="M95" s="19">
        <f t="shared" si="6"/>
        <v>1</v>
      </c>
      <c r="N95" s="19" t="str">
        <f t="shared" si="7"/>
        <v>PASS</v>
      </c>
    </row>
    <row r="96" ht="14.25" customHeight="1" spans="4:14">
      <c r="D96" s="19">
        <v>82</v>
      </c>
      <c r="E96" s="22" t="s">
        <v>490</v>
      </c>
      <c r="F96" s="19">
        <v>9</v>
      </c>
      <c r="G96" s="19">
        <v>10</v>
      </c>
      <c r="H96" s="19">
        <v>0</v>
      </c>
      <c r="I96" s="19">
        <v>19</v>
      </c>
      <c r="J96" s="19">
        <f t="shared" si="4"/>
        <v>19</v>
      </c>
      <c r="K96" s="19">
        <v>1</v>
      </c>
      <c r="L96" s="19">
        <f t="shared" si="5"/>
        <v>39</v>
      </c>
      <c r="M96" s="19">
        <f t="shared" si="6"/>
        <v>1</v>
      </c>
      <c r="N96" s="19" t="str">
        <f t="shared" si="7"/>
        <v>PASS</v>
      </c>
    </row>
    <row r="97" ht="14.25" customHeight="1" spans="4:14">
      <c r="D97" s="19">
        <v>83</v>
      </c>
      <c r="E97" s="22" t="s">
        <v>495</v>
      </c>
      <c r="F97" s="19">
        <v>7</v>
      </c>
      <c r="G97" s="19">
        <v>18</v>
      </c>
      <c r="H97" s="19">
        <v>1</v>
      </c>
      <c r="I97" s="19">
        <v>16</v>
      </c>
      <c r="J97" s="19">
        <f t="shared" si="4"/>
        <v>17</v>
      </c>
      <c r="K97" s="19">
        <v>28</v>
      </c>
      <c r="L97" s="19">
        <f t="shared" si="5"/>
        <v>70</v>
      </c>
      <c r="M97" s="19">
        <f t="shared" si="6"/>
        <v>2</v>
      </c>
      <c r="N97" s="19" t="str">
        <f t="shared" si="7"/>
        <v>PASS</v>
      </c>
    </row>
    <row r="98" ht="14.25" customHeight="1" spans="4:14">
      <c r="D98" s="19">
        <v>84</v>
      </c>
      <c r="E98" s="22" t="s">
        <v>500</v>
      </c>
      <c r="F98" s="19">
        <v>5</v>
      </c>
      <c r="G98" s="19">
        <v>6</v>
      </c>
      <c r="H98" s="19">
        <v>6</v>
      </c>
      <c r="I98" s="19">
        <v>16</v>
      </c>
      <c r="J98" s="19">
        <f t="shared" si="4"/>
        <v>22</v>
      </c>
      <c r="K98" s="19">
        <v>30</v>
      </c>
      <c r="L98" s="19">
        <f t="shared" si="5"/>
        <v>63</v>
      </c>
      <c r="M98" s="19">
        <f t="shared" si="6"/>
        <v>2</v>
      </c>
      <c r="N98" s="19" t="str">
        <f t="shared" si="7"/>
        <v>PASS</v>
      </c>
    </row>
    <row r="99" ht="14.25" customHeight="1" spans="4:14">
      <c r="D99" s="19">
        <v>85</v>
      </c>
      <c r="E99" s="22" t="s">
        <v>505</v>
      </c>
      <c r="F99" s="19">
        <v>1</v>
      </c>
      <c r="G99" s="19">
        <v>7</v>
      </c>
      <c r="H99" s="19">
        <v>5</v>
      </c>
      <c r="I99" s="19">
        <v>15</v>
      </c>
      <c r="J99" s="19">
        <f t="shared" ref="J99:J114" si="8">I99+H99</f>
        <v>20</v>
      </c>
      <c r="K99" s="19">
        <v>22</v>
      </c>
      <c r="L99" s="19">
        <f t="shared" si="5"/>
        <v>50</v>
      </c>
      <c r="M99" s="19">
        <f t="shared" si="6"/>
        <v>1</v>
      </c>
      <c r="N99" s="19" t="str">
        <f t="shared" si="7"/>
        <v>PASS</v>
      </c>
    </row>
    <row r="100" ht="14.25" customHeight="1" spans="4:14">
      <c r="D100" s="19">
        <v>86</v>
      </c>
      <c r="E100" s="22" t="s">
        <v>510</v>
      </c>
      <c r="F100" s="19">
        <v>20</v>
      </c>
      <c r="G100" s="19">
        <v>0</v>
      </c>
      <c r="H100" s="19">
        <v>2</v>
      </c>
      <c r="I100" s="19">
        <v>9</v>
      </c>
      <c r="J100" s="19">
        <f t="shared" si="8"/>
        <v>11</v>
      </c>
      <c r="K100" s="19">
        <v>12</v>
      </c>
      <c r="L100" s="19">
        <f t="shared" si="5"/>
        <v>43</v>
      </c>
      <c r="M100" s="19">
        <f t="shared" si="6"/>
        <v>1</v>
      </c>
      <c r="N100" s="19" t="str">
        <f t="shared" si="7"/>
        <v>PASS</v>
      </c>
    </row>
    <row r="101" ht="14.25" customHeight="1" spans="4:14">
      <c r="D101" s="19">
        <v>87</v>
      </c>
      <c r="E101" s="22" t="s">
        <v>515</v>
      </c>
      <c r="F101" s="19">
        <v>16</v>
      </c>
      <c r="G101" s="19">
        <v>20</v>
      </c>
      <c r="H101" s="19">
        <v>10</v>
      </c>
      <c r="I101" s="19">
        <v>20</v>
      </c>
      <c r="J101" s="19">
        <f t="shared" si="8"/>
        <v>30</v>
      </c>
      <c r="K101" s="19">
        <v>29</v>
      </c>
      <c r="L101" s="19">
        <f t="shared" si="5"/>
        <v>95</v>
      </c>
      <c r="M101" s="19">
        <f t="shared" si="6"/>
        <v>3</v>
      </c>
      <c r="N101" s="19" t="str">
        <f t="shared" si="7"/>
        <v>PASS</v>
      </c>
    </row>
    <row r="102" ht="14.25" customHeight="1" spans="4:14">
      <c r="D102" s="19">
        <v>88</v>
      </c>
      <c r="E102" s="22" t="s">
        <v>520</v>
      </c>
      <c r="F102" s="19">
        <v>16</v>
      </c>
      <c r="G102" s="19">
        <v>14</v>
      </c>
      <c r="H102" s="19">
        <v>9</v>
      </c>
      <c r="I102" s="19">
        <v>14</v>
      </c>
      <c r="J102" s="19">
        <f t="shared" si="8"/>
        <v>23</v>
      </c>
      <c r="K102" s="19">
        <v>25</v>
      </c>
      <c r="L102" s="19">
        <f t="shared" si="5"/>
        <v>78</v>
      </c>
      <c r="M102" s="19">
        <f t="shared" si="6"/>
        <v>3</v>
      </c>
      <c r="N102" s="19" t="str">
        <f t="shared" si="7"/>
        <v>PASS</v>
      </c>
    </row>
    <row r="103" ht="14.25" customHeight="1" spans="4:14">
      <c r="D103" s="19">
        <v>89</v>
      </c>
      <c r="E103" s="22" t="s">
        <v>525</v>
      </c>
      <c r="F103" s="19">
        <v>4</v>
      </c>
      <c r="G103" s="19">
        <v>16</v>
      </c>
      <c r="H103" s="19">
        <v>9</v>
      </c>
      <c r="I103" s="19">
        <v>12</v>
      </c>
      <c r="J103" s="19">
        <f t="shared" si="8"/>
        <v>21</v>
      </c>
      <c r="K103" s="19">
        <v>18</v>
      </c>
      <c r="L103" s="19">
        <f t="shared" si="5"/>
        <v>59</v>
      </c>
      <c r="M103" s="19">
        <f t="shared" si="6"/>
        <v>2</v>
      </c>
      <c r="N103" s="19" t="str">
        <f t="shared" si="7"/>
        <v>PASS</v>
      </c>
    </row>
    <row r="104" ht="14.25" customHeight="1" spans="4:14">
      <c r="D104" s="19">
        <v>90</v>
      </c>
      <c r="E104" s="22" t="s">
        <v>530</v>
      </c>
      <c r="F104" s="19">
        <v>17</v>
      </c>
      <c r="G104" s="19">
        <v>6</v>
      </c>
      <c r="H104" s="19">
        <v>10</v>
      </c>
      <c r="I104" s="19">
        <v>10</v>
      </c>
      <c r="J104" s="19">
        <f t="shared" si="8"/>
        <v>20</v>
      </c>
      <c r="K104" s="19">
        <v>9</v>
      </c>
      <c r="L104" s="19">
        <f t="shared" si="5"/>
        <v>52</v>
      </c>
      <c r="M104" s="19">
        <f t="shared" si="6"/>
        <v>2</v>
      </c>
      <c r="N104" s="19" t="str">
        <f t="shared" si="7"/>
        <v>PASS</v>
      </c>
    </row>
    <row r="105" ht="14.25" customHeight="1" spans="4:14">
      <c r="D105" s="19">
        <v>91</v>
      </c>
      <c r="E105" s="22" t="s">
        <v>535</v>
      </c>
      <c r="F105" s="19">
        <v>6</v>
      </c>
      <c r="G105" s="19">
        <v>9</v>
      </c>
      <c r="H105" s="19">
        <v>3</v>
      </c>
      <c r="I105" s="19">
        <v>0</v>
      </c>
      <c r="J105" s="19">
        <f t="shared" si="8"/>
        <v>3</v>
      </c>
      <c r="K105" s="19">
        <v>30</v>
      </c>
      <c r="L105" s="19">
        <f t="shared" si="5"/>
        <v>48</v>
      </c>
      <c r="M105" s="19">
        <f t="shared" si="6"/>
        <v>1</v>
      </c>
      <c r="N105" s="19" t="str">
        <f t="shared" si="7"/>
        <v>PASS</v>
      </c>
    </row>
    <row r="106" ht="14.25" customHeight="1" spans="4:14">
      <c r="D106" s="19">
        <v>92</v>
      </c>
      <c r="E106" s="22" t="s">
        <v>540</v>
      </c>
      <c r="F106" s="19">
        <v>17</v>
      </c>
      <c r="G106" s="19">
        <v>7</v>
      </c>
      <c r="H106" s="19">
        <v>3</v>
      </c>
      <c r="I106" s="19">
        <v>0</v>
      </c>
      <c r="J106" s="19">
        <f t="shared" si="8"/>
        <v>3</v>
      </c>
      <c r="K106" s="19">
        <v>29</v>
      </c>
      <c r="L106" s="19">
        <f t="shared" si="5"/>
        <v>56</v>
      </c>
      <c r="M106" s="19">
        <f t="shared" si="6"/>
        <v>2</v>
      </c>
      <c r="N106" s="19" t="str">
        <f t="shared" si="7"/>
        <v>PASS</v>
      </c>
    </row>
    <row r="107" ht="14.25" customHeight="1" spans="4:14">
      <c r="D107" s="19">
        <v>93</v>
      </c>
      <c r="E107" s="22" t="s">
        <v>545</v>
      </c>
      <c r="F107" s="19">
        <v>11</v>
      </c>
      <c r="G107" s="19">
        <v>7</v>
      </c>
      <c r="H107" s="19">
        <v>2</v>
      </c>
      <c r="I107" s="19">
        <v>3</v>
      </c>
      <c r="J107" s="19">
        <f t="shared" si="8"/>
        <v>5</v>
      </c>
      <c r="K107" s="19">
        <v>3</v>
      </c>
      <c r="L107" s="19">
        <f t="shared" si="5"/>
        <v>26</v>
      </c>
      <c r="M107" s="19">
        <f t="shared" si="6"/>
        <v>0</v>
      </c>
      <c r="N107" s="19" t="str">
        <f t="shared" si="7"/>
        <v>FAIL</v>
      </c>
    </row>
    <row r="108" ht="14.25" customHeight="1" spans="4:14">
      <c r="D108" s="19">
        <v>94</v>
      </c>
      <c r="E108" s="22" t="s">
        <v>549</v>
      </c>
      <c r="F108" s="19">
        <v>11</v>
      </c>
      <c r="G108" s="19">
        <v>17</v>
      </c>
      <c r="H108" s="19">
        <v>4</v>
      </c>
      <c r="I108" s="19">
        <v>1</v>
      </c>
      <c r="J108" s="19">
        <f t="shared" si="8"/>
        <v>5</v>
      </c>
      <c r="K108" s="19">
        <v>17</v>
      </c>
      <c r="L108" s="19">
        <f t="shared" si="5"/>
        <v>50</v>
      </c>
      <c r="M108" s="19">
        <f t="shared" si="6"/>
        <v>1</v>
      </c>
      <c r="N108" s="19" t="str">
        <f t="shared" si="7"/>
        <v>PASS</v>
      </c>
    </row>
    <row r="109" ht="14.25" customHeight="1" spans="4:14">
      <c r="D109" s="19">
        <v>95</v>
      </c>
      <c r="E109" s="22" t="s">
        <v>554</v>
      </c>
      <c r="F109" s="19">
        <v>3</v>
      </c>
      <c r="G109" s="19">
        <v>19</v>
      </c>
      <c r="H109" s="19">
        <v>5</v>
      </c>
      <c r="I109" s="19">
        <v>3</v>
      </c>
      <c r="J109" s="19">
        <f t="shared" si="8"/>
        <v>8</v>
      </c>
      <c r="K109" s="19">
        <v>30</v>
      </c>
      <c r="L109" s="19">
        <f t="shared" si="5"/>
        <v>60</v>
      </c>
      <c r="M109" s="19">
        <f t="shared" si="6"/>
        <v>2</v>
      </c>
      <c r="N109" s="19" t="str">
        <f t="shared" si="7"/>
        <v>PASS</v>
      </c>
    </row>
    <row r="110" ht="14.25" customHeight="1" spans="4:14">
      <c r="D110" s="19">
        <v>96</v>
      </c>
      <c r="E110" s="22" t="s">
        <v>559</v>
      </c>
      <c r="F110" s="19">
        <v>13</v>
      </c>
      <c r="G110" s="19">
        <v>15</v>
      </c>
      <c r="H110" s="19">
        <v>6</v>
      </c>
      <c r="I110" s="19">
        <v>1</v>
      </c>
      <c r="J110" s="19">
        <f t="shared" si="8"/>
        <v>7</v>
      </c>
      <c r="K110" s="19">
        <v>30</v>
      </c>
      <c r="L110" s="19">
        <f t="shared" si="5"/>
        <v>65</v>
      </c>
      <c r="M110" s="19">
        <f t="shared" si="6"/>
        <v>2</v>
      </c>
      <c r="N110" s="19" t="str">
        <f t="shared" si="7"/>
        <v>PASS</v>
      </c>
    </row>
    <row r="111" ht="14.25" customHeight="1" spans="4:14">
      <c r="D111" s="19">
        <v>97</v>
      </c>
      <c r="E111" s="22" t="s">
        <v>564</v>
      </c>
      <c r="F111" s="19">
        <v>8</v>
      </c>
      <c r="G111" s="19">
        <v>10</v>
      </c>
      <c r="H111" s="19">
        <v>6</v>
      </c>
      <c r="I111" s="19">
        <v>9</v>
      </c>
      <c r="J111" s="19">
        <f t="shared" si="8"/>
        <v>15</v>
      </c>
      <c r="K111" s="19">
        <v>25</v>
      </c>
      <c r="L111" s="19">
        <f t="shared" si="5"/>
        <v>58</v>
      </c>
      <c r="M111" s="19">
        <f t="shared" si="6"/>
        <v>2</v>
      </c>
      <c r="N111" s="19" t="str">
        <f t="shared" si="7"/>
        <v>PASS</v>
      </c>
    </row>
    <row r="112" ht="14.25" customHeight="1" spans="4:14">
      <c r="D112" s="19">
        <v>98</v>
      </c>
      <c r="E112" s="22" t="s">
        <v>569</v>
      </c>
      <c r="F112" s="19">
        <v>8</v>
      </c>
      <c r="G112" s="19">
        <v>6</v>
      </c>
      <c r="H112" s="19">
        <v>0</v>
      </c>
      <c r="I112" s="19">
        <v>18</v>
      </c>
      <c r="J112" s="19">
        <f t="shared" si="8"/>
        <v>18</v>
      </c>
      <c r="K112" s="19">
        <v>10</v>
      </c>
      <c r="L112" s="19">
        <f t="shared" si="5"/>
        <v>42</v>
      </c>
      <c r="M112" s="19">
        <f t="shared" si="6"/>
        <v>1</v>
      </c>
      <c r="N112" s="19" t="str">
        <f t="shared" si="7"/>
        <v>PASS</v>
      </c>
    </row>
    <row r="113" ht="14.25" customHeight="1" spans="4:14">
      <c r="D113" s="19">
        <v>99</v>
      </c>
      <c r="E113" s="22" t="s">
        <v>574</v>
      </c>
      <c r="F113" s="19">
        <v>12</v>
      </c>
      <c r="G113" s="19">
        <v>6</v>
      </c>
      <c r="H113" s="19">
        <v>4</v>
      </c>
      <c r="I113" s="19">
        <v>17</v>
      </c>
      <c r="J113" s="19">
        <f t="shared" si="8"/>
        <v>21</v>
      </c>
      <c r="K113" s="19">
        <v>4</v>
      </c>
      <c r="L113" s="19">
        <f t="shared" si="5"/>
        <v>43</v>
      </c>
      <c r="M113" s="19">
        <f t="shared" si="6"/>
        <v>1</v>
      </c>
      <c r="N113" s="19" t="str">
        <f t="shared" si="7"/>
        <v>PASS</v>
      </c>
    </row>
    <row r="114" ht="14.25" customHeight="1" spans="4:14">
      <c r="D114" s="19">
        <v>100</v>
      </c>
      <c r="E114" s="22" t="s">
        <v>579</v>
      </c>
      <c r="F114" s="19">
        <v>3</v>
      </c>
      <c r="G114" s="19">
        <v>13</v>
      </c>
      <c r="H114" s="19">
        <v>7</v>
      </c>
      <c r="I114" s="19">
        <v>14</v>
      </c>
      <c r="J114" s="19">
        <f t="shared" si="8"/>
        <v>21</v>
      </c>
      <c r="K114" s="19">
        <v>29</v>
      </c>
      <c r="L114" s="19">
        <f t="shared" si="5"/>
        <v>66</v>
      </c>
      <c r="M114" s="19">
        <f t="shared" si="6"/>
        <v>2</v>
      </c>
      <c r="N114" s="19" t="str">
        <f t="shared" si="7"/>
        <v>PASS</v>
      </c>
    </row>
  </sheetData>
  <mergeCells count="8">
    <mergeCell ref="D4:Q4"/>
    <mergeCell ref="D5:Q5"/>
    <mergeCell ref="D6:Q6"/>
    <mergeCell ref="G7:L7"/>
    <mergeCell ref="D8:Q8"/>
    <mergeCell ref="D9:Q9"/>
    <mergeCell ref="P16:Q16"/>
    <mergeCell ref="D2:Q3"/>
  </mergeCells>
  <conditionalFormatting sqref="E15:E114">
    <cfRule type="expression" dxfId="2" priority="8">
      <formula>COUNTIF($E$15:$E$114,E15)&gt;1</formula>
    </cfRule>
  </conditionalFormatting>
  <conditionalFormatting sqref="F15:F114">
    <cfRule type="expression" dxfId="2" priority="3">
      <formula>OR(F15&lt;0,F15&gt;20,NOT(ISNUMBER(F15)))</formula>
    </cfRule>
  </conditionalFormatting>
  <conditionalFormatting sqref="G15:G114">
    <cfRule type="expression" dxfId="2" priority="4">
      <formula>OR(G15&lt;0,G15&gt;20,NOT(ISNUMBER(G15)))</formula>
    </cfRule>
  </conditionalFormatting>
  <conditionalFormatting sqref="H15:H114">
    <cfRule type="expression" dxfId="2" priority="5">
      <formula>OR(H15&lt;0,H15&gt;10,NOT(ISNUMBER(H15)))</formula>
    </cfRule>
  </conditionalFormatting>
  <conditionalFormatting sqref="I15:I114">
    <cfRule type="expression" dxfId="2" priority="6">
      <formula>OR(I15&lt;0,I15&gt;20,NOT(ISNUMBER(I15)))</formula>
    </cfRule>
  </conditionalFormatting>
  <conditionalFormatting sqref="K15:K114">
    <cfRule type="expression" dxfId="2" priority="7">
      <formula>OR(K15&lt;0,K15&gt;30,NOT(ISNUMBER(K15)))</formula>
    </cfRule>
  </conditionalFormatting>
  <conditionalFormatting sqref="N15:N114">
    <cfRule type="containsText" dxfId="0" priority="2" operator="between" text="FAIL">
      <formula>NOT(ISERROR(SEARCH("FAIL",N15)))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E15:E114">
      <formula1>11</formula1>
    </dataValidation>
    <dataValidation type="decimal" operator="between" allowBlank="1" showErrorMessage="1" errorTitle="Invalid mark" error="Enter a number between 0 and 10" sqref="H15:H114">
      <formula1>0</formula1>
      <formula2>10</formula2>
    </dataValidation>
    <dataValidation type="decimal" operator="between" allowBlank="1" showErrorMessage="1" errorTitle="Invalid mark" error="Enter a number between 0 and 20" sqref="I15:I114 F15:G114">
      <formula1>0</formula1>
      <formula2>20</formula2>
    </dataValidation>
    <dataValidation type="decimal" operator="between" allowBlank="1" showErrorMessage="1" errorTitle="Invalid mark" error="Enter a number between 0 and 30" sqref="K15:K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C1:Q114"/>
  <sheetViews>
    <sheetView zoomScale="80" zoomScaleNormal="80" topLeftCell="F6" workbookViewId="0">
      <selection activeCell="O32" sqref="O32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6.8055555555556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651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27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615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17.25" customHeight="1" spans="3:17">
      <c r="C6" s="9"/>
      <c r="D6" s="31" t="s">
        <v>29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ht="21" customHeight="1" spans="3:17">
      <c r="C7" s="9"/>
      <c r="D7" s="9"/>
      <c r="E7" s="9"/>
      <c r="F7" s="9"/>
      <c r="G7" s="13" t="s">
        <v>617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652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653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25241104</v>
      </c>
      <c r="F11" s="17" t="s">
        <v>620</v>
      </c>
      <c r="G11" s="17"/>
      <c r="H11" s="17" t="s">
        <v>654</v>
      </c>
      <c r="I11" s="17"/>
    </row>
    <row r="12" ht="14.25" customHeight="1" spans="3:17">
      <c r="D12" s="18" t="s">
        <v>62</v>
      </c>
      <c r="E12" s="18" t="s">
        <v>63</v>
      </c>
      <c r="F12" s="18" t="s">
        <v>622</v>
      </c>
      <c r="G12" s="18" t="s">
        <v>623</v>
      </c>
      <c r="H12" s="18" t="s">
        <v>624</v>
      </c>
      <c r="I12" s="18" t="s">
        <v>625</v>
      </c>
      <c r="J12" s="18" t="s">
        <v>626</v>
      </c>
      <c r="K12" s="18" t="s">
        <v>627</v>
      </c>
      <c r="L12" s="18" t="s">
        <v>75</v>
      </c>
      <c r="M12" s="18" t="s">
        <v>47</v>
      </c>
      <c r="N12" s="18" t="s">
        <v>77</v>
      </c>
    </row>
    <row r="13" ht="14.25" customHeight="1" spans="3:17">
      <c r="D13" s="19"/>
      <c r="E13" s="19"/>
      <c r="F13" s="20">
        <v>20</v>
      </c>
      <c r="G13" s="20">
        <v>20</v>
      </c>
      <c r="H13" s="20">
        <v>10</v>
      </c>
      <c r="I13" s="20">
        <v>20</v>
      </c>
      <c r="J13" s="20">
        <v>30</v>
      </c>
      <c r="K13" s="20">
        <v>30</v>
      </c>
      <c r="L13" s="20">
        <v>100</v>
      </c>
      <c r="M13" s="20">
        <v>3</v>
      </c>
      <c r="N13" s="20" t="s">
        <v>79</v>
      </c>
    </row>
    <row r="14" ht="14.25" customHeight="1" spans="3:17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4.25" customHeight="1" spans="3:17">
      <c r="D15" s="19">
        <v>1</v>
      </c>
      <c r="E15" s="22" t="s">
        <v>90</v>
      </c>
      <c r="F15" s="19">
        <v>7</v>
      </c>
      <c r="G15" s="19">
        <v>13</v>
      </c>
      <c r="H15" s="19">
        <v>6</v>
      </c>
      <c r="I15" s="19">
        <v>13</v>
      </c>
      <c r="J15" s="19">
        <f t="shared" ref="J15:J78" si="0">H15+I15</f>
        <v>19</v>
      </c>
      <c r="K15" s="19">
        <v>8</v>
      </c>
      <c r="L15" s="19">
        <f t="shared" ref="L15:L78" si="1">K15+J15+G15+F15</f>
        <v>47</v>
      </c>
      <c r="M15" s="19">
        <f t="shared" ref="M15:M78" si="2">IF(L15&gt;75,3,IF(L15&gt;50,2,IF(L15&gt;35,1,0)))</f>
        <v>1</v>
      </c>
      <c r="N15" s="19" t="str">
        <f t="shared" ref="N15:N78" si="3">IF(L15&lt;35,"FAIL","PASS")</f>
        <v>PASS</v>
      </c>
      <c r="P15" s="25" t="s">
        <v>628</v>
      </c>
      <c r="Q15" s="25"/>
    </row>
    <row r="16" ht="14.25" customHeight="1" spans="3:17">
      <c r="D16" s="19">
        <v>2</v>
      </c>
      <c r="E16" s="22" t="s">
        <v>97</v>
      </c>
      <c r="F16" s="19">
        <v>7</v>
      </c>
      <c r="G16" s="19">
        <v>2</v>
      </c>
      <c r="H16" s="19">
        <v>1</v>
      </c>
      <c r="I16" s="19">
        <v>0</v>
      </c>
      <c r="J16" s="19">
        <f t="shared" si="0"/>
        <v>1</v>
      </c>
      <c r="K16" s="19">
        <v>4</v>
      </c>
      <c r="L16" s="19">
        <f t="shared" si="1"/>
        <v>14</v>
      </c>
      <c r="M16" s="19">
        <f t="shared" si="2"/>
        <v>0</v>
      </c>
      <c r="N16" s="19" t="str">
        <f t="shared" si="3"/>
        <v>FAIL</v>
      </c>
      <c r="P16" s="1" t="s">
        <v>649</v>
      </c>
      <c r="Q16" s="1">
        <f>COUNTIF(N15:N114,"PASS")</f>
        <v>87</v>
      </c>
    </row>
    <row r="17" ht="14.25" customHeight="1" spans="4:17">
      <c r="D17" s="19">
        <v>3</v>
      </c>
      <c r="E17" s="22" t="s">
        <v>102</v>
      </c>
      <c r="F17" s="19">
        <v>0</v>
      </c>
      <c r="G17" s="19">
        <v>3</v>
      </c>
      <c r="H17" s="19">
        <v>10</v>
      </c>
      <c r="I17" s="19">
        <v>11</v>
      </c>
      <c r="J17" s="19">
        <f t="shared" si="0"/>
        <v>21</v>
      </c>
      <c r="K17" s="19">
        <v>12</v>
      </c>
      <c r="L17" s="19">
        <f t="shared" si="1"/>
        <v>36</v>
      </c>
      <c r="M17" s="19">
        <f t="shared" si="2"/>
        <v>1</v>
      </c>
      <c r="N17" s="19" t="str">
        <f t="shared" si="3"/>
        <v>PASS</v>
      </c>
      <c r="P17" s="1" t="s">
        <v>655</v>
      </c>
      <c r="Q17" s="1">
        <f>COUNTIF(N15:N114,"FAIL")</f>
        <v>13</v>
      </c>
    </row>
    <row r="18" ht="14.25" customHeight="1" spans="4:17">
      <c r="D18" s="19">
        <v>4</v>
      </c>
      <c r="E18" s="22" t="s">
        <v>107</v>
      </c>
      <c r="F18" s="19">
        <v>1</v>
      </c>
      <c r="G18" s="19">
        <v>19</v>
      </c>
      <c r="H18" s="19">
        <v>3</v>
      </c>
      <c r="I18" s="19">
        <v>14</v>
      </c>
      <c r="J18" s="19">
        <f t="shared" si="0"/>
        <v>17</v>
      </c>
      <c r="K18" s="19">
        <v>25</v>
      </c>
      <c r="L18" s="19">
        <f t="shared" si="1"/>
        <v>62</v>
      </c>
      <c r="M18" s="19">
        <f t="shared" si="2"/>
        <v>2</v>
      </c>
      <c r="N18" s="19" t="str">
        <f t="shared" si="3"/>
        <v>PASS</v>
      </c>
    </row>
    <row r="19" ht="14.25" customHeight="1" spans="4:17">
      <c r="D19" s="19">
        <v>5</v>
      </c>
      <c r="E19" s="22" t="s">
        <v>112</v>
      </c>
      <c r="F19" s="19">
        <v>18</v>
      </c>
      <c r="G19" s="19">
        <v>7</v>
      </c>
      <c r="H19" s="19">
        <v>0</v>
      </c>
      <c r="I19" s="19">
        <v>4</v>
      </c>
      <c r="J19" s="19">
        <f t="shared" si="0"/>
        <v>4</v>
      </c>
      <c r="K19" s="19">
        <v>6</v>
      </c>
      <c r="L19" s="19">
        <f t="shared" si="1"/>
        <v>35</v>
      </c>
      <c r="M19" s="19">
        <f t="shared" si="2"/>
        <v>0</v>
      </c>
      <c r="N19" s="19" t="str">
        <f t="shared" si="3"/>
        <v>PASS</v>
      </c>
    </row>
    <row r="20" ht="14.25" customHeight="1" spans="4:17">
      <c r="D20" s="19">
        <v>6</v>
      </c>
      <c r="E20" s="22" t="s">
        <v>117</v>
      </c>
      <c r="F20" s="19">
        <v>0</v>
      </c>
      <c r="G20" s="19">
        <v>13</v>
      </c>
      <c r="H20" s="19">
        <v>5</v>
      </c>
      <c r="I20" s="19">
        <v>20</v>
      </c>
      <c r="J20" s="19">
        <f t="shared" si="0"/>
        <v>25</v>
      </c>
      <c r="K20" s="19">
        <v>19</v>
      </c>
      <c r="L20" s="19">
        <f t="shared" si="1"/>
        <v>57</v>
      </c>
      <c r="M20" s="19">
        <f t="shared" si="2"/>
        <v>2</v>
      </c>
      <c r="N20" s="19" t="str">
        <f t="shared" si="3"/>
        <v>PASS</v>
      </c>
    </row>
    <row r="21" ht="14.25" customHeight="1" spans="4:17">
      <c r="D21" s="19">
        <v>7</v>
      </c>
      <c r="E21" s="22" t="s">
        <v>122</v>
      </c>
      <c r="F21" s="19">
        <v>2</v>
      </c>
      <c r="G21" s="19">
        <v>15</v>
      </c>
      <c r="H21" s="19">
        <v>4</v>
      </c>
      <c r="I21" s="19">
        <v>17</v>
      </c>
      <c r="J21" s="19">
        <f t="shared" si="0"/>
        <v>21</v>
      </c>
      <c r="K21" s="19">
        <v>17</v>
      </c>
      <c r="L21" s="19">
        <f t="shared" si="1"/>
        <v>55</v>
      </c>
      <c r="M21" s="19">
        <f t="shared" si="2"/>
        <v>2</v>
      </c>
      <c r="N21" s="19" t="str">
        <f t="shared" si="3"/>
        <v>PASS</v>
      </c>
    </row>
    <row r="22" ht="14.25" customHeight="1" spans="4:17">
      <c r="D22" s="19">
        <v>8</v>
      </c>
      <c r="E22" s="22" t="s">
        <v>127</v>
      </c>
      <c r="F22" s="19">
        <v>2</v>
      </c>
      <c r="G22" s="19">
        <v>6</v>
      </c>
      <c r="H22" s="19">
        <v>4</v>
      </c>
      <c r="I22" s="19">
        <v>15</v>
      </c>
      <c r="J22" s="19">
        <f t="shared" si="0"/>
        <v>19</v>
      </c>
      <c r="K22" s="19">
        <v>12</v>
      </c>
      <c r="L22" s="19">
        <f t="shared" si="1"/>
        <v>39</v>
      </c>
      <c r="M22" s="19">
        <f t="shared" si="2"/>
        <v>1</v>
      </c>
      <c r="N22" s="19" t="str">
        <f t="shared" si="3"/>
        <v>PASS</v>
      </c>
    </row>
    <row r="23" ht="14.25" customHeight="1" spans="4:17">
      <c r="D23" s="19">
        <v>9</v>
      </c>
      <c r="E23" s="22" t="s">
        <v>132</v>
      </c>
      <c r="F23" s="19">
        <v>16</v>
      </c>
      <c r="G23" s="19">
        <v>19</v>
      </c>
      <c r="H23" s="19">
        <v>4</v>
      </c>
      <c r="I23" s="19">
        <v>15</v>
      </c>
      <c r="J23" s="19">
        <f t="shared" si="0"/>
        <v>19</v>
      </c>
      <c r="K23" s="19">
        <v>9</v>
      </c>
      <c r="L23" s="19">
        <f t="shared" si="1"/>
        <v>63</v>
      </c>
      <c r="M23" s="19">
        <f t="shared" si="2"/>
        <v>2</v>
      </c>
      <c r="N23" s="19" t="str">
        <f t="shared" si="3"/>
        <v>PASS</v>
      </c>
    </row>
    <row r="24" ht="14.25" customHeight="1" spans="4:17">
      <c r="D24" s="19">
        <v>10</v>
      </c>
      <c r="E24" s="22" t="s">
        <v>137</v>
      </c>
      <c r="F24" s="19">
        <v>2</v>
      </c>
      <c r="G24" s="19">
        <v>13</v>
      </c>
      <c r="H24" s="19">
        <v>1</v>
      </c>
      <c r="I24" s="19">
        <v>4</v>
      </c>
      <c r="J24" s="19">
        <f t="shared" si="0"/>
        <v>5</v>
      </c>
      <c r="K24" s="19">
        <v>9</v>
      </c>
      <c r="L24" s="19">
        <f t="shared" si="1"/>
        <v>29</v>
      </c>
      <c r="M24" s="19">
        <f t="shared" si="2"/>
        <v>0</v>
      </c>
      <c r="N24" s="19" t="str">
        <f t="shared" si="3"/>
        <v>FAIL</v>
      </c>
    </row>
    <row r="25" ht="14.25" customHeight="1" spans="4:17">
      <c r="D25" s="19">
        <v>11</v>
      </c>
      <c r="E25" s="22" t="s">
        <v>141</v>
      </c>
      <c r="F25" s="19">
        <v>5</v>
      </c>
      <c r="G25" s="19">
        <v>6</v>
      </c>
      <c r="H25" s="19">
        <v>2</v>
      </c>
      <c r="I25" s="19">
        <v>13</v>
      </c>
      <c r="J25" s="19">
        <f t="shared" si="0"/>
        <v>15</v>
      </c>
      <c r="K25" s="19">
        <v>9</v>
      </c>
      <c r="L25" s="19">
        <f t="shared" si="1"/>
        <v>35</v>
      </c>
      <c r="M25" s="19">
        <f t="shared" si="2"/>
        <v>0</v>
      </c>
      <c r="N25" s="19" t="str">
        <f t="shared" si="3"/>
        <v>PASS</v>
      </c>
    </row>
    <row r="26" ht="14.25" customHeight="1" spans="4:17">
      <c r="D26" s="19">
        <v>12</v>
      </c>
      <c r="E26" s="22" t="s">
        <v>146</v>
      </c>
      <c r="F26" s="19">
        <v>9</v>
      </c>
      <c r="G26" s="19">
        <v>10</v>
      </c>
      <c r="H26" s="19">
        <v>6</v>
      </c>
      <c r="I26" s="19">
        <v>14</v>
      </c>
      <c r="J26" s="19">
        <f t="shared" si="0"/>
        <v>20</v>
      </c>
      <c r="K26" s="19">
        <v>2</v>
      </c>
      <c r="L26" s="19">
        <f t="shared" si="1"/>
        <v>41</v>
      </c>
      <c r="M26" s="19">
        <f t="shared" si="2"/>
        <v>1</v>
      </c>
      <c r="N26" s="19" t="str">
        <f t="shared" si="3"/>
        <v>PASS</v>
      </c>
    </row>
    <row r="27" ht="14.25" customHeight="1" spans="4:17">
      <c r="D27" s="19">
        <v>13</v>
      </c>
      <c r="E27" s="22" t="s">
        <v>151</v>
      </c>
      <c r="F27" s="19">
        <v>18</v>
      </c>
      <c r="G27" s="19">
        <v>1</v>
      </c>
      <c r="H27" s="19">
        <v>1</v>
      </c>
      <c r="I27" s="19">
        <v>19</v>
      </c>
      <c r="J27" s="19">
        <f t="shared" si="0"/>
        <v>20</v>
      </c>
      <c r="K27" s="19">
        <v>28</v>
      </c>
      <c r="L27" s="19">
        <f t="shared" si="1"/>
        <v>67</v>
      </c>
      <c r="M27" s="19">
        <f t="shared" si="2"/>
        <v>2</v>
      </c>
      <c r="N27" s="19" t="str">
        <f t="shared" si="3"/>
        <v>PASS</v>
      </c>
    </row>
    <row r="28" ht="14.25" customHeight="1" spans="4:17">
      <c r="D28" s="19">
        <v>14</v>
      </c>
      <c r="E28" s="22" t="s">
        <v>156</v>
      </c>
      <c r="F28" s="19">
        <v>13</v>
      </c>
      <c r="G28" s="19">
        <v>20</v>
      </c>
      <c r="H28" s="19">
        <v>7</v>
      </c>
      <c r="I28" s="19">
        <v>19</v>
      </c>
      <c r="J28" s="19">
        <f t="shared" si="0"/>
        <v>26</v>
      </c>
      <c r="K28" s="19">
        <v>14</v>
      </c>
      <c r="L28" s="19">
        <f t="shared" si="1"/>
        <v>73</v>
      </c>
      <c r="M28" s="19">
        <f t="shared" si="2"/>
        <v>2</v>
      </c>
      <c r="N28" s="19" t="str">
        <f t="shared" si="3"/>
        <v>PASS</v>
      </c>
    </row>
    <row r="29" ht="14.25" customHeight="1" spans="4:17">
      <c r="D29" s="19">
        <v>15</v>
      </c>
      <c r="E29" s="22" t="s">
        <v>161</v>
      </c>
      <c r="F29" s="19">
        <v>7</v>
      </c>
      <c r="G29" s="19">
        <v>12</v>
      </c>
      <c r="H29" s="19">
        <v>3</v>
      </c>
      <c r="I29" s="19">
        <v>1</v>
      </c>
      <c r="J29" s="19">
        <f t="shared" si="0"/>
        <v>4</v>
      </c>
      <c r="K29" s="19">
        <v>13</v>
      </c>
      <c r="L29" s="19">
        <f t="shared" si="1"/>
        <v>36</v>
      </c>
      <c r="M29" s="19">
        <f t="shared" si="2"/>
        <v>1</v>
      </c>
      <c r="N29" s="19" t="str">
        <f t="shared" si="3"/>
        <v>PASS</v>
      </c>
    </row>
    <row r="30" ht="14.25" customHeight="1" spans="4:17">
      <c r="D30" s="19">
        <v>16</v>
      </c>
      <c r="E30" s="22" t="s">
        <v>166</v>
      </c>
      <c r="F30" s="19">
        <v>19</v>
      </c>
      <c r="G30" s="19">
        <v>13</v>
      </c>
      <c r="H30" s="19">
        <v>7</v>
      </c>
      <c r="I30" s="19">
        <v>3</v>
      </c>
      <c r="J30" s="19">
        <f t="shared" si="0"/>
        <v>10</v>
      </c>
      <c r="K30" s="19">
        <v>10</v>
      </c>
      <c r="L30" s="19">
        <f t="shared" si="1"/>
        <v>52</v>
      </c>
      <c r="M30" s="19">
        <f t="shared" si="2"/>
        <v>2</v>
      </c>
      <c r="N30" s="19" t="str">
        <f t="shared" si="3"/>
        <v>PASS</v>
      </c>
    </row>
    <row r="31" ht="14.25" customHeight="1" spans="4:17">
      <c r="D31" s="19">
        <v>17</v>
      </c>
      <c r="E31" s="22" t="s">
        <v>171</v>
      </c>
      <c r="F31" s="19">
        <v>5</v>
      </c>
      <c r="G31" s="19">
        <v>13</v>
      </c>
      <c r="H31" s="19">
        <v>5</v>
      </c>
      <c r="I31" s="19">
        <v>8</v>
      </c>
      <c r="J31" s="19">
        <f t="shared" si="0"/>
        <v>13</v>
      </c>
      <c r="K31" s="19">
        <v>28</v>
      </c>
      <c r="L31" s="19">
        <f t="shared" si="1"/>
        <v>59</v>
      </c>
      <c r="M31" s="19">
        <f t="shared" si="2"/>
        <v>2</v>
      </c>
      <c r="N31" s="19" t="str">
        <f t="shared" si="3"/>
        <v>PASS</v>
      </c>
    </row>
    <row r="32" ht="14.25" customHeight="1" spans="4:17">
      <c r="D32" s="19">
        <v>18</v>
      </c>
      <c r="E32" s="22" t="s">
        <v>176</v>
      </c>
      <c r="F32" s="19">
        <v>0</v>
      </c>
      <c r="G32" s="19">
        <v>1</v>
      </c>
      <c r="H32" s="19">
        <v>2</v>
      </c>
      <c r="I32" s="19">
        <v>16</v>
      </c>
      <c r="J32" s="19">
        <f t="shared" si="0"/>
        <v>18</v>
      </c>
      <c r="K32" s="19">
        <v>11</v>
      </c>
      <c r="L32" s="19">
        <f t="shared" si="1"/>
        <v>30</v>
      </c>
      <c r="M32" s="19">
        <f t="shared" si="2"/>
        <v>0</v>
      </c>
      <c r="N32" s="19" t="str">
        <f t="shared" si="3"/>
        <v>FAIL</v>
      </c>
    </row>
    <row r="33" ht="14.25" customHeight="1" spans="4:14">
      <c r="D33" s="19">
        <v>19</v>
      </c>
      <c r="E33" s="22" t="s">
        <v>181</v>
      </c>
      <c r="F33" s="19">
        <v>0</v>
      </c>
      <c r="G33" s="19">
        <v>18</v>
      </c>
      <c r="H33" s="19">
        <v>10</v>
      </c>
      <c r="I33" s="19">
        <v>16</v>
      </c>
      <c r="J33" s="19">
        <f t="shared" si="0"/>
        <v>26</v>
      </c>
      <c r="K33" s="19">
        <v>15</v>
      </c>
      <c r="L33" s="19">
        <f t="shared" si="1"/>
        <v>59</v>
      </c>
      <c r="M33" s="19">
        <f t="shared" si="2"/>
        <v>2</v>
      </c>
      <c r="N33" s="19" t="str">
        <f t="shared" si="3"/>
        <v>PASS</v>
      </c>
    </row>
    <row r="34" ht="14.25" customHeight="1" spans="4:14">
      <c r="D34" s="19">
        <v>20</v>
      </c>
      <c r="E34" s="22" t="s">
        <v>186</v>
      </c>
      <c r="F34" s="19">
        <v>6</v>
      </c>
      <c r="G34" s="19">
        <v>15</v>
      </c>
      <c r="H34" s="19">
        <v>6</v>
      </c>
      <c r="I34" s="19">
        <v>9</v>
      </c>
      <c r="J34" s="19">
        <f t="shared" si="0"/>
        <v>15</v>
      </c>
      <c r="K34" s="19">
        <v>21</v>
      </c>
      <c r="L34" s="19">
        <f t="shared" si="1"/>
        <v>57</v>
      </c>
      <c r="M34" s="19">
        <f t="shared" si="2"/>
        <v>2</v>
      </c>
      <c r="N34" s="19" t="str">
        <f t="shared" si="3"/>
        <v>PASS</v>
      </c>
    </row>
    <row r="35" ht="14.25" customHeight="1" spans="4:14">
      <c r="D35" s="19">
        <v>21</v>
      </c>
      <c r="E35" s="22" t="str">
        <f>'SUB-1'!E35</f>
        <v>BTMC24O1021</v>
      </c>
      <c r="F35" s="19">
        <v>15</v>
      </c>
      <c r="G35" s="19">
        <v>15</v>
      </c>
      <c r="H35" s="19">
        <v>9</v>
      </c>
      <c r="I35" s="19">
        <v>15</v>
      </c>
      <c r="J35" s="19">
        <f t="shared" si="0"/>
        <v>24</v>
      </c>
      <c r="K35" s="19">
        <v>27</v>
      </c>
      <c r="L35" s="19">
        <f t="shared" si="1"/>
        <v>81</v>
      </c>
      <c r="M35" s="19">
        <f t="shared" si="2"/>
        <v>3</v>
      </c>
      <c r="N35" s="19" t="str">
        <f t="shared" si="3"/>
        <v>PASS</v>
      </c>
    </row>
    <row r="36" ht="14.25" customHeight="1" spans="4:14">
      <c r="D36" s="19">
        <v>22</v>
      </c>
      <c r="E36" s="22" t="str">
        <f>'SUB-1'!E36</f>
        <v>BTMC24O1022</v>
      </c>
      <c r="F36" s="19">
        <v>10</v>
      </c>
      <c r="G36" s="19">
        <v>4</v>
      </c>
      <c r="H36" s="19">
        <v>7</v>
      </c>
      <c r="I36" s="19">
        <v>20</v>
      </c>
      <c r="J36" s="19">
        <f t="shared" si="0"/>
        <v>27</v>
      </c>
      <c r="K36" s="19">
        <v>28</v>
      </c>
      <c r="L36" s="19">
        <f t="shared" si="1"/>
        <v>69</v>
      </c>
      <c r="M36" s="19">
        <f t="shared" si="2"/>
        <v>2</v>
      </c>
      <c r="N36" s="19" t="str">
        <f t="shared" si="3"/>
        <v>PASS</v>
      </c>
    </row>
    <row r="37" ht="14.25" customHeight="1" spans="4:14">
      <c r="D37" s="19">
        <v>23</v>
      </c>
      <c r="E37" s="22" t="str">
        <f>'SUB-1'!E37</f>
        <v>BTMC24O1023</v>
      </c>
      <c r="F37" s="19">
        <v>20</v>
      </c>
      <c r="G37" s="19">
        <v>2</v>
      </c>
      <c r="H37" s="19">
        <v>10</v>
      </c>
      <c r="I37" s="19">
        <v>14</v>
      </c>
      <c r="J37" s="19">
        <f t="shared" si="0"/>
        <v>24</v>
      </c>
      <c r="K37" s="19">
        <v>29</v>
      </c>
      <c r="L37" s="19">
        <f t="shared" si="1"/>
        <v>75</v>
      </c>
      <c r="M37" s="19">
        <f t="shared" si="2"/>
        <v>2</v>
      </c>
      <c r="N37" s="19" t="str">
        <f t="shared" si="3"/>
        <v>PASS</v>
      </c>
    </row>
    <row r="38" ht="14.25" customHeight="1" spans="4:14">
      <c r="D38" s="19">
        <v>24</v>
      </c>
      <c r="E38" s="22" t="str">
        <f>'SUB-1'!E38</f>
        <v>BTMC24O1024</v>
      </c>
      <c r="F38" s="19">
        <v>2</v>
      </c>
      <c r="G38" s="19">
        <v>8</v>
      </c>
      <c r="H38" s="19">
        <v>1</v>
      </c>
      <c r="I38" s="19">
        <v>0</v>
      </c>
      <c r="J38" s="19">
        <f t="shared" si="0"/>
        <v>1</v>
      </c>
      <c r="K38" s="19">
        <v>18</v>
      </c>
      <c r="L38" s="19">
        <f t="shared" si="1"/>
        <v>29</v>
      </c>
      <c r="M38" s="19">
        <f t="shared" si="2"/>
        <v>0</v>
      </c>
      <c r="N38" s="19" t="str">
        <f t="shared" si="3"/>
        <v>FAIL</v>
      </c>
    </row>
    <row r="39" ht="14.25" customHeight="1" spans="4:14">
      <c r="D39" s="19">
        <v>25</v>
      </c>
      <c r="E39" s="22" t="str">
        <f>'SUB-1'!E39</f>
        <v>BTMC24O1025</v>
      </c>
      <c r="F39" s="19">
        <v>4</v>
      </c>
      <c r="G39" s="19">
        <v>19</v>
      </c>
      <c r="H39" s="19">
        <v>3</v>
      </c>
      <c r="I39" s="19">
        <v>13</v>
      </c>
      <c r="J39" s="19">
        <f t="shared" si="0"/>
        <v>16</v>
      </c>
      <c r="K39" s="19">
        <v>24</v>
      </c>
      <c r="L39" s="19">
        <f t="shared" si="1"/>
        <v>63</v>
      </c>
      <c r="M39" s="19">
        <f t="shared" si="2"/>
        <v>2</v>
      </c>
      <c r="N39" s="19" t="str">
        <f t="shared" si="3"/>
        <v>PASS</v>
      </c>
    </row>
    <row r="40" ht="14.25" customHeight="1" spans="4:14">
      <c r="D40" s="19">
        <v>26</v>
      </c>
      <c r="E40" s="22" t="str">
        <f>'SUB-1'!E40</f>
        <v>BTMC24O1026</v>
      </c>
      <c r="F40" s="19">
        <v>15</v>
      </c>
      <c r="G40" s="19">
        <v>0</v>
      </c>
      <c r="H40" s="19">
        <v>4</v>
      </c>
      <c r="I40" s="19">
        <v>2</v>
      </c>
      <c r="J40" s="19">
        <f t="shared" si="0"/>
        <v>6</v>
      </c>
      <c r="K40" s="19">
        <v>12</v>
      </c>
      <c r="L40" s="19">
        <f t="shared" si="1"/>
        <v>33</v>
      </c>
      <c r="M40" s="19">
        <f t="shared" si="2"/>
        <v>0</v>
      </c>
      <c r="N40" s="19" t="str">
        <f t="shared" si="3"/>
        <v>FAIL</v>
      </c>
    </row>
    <row r="41" ht="14.25" customHeight="1" spans="4:14">
      <c r="D41" s="19">
        <v>27</v>
      </c>
      <c r="E41" s="22" t="str">
        <f>'SUB-1'!E41</f>
        <v>BTMC24O1027</v>
      </c>
      <c r="F41" s="19">
        <v>9</v>
      </c>
      <c r="G41" s="19">
        <v>3</v>
      </c>
      <c r="H41" s="19">
        <v>5</v>
      </c>
      <c r="I41" s="19">
        <v>14</v>
      </c>
      <c r="J41" s="19">
        <f t="shared" si="0"/>
        <v>19</v>
      </c>
      <c r="K41" s="19">
        <v>18</v>
      </c>
      <c r="L41" s="19">
        <f t="shared" si="1"/>
        <v>49</v>
      </c>
      <c r="M41" s="19">
        <f t="shared" si="2"/>
        <v>1</v>
      </c>
      <c r="N41" s="19" t="str">
        <f t="shared" si="3"/>
        <v>PASS</v>
      </c>
    </row>
    <row r="42" ht="14.25" customHeight="1" spans="4:14">
      <c r="D42" s="19">
        <v>28</v>
      </c>
      <c r="E42" s="22" t="str">
        <f>'SUB-1'!E42</f>
        <v>BTMC24O1028</v>
      </c>
      <c r="F42" s="19">
        <v>5</v>
      </c>
      <c r="G42" s="19">
        <v>11</v>
      </c>
      <c r="H42" s="19">
        <v>9</v>
      </c>
      <c r="I42" s="19">
        <v>14</v>
      </c>
      <c r="J42" s="19">
        <f t="shared" si="0"/>
        <v>23</v>
      </c>
      <c r="K42" s="19">
        <v>10</v>
      </c>
      <c r="L42" s="19">
        <f t="shared" si="1"/>
        <v>49</v>
      </c>
      <c r="M42" s="19">
        <f t="shared" si="2"/>
        <v>1</v>
      </c>
      <c r="N42" s="19" t="str">
        <f t="shared" si="3"/>
        <v>PASS</v>
      </c>
    </row>
    <row r="43" ht="14.25" customHeight="1" spans="4:14">
      <c r="D43" s="19">
        <v>29</v>
      </c>
      <c r="E43" s="22" t="str">
        <f>'SUB-1'!E43</f>
        <v>BTMC24O1029</v>
      </c>
      <c r="F43" s="19">
        <v>9</v>
      </c>
      <c r="G43" s="19">
        <v>11</v>
      </c>
      <c r="H43" s="19">
        <v>8</v>
      </c>
      <c r="I43" s="19">
        <v>14</v>
      </c>
      <c r="J43" s="19">
        <f t="shared" si="0"/>
        <v>22</v>
      </c>
      <c r="K43" s="19">
        <v>30</v>
      </c>
      <c r="L43" s="19">
        <f t="shared" si="1"/>
        <v>72</v>
      </c>
      <c r="M43" s="19">
        <f t="shared" si="2"/>
        <v>2</v>
      </c>
      <c r="N43" s="19" t="str">
        <f t="shared" si="3"/>
        <v>PASS</v>
      </c>
    </row>
    <row r="44" ht="14.25" customHeight="1" spans="4:14">
      <c r="D44" s="19">
        <v>30</v>
      </c>
      <c r="E44" s="22" t="str">
        <f>'SUB-1'!E44</f>
        <v>BTMC24O1030</v>
      </c>
      <c r="F44" s="19">
        <v>17</v>
      </c>
      <c r="G44" s="19">
        <v>1</v>
      </c>
      <c r="H44" s="19">
        <v>9</v>
      </c>
      <c r="I44" s="19">
        <v>11</v>
      </c>
      <c r="J44" s="19">
        <f t="shared" si="0"/>
        <v>20</v>
      </c>
      <c r="K44" s="19">
        <v>17</v>
      </c>
      <c r="L44" s="19">
        <f t="shared" si="1"/>
        <v>55</v>
      </c>
      <c r="M44" s="19">
        <f t="shared" si="2"/>
        <v>2</v>
      </c>
      <c r="N44" s="19" t="str">
        <f t="shared" si="3"/>
        <v>PASS</v>
      </c>
    </row>
    <row r="45" ht="14.25" customHeight="1" spans="4:14">
      <c r="D45" s="19">
        <v>31</v>
      </c>
      <c r="E45" s="22" t="str">
        <f>'SUB-1'!E45</f>
        <v>BTMC24O1031</v>
      </c>
      <c r="F45" s="19">
        <v>5</v>
      </c>
      <c r="G45" s="19">
        <v>9</v>
      </c>
      <c r="H45" s="19">
        <v>6</v>
      </c>
      <c r="I45" s="19">
        <v>20</v>
      </c>
      <c r="J45" s="19">
        <f t="shared" si="0"/>
        <v>26</v>
      </c>
      <c r="K45" s="19">
        <v>8</v>
      </c>
      <c r="L45" s="19">
        <f t="shared" si="1"/>
        <v>48</v>
      </c>
      <c r="M45" s="19">
        <f t="shared" si="2"/>
        <v>1</v>
      </c>
      <c r="N45" s="19" t="str">
        <f t="shared" si="3"/>
        <v>PASS</v>
      </c>
    </row>
    <row r="46" ht="14.25" customHeight="1" spans="4:14">
      <c r="D46" s="19">
        <v>32</v>
      </c>
      <c r="E46" s="22" t="str">
        <f>'SUB-1'!E46</f>
        <v>BTMC24O1032</v>
      </c>
      <c r="F46" s="19">
        <v>13</v>
      </c>
      <c r="G46" s="19">
        <v>19</v>
      </c>
      <c r="H46" s="19">
        <v>5</v>
      </c>
      <c r="I46" s="19">
        <v>0</v>
      </c>
      <c r="J46" s="19">
        <f t="shared" si="0"/>
        <v>5</v>
      </c>
      <c r="K46" s="19">
        <v>12</v>
      </c>
      <c r="L46" s="19">
        <f t="shared" si="1"/>
        <v>49</v>
      </c>
      <c r="M46" s="19">
        <f t="shared" si="2"/>
        <v>1</v>
      </c>
      <c r="N46" s="19" t="str">
        <f t="shared" si="3"/>
        <v>PASS</v>
      </c>
    </row>
    <row r="47" ht="14.25" customHeight="1" spans="4:14">
      <c r="D47" s="19">
        <v>33</v>
      </c>
      <c r="E47" s="22" t="str">
        <f>'SUB-1'!E47</f>
        <v>BTMC24O1033</v>
      </c>
      <c r="F47" s="19">
        <v>6</v>
      </c>
      <c r="G47" s="19">
        <v>1</v>
      </c>
      <c r="H47" s="19">
        <v>7</v>
      </c>
      <c r="I47" s="19">
        <v>11</v>
      </c>
      <c r="J47" s="19">
        <f t="shared" si="0"/>
        <v>18</v>
      </c>
      <c r="K47" s="19">
        <v>18</v>
      </c>
      <c r="L47" s="19">
        <f t="shared" si="1"/>
        <v>43</v>
      </c>
      <c r="M47" s="19">
        <f t="shared" si="2"/>
        <v>1</v>
      </c>
      <c r="N47" s="19" t="str">
        <f t="shared" si="3"/>
        <v>PASS</v>
      </c>
    </row>
    <row r="48" ht="14.25" customHeight="1" spans="4:14">
      <c r="D48" s="19">
        <v>34</v>
      </c>
      <c r="E48" s="22" t="str">
        <f>'SUB-1'!E48</f>
        <v>BTMC24O1034</v>
      </c>
      <c r="F48" s="19">
        <v>19</v>
      </c>
      <c r="G48" s="19">
        <v>20</v>
      </c>
      <c r="H48" s="19">
        <v>3</v>
      </c>
      <c r="I48" s="19">
        <v>20</v>
      </c>
      <c r="J48" s="19">
        <f t="shared" si="0"/>
        <v>23</v>
      </c>
      <c r="K48" s="19">
        <v>18</v>
      </c>
      <c r="L48" s="19">
        <f t="shared" si="1"/>
        <v>80</v>
      </c>
      <c r="M48" s="19">
        <f t="shared" si="2"/>
        <v>3</v>
      </c>
      <c r="N48" s="19" t="str">
        <f t="shared" si="3"/>
        <v>PASS</v>
      </c>
    </row>
    <row r="49" ht="14.25" customHeight="1" spans="4:14">
      <c r="D49" s="19">
        <v>35</v>
      </c>
      <c r="E49" s="22" t="str">
        <f>'SUB-1'!E49</f>
        <v>BTMC24O1035</v>
      </c>
      <c r="F49" s="19">
        <v>2</v>
      </c>
      <c r="G49" s="19">
        <v>11</v>
      </c>
      <c r="H49" s="19">
        <v>0</v>
      </c>
      <c r="I49" s="19">
        <v>18</v>
      </c>
      <c r="J49" s="19">
        <f t="shared" si="0"/>
        <v>18</v>
      </c>
      <c r="K49" s="19">
        <v>5</v>
      </c>
      <c r="L49" s="19">
        <f t="shared" si="1"/>
        <v>36</v>
      </c>
      <c r="M49" s="19">
        <f t="shared" si="2"/>
        <v>1</v>
      </c>
      <c r="N49" s="19" t="str">
        <f t="shared" si="3"/>
        <v>PASS</v>
      </c>
    </row>
    <row r="50" ht="14.25" customHeight="1" spans="4:14">
      <c r="D50" s="19">
        <v>36</v>
      </c>
      <c r="E50" s="22" t="str">
        <f>'SUB-1'!E50</f>
        <v>BTMC24O1036</v>
      </c>
      <c r="F50" s="19">
        <v>9</v>
      </c>
      <c r="G50" s="19">
        <v>9</v>
      </c>
      <c r="H50" s="19">
        <v>7</v>
      </c>
      <c r="I50" s="19">
        <v>6</v>
      </c>
      <c r="J50" s="19">
        <f t="shared" si="0"/>
        <v>13</v>
      </c>
      <c r="K50" s="19">
        <v>14</v>
      </c>
      <c r="L50" s="19">
        <f t="shared" si="1"/>
        <v>45</v>
      </c>
      <c r="M50" s="19">
        <f t="shared" si="2"/>
        <v>1</v>
      </c>
      <c r="N50" s="19" t="str">
        <f t="shared" si="3"/>
        <v>PASS</v>
      </c>
    </row>
    <row r="51" ht="14.25" customHeight="1" spans="4:14">
      <c r="D51" s="19">
        <v>37</v>
      </c>
      <c r="E51" s="22" t="str">
        <f>'SUB-1'!E51</f>
        <v>BTMC24O1037</v>
      </c>
      <c r="F51" s="19">
        <v>16</v>
      </c>
      <c r="G51" s="19">
        <v>3</v>
      </c>
      <c r="H51" s="19">
        <v>0</v>
      </c>
      <c r="I51" s="19">
        <v>19</v>
      </c>
      <c r="J51" s="19">
        <f t="shared" si="0"/>
        <v>19</v>
      </c>
      <c r="K51" s="19">
        <v>26</v>
      </c>
      <c r="L51" s="19">
        <f t="shared" si="1"/>
        <v>64</v>
      </c>
      <c r="M51" s="19">
        <f t="shared" si="2"/>
        <v>2</v>
      </c>
      <c r="N51" s="19" t="str">
        <f t="shared" si="3"/>
        <v>PASS</v>
      </c>
    </row>
    <row r="52" ht="14.25" customHeight="1" spans="4:14">
      <c r="D52" s="19">
        <v>38</v>
      </c>
      <c r="E52" s="22" t="str">
        <f>'SUB-1'!E52</f>
        <v>BTMC24O1038</v>
      </c>
      <c r="F52" s="19">
        <v>17</v>
      </c>
      <c r="G52" s="19">
        <v>4</v>
      </c>
      <c r="H52" s="19">
        <v>9</v>
      </c>
      <c r="I52" s="19">
        <v>1</v>
      </c>
      <c r="J52" s="19">
        <f t="shared" si="0"/>
        <v>10</v>
      </c>
      <c r="K52" s="19">
        <v>27</v>
      </c>
      <c r="L52" s="19">
        <f t="shared" si="1"/>
        <v>58</v>
      </c>
      <c r="M52" s="19">
        <f t="shared" si="2"/>
        <v>2</v>
      </c>
      <c r="N52" s="19" t="str">
        <f t="shared" si="3"/>
        <v>PASS</v>
      </c>
    </row>
    <row r="53" ht="14.25" customHeight="1" spans="4:14">
      <c r="D53" s="19">
        <v>39</v>
      </c>
      <c r="E53" s="22" t="str">
        <f>'SUB-1'!E53</f>
        <v>BTMC24O1039</v>
      </c>
      <c r="F53" s="19">
        <v>16</v>
      </c>
      <c r="G53" s="19">
        <v>12</v>
      </c>
      <c r="H53" s="19">
        <v>8</v>
      </c>
      <c r="I53" s="19">
        <v>13</v>
      </c>
      <c r="J53" s="19">
        <f t="shared" si="0"/>
        <v>21</v>
      </c>
      <c r="K53" s="19">
        <v>20</v>
      </c>
      <c r="L53" s="19">
        <f t="shared" si="1"/>
        <v>69</v>
      </c>
      <c r="M53" s="19">
        <f t="shared" si="2"/>
        <v>2</v>
      </c>
      <c r="N53" s="19" t="str">
        <f t="shared" si="3"/>
        <v>PASS</v>
      </c>
    </row>
    <row r="54" ht="14.25" customHeight="1" spans="4:14">
      <c r="D54" s="19">
        <v>40</v>
      </c>
      <c r="E54" s="22" t="str">
        <f>'SUB-1'!E54</f>
        <v>BTMC24O1040</v>
      </c>
      <c r="F54" s="19">
        <v>18</v>
      </c>
      <c r="G54" s="19">
        <v>4</v>
      </c>
      <c r="H54" s="19">
        <v>9</v>
      </c>
      <c r="I54" s="19">
        <v>16</v>
      </c>
      <c r="J54" s="19">
        <f t="shared" si="0"/>
        <v>25</v>
      </c>
      <c r="K54" s="19">
        <v>9</v>
      </c>
      <c r="L54" s="19">
        <f t="shared" si="1"/>
        <v>56</v>
      </c>
      <c r="M54" s="19">
        <f t="shared" si="2"/>
        <v>2</v>
      </c>
      <c r="N54" s="19" t="str">
        <f t="shared" si="3"/>
        <v>PASS</v>
      </c>
    </row>
    <row r="55" ht="14.25" customHeight="1" spans="4:14">
      <c r="D55" s="19">
        <v>41</v>
      </c>
      <c r="E55" s="22" t="str">
        <f>'SUB-1'!E55</f>
        <v>BTMC24O1041</v>
      </c>
      <c r="F55" s="19">
        <v>13</v>
      </c>
      <c r="G55" s="19">
        <v>8</v>
      </c>
      <c r="H55" s="19">
        <v>4</v>
      </c>
      <c r="I55" s="19">
        <v>7</v>
      </c>
      <c r="J55" s="19">
        <f t="shared" si="0"/>
        <v>11</v>
      </c>
      <c r="K55" s="19">
        <v>2</v>
      </c>
      <c r="L55" s="19">
        <f t="shared" si="1"/>
        <v>34</v>
      </c>
      <c r="M55" s="19">
        <f t="shared" si="2"/>
        <v>0</v>
      </c>
      <c r="N55" s="19" t="str">
        <f t="shared" si="3"/>
        <v>FAIL</v>
      </c>
    </row>
    <row r="56" ht="14.25" customHeight="1" spans="4:14">
      <c r="D56" s="19">
        <v>42</v>
      </c>
      <c r="E56" s="22" t="str">
        <f>'SUB-1'!E56</f>
        <v>BTMC24O1042</v>
      </c>
      <c r="F56" s="19">
        <v>15</v>
      </c>
      <c r="G56" s="19">
        <v>10</v>
      </c>
      <c r="H56" s="19">
        <v>6</v>
      </c>
      <c r="I56" s="19">
        <v>8</v>
      </c>
      <c r="J56" s="19">
        <f t="shared" si="0"/>
        <v>14</v>
      </c>
      <c r="K56" s="19">
        <v>30</v>
      </c>
      <c r="L56" s="19">
        <f t="shared" si="1"/>
        <v>69</v>
      </c>
      <c r="M56" s="19">
        <f t="shared" si="2"/>
        <v>2</v>
      </c>
      <c r="N56" s="19" t="str">
        <f t="shared" si="3"/>
        <v>PASS</v>
      </c>
    </row>
    <row r="57" ht="14.25" customHeight="1" spans="4:14">
      <c r="D57" s="19">
        <v>43</v>
      </c>
      <c r="E57" s="22" t="str">
        <f>'SUB-1'!E57</f>
        <v>BTMC24O1043</v>
      </c>
      <c r="F57" s="19">
        <v>11</v>
      </c>
      <c r="G57" s="19">
        <v>10</v>
      </c>
      <c r="H57" s="19">
        <v>8</v>
      </c>
      <c r="I57" s="19">
        <v>3</v>
      </c>
      <c r="J57" s="19">
        <f t="shared" si="0"/>
        <v>11</v>
      </c>
      <c r="K57" s="19">
        <v>9</v>
      </c>
      <c r="L57" s="19">
        <f t="shared" si="1"/>
        <v>41</v>
      </c>
      <c r="M57" s="19">
        <f t="shared" si="2"/>
        <v>1</v>
      </c>
      <c r="N57" s="19" t="str">
        <f t="shared" si="3"/>
        <v>PASS</v>
      </c>
    </row>
    <row r="58" ht="14.25" customHeight="1" spans="4:14">
      <c r="D58" s="19">
        <v>44</v>
      </c>
      <c r="E58" s="22" t="str">
        <f>'SUB-1'!E58</f>
        <v>BTMC24O1044</v>
      </c>
      <c r="F58" s="19">
        <v>12</v>
      </c>
      <c r="G58" s="19">
        <v>12</v>
      </c>
      <c r="H58" s="19">
        <v>4</v>
      </c>
      <c r="I58" s="19">
        <v>1</v>
      </c>
      <c r="J58" s="19">
        <f t="shared" si="0"/>
        <v>5</v>
      </c>
      <c r="K58" s="19">
        <v>11</v>
      </c>
      <c r="L58" s="19">
        <f t="shared" si="1"/>
        <v>40</v>
      </c>
      <c r="M58" s="19">
        <f t="shared" si="2"/>
        <v>1</v>
      </c>
      <c r="N58" s="19" t="str">
        <f t="shared" si="3"/>
        <v>PASS</v>
      </c>
    </row>
    <row r="59" ht="14.25" customHeight="1" spans="4:14">
      <c r="D59" s="19">
        <v>45</v>
      </c>
      <c r="E59" s="22" t="str">
        <f>'SUB-1'!E59</f>
        <v>BTMC24O1045</v>
      </c>
      <c r="F59" s="19">
        <v>15</v>
      </c>
      <c r="G59" s="19">
        <v>19</v>
      </c>
      <c r="H59" s="19">
        <v>5</v>
      </c>
      <c r="I59" s="19">
        <v>10</v>
      </c>
      <c r="J59" s="19">
        <f t="shared" si="0"/>
        <v>15</v>
      </c>
      <c r="K59" s="19">
        <v>21</v>
      </c>
      <c r="L59" s="19">
        <f t="shared" si="1"/>
        <v>70</v>
      </c>
      <c r="M59" s="19">
        <f t="shared" si="2"/>
        <v>2</v>
      </c>
      <c r="N59" s="19" t="str">
        <f t="shared" si="3"/>
        <v>PASS</v>
      </c>
    </row>
    <row r="60" ht="14.25" customHeight="1" spans="4:14">
      <c r="D60" s="19">
        <v>46</v>
      </c>
      <c r="E60" s="22" t="str">
        <f>'SUB-1'!E60</f>
        <v>BTMC24O1046</v>
      </c>
      <c r="F60" s="19">
        <v>17</v>
      </c>
      <c r="G60" s="19">
        <v>3</v>
      </c>
      <c r="H60" s="19">
        <v>5</v>
      </c>
      <c r="I60" s="19">
        <v>15</v>
      </c>
      <c r="J60" s="19">
        <f t="shared" si="0"/>
        <v>20</v>
      </c>
      <c r="K60" s="19">
        <v>27</v>
      </c>
      <c r="L60" s="19">
        <f t="shared" si="1"/>
        <v>67</v>
      </c>
      <c r="M60" s="19">
        <f t="shared" si="2"/>
        <v>2</v>
      </c>
      <c r="N60" s="19" t="str">
        <f t="shared" si="3"/>
        <v>PASS</v>
      </c>
    </row>
    <row r="61" ht="14.25" customHeight="1" spans="4:14">
      <c r="D61" s="19">
        <v>47</v>
      </c>
      <c r="E61" s="22" t="str">
        <f>'SUB-1'!E61</f>
        <v>BTMC24O1047</v>
      </c>
      <c r="F61" s="19">
        <v>4</v>
      </c>
      <c r="G61" s="19">
        <v>9</v>
      </c>
      <c r="H61" s="19">
        <v>8</v>
      </c>
      <c r="I61" s="19">
        <v>4</v>
      </c>
      <c r="J61" s="19">
        <f t="shared" si="0"/>
        <v>12</v>
      </c>
      <c r="K61" s="19">
        <v>24</v>
      </c>
      <c r="L61" s="19">
        <f t="shared" si="1"/>
        <v>49</v>
      </c>
      <c r="M61" s="19">
        <f t="shared" si="2"/>
        <v>1</v>
      </c>
      <c r="N61" s="19" t="str">
        <f t="shared" si="3"/>
        <v>PASS</v>
      </c>
    </row>
    <row r="62" ht="14.25" customHeight="1" spans="4:14">
      <c r="D62" s="19">
        <v>48</v>
      </c>
      <c r="E62" s="22" t="str">
        <f>'SUB-1'!E62</f>
        <v>BTMC24O1048</v>
      </c>
      <c r="F62" s="19">
        <v>3</v>
      </c>
      <c r="G62" s="19">
        <v>0</v>
      </c>
      <c r="H62" s="19">
        <v>8</v>
      </c>
      <c r="I62" s="19">
        <v>7</v>
      </c>
      <c r="J62" s="19">
        <f t="shared" si="0"/>
        <v>15</v>
      </c>
      <c r="K62" s="19">
        <v>1</v>
      </c>
      <c r="L62" s="19">
        <f t="shared" si="1"/>
        <v>19</v>
      </c>
      <c r="M62" s="19">
        <f t="shared" si="2"/>
        <v>0</v>
      </c>
      <c r="N62" s="19" t="str">
        <f t="shared" si="3"/>
        <v>FAIL</v>
      </c>
    </row>
    <row r="63" ht="14.25" customHeight="1" spans="4:14">
      <c r="D63" s="19">
        <v>49</v>
      </c>
      <c r="E63" s="22" t="str">
        <f>'SUB-1'!E63</f>
        <v>BTMC24O1049</v>
      </c>
      <c r="F63" s="19">
        <v>19</v>
      </c>
      <c r="G63" s="19">
        <v>3</v>
      </c>
      <c r="H63" s="19">
        <v>6</v>
      </c>
      <c r="I63" s="19">
        <v>18</v>
      </c>
      <c r="J63" s="19">
        <f t="shared" si="0"/>
        <v>24</v>
      </c>
      <c r="K63" s="19">
        <v>13</v>
      </c>
      <c r="L63" s="19">
        <f t="shared" si="1"/>
        <v>59</v>
      </c>
      <c r="M63" s="19">
        <f t="shared" si="2"/>
        <v>2</v>
      </c>
      <c r="N63" s="19" t="str">
        <f t="shared" si="3"/>
        <v>PASS</v>
      </c>
    </row>
    <row r="64" ht="14.25" customHeight="1" spans="4:14">
      <c r="D64" s="19">
        <v>50</v>
      </c>
      <c r="E64" s="22" t="str">
        <f>'SUB-1'!E64</f>
        <v>BTMC24O1050</v>
      </c>
      <c r="F64" s="19">
        <v>4</v>
      </c>
      <c r="G64" s="19">
        <v>17</v>
      </c>
      <c r="H64" s="19">
        <v>10</v>
      </c>
      <c r="I64" s="19">
        <v>17</v>
      </c>
      <c r="J64" s="19">
        <f t="shared" si="0"/>
        <v>27</v>
      </c>
      <c r="K64" s="19">
        <v>8</v>
      </c>
      <c r="L64" s="19">
        <f t="shared" si="1"/>
        <v>56</v>
      </c>
      <c r="M64" s="19">
        <f t="shared" si="2"/>
        <v>2</v>
      </c>
      <c r="N64" s="19" t="str">
        <f t="shared" si="3"/>
        <v>PASS</v>
      </c>
    </row>
    <row r="65" ht="14.25" customHeight="1" spans="4:14">
      <c r="D65" s="19">
        <v>51</v>
      </c>
      <c r="E65" s="22" t="str">
        <f>'SUB-1'!E65</f>
        <v>BTMC24O1051</v>
      </c>
      <c r="F65" s="19">
        <v>5</v>
      </c>
      <c r="G65" s="19">
        <v>19</v>
      </c>
      <c r="H65" s="19">
        <v>4</v>
      </c>
      <c r="I65" s="19">
        <v>16</v>
      </c>
      <c r="J65" s="19">
        <f t="shared" si="0"/>
        <v>20</v>
      </c>
      <c r="K65" s="19">
        <v>26</v>
      </c>
      <c r="L65" s="19">
        <f t="shared" si="1"/>
        <v>70</v>
      </c>
      <c r="M65" s="19">
        <f t="shared" si="2"/>
        <v>2</v>
      </c>
      <c r="N65" s="19" t="str">
        <f t="shared" si="3"/>
        <v>PASS</v>
      </c>
    </row>
    <row r="66" ht="14.25" customHeight="1" spans="4:14">
      <c r="D66" s="19">
        <v>52</v>
      </c>
      <c r="E66" s="22" t="str">
        <f>'SUB-1'!E66</f>
        <v>BTMC24O1052</v>
      </c>
      <c r="F66" s="19">
        <v>10</v>
      </c>
      <c r="G66" s="19">
        <v>13</v>
      </c>
      <c r="H66" s="19">
        <v>3</v>
      </c>
      <c r="I66" s="19">
        <v>19</v>
      </c>
      <c r="J66" s="19">
        <f t="shared" si="0"/>
        <v>22</v>
      </c>
      <c r="K66" s="19">
        <v>1</v>
      </c>
      <c r="L66" s="19">
        <f t="shared" si="1"/>
        <v>46</v>
      </c>
      <c r="M66" s="19">
        <f t="shared" si="2"/>
        <v>1</v>
      </c>
      <c r="N66" s="19" t="str">
        <f t="shared" si="3"/>
        <v>PASS</v>
      </c>
    </row>
    <row r="67" ht="14.25" customHeight="1" spans="4:14">
      <c r="D67" s="19">
        <v>53</v>
      </c>
      <c r="E67" s="22" t="str">
        <f>'SUB-1'!E67</f>
        <v>BTMC24O1053</v>
      </c>
      <c r="F67" s="19">
        <v>19</v>
      </c>
      <c r="G67" s="19">
        <v>6</v>
      </c>
      <c r="H67" s="19">
        <v>1</v>
      </c>
      <c r="I67" s="19">
        <v>4</v>
      </c>
      <c r="J67" s="19">
        <f t="shared" si="0"/>
        <v>5</v>
      </c>
      <c r="K67" s="19">
        <v>13</v>
      </c>
      <c r="L67" s="19">
        <f t="shared" si="1"/>
        <v>43</v>
      </c>
      <c r="M67" s="19">
        <f t="shared" si="2"/>
        <v>1</v>
      </c>
      <c r="N67" s="19" t="str">
        <f t="shared" si="3"/>
        <v>PASS</v>
      </c>
    </row>
    <row r="68" ht="14.25" customHeight="1" spans="4:14">
      <c r="D68" s="19">
        <v>54</v>
      </c>
      <c r="E68" s="22" t="str">
        <f>'SUB-1'!E68</f>
        <v>BTMC24O1054</v>
      </c>
      <c r="F68" s="19">
        <v>1</v>
      </c>
      <c r="G68" s="19">
        <v>16</v>
      </c>
      <c r="H68" s="19">
        <v>9</v>
      </c>
      <c r="I68" s="19">
        <v>7</v>
      </c>
      <c r="J68" s="19">
        <f t="shared" si="0"/>
        <v>16</v>
      </c>
      <c r="K68" s="19">
        <v>7</v>
      </c>
      <c r="L68" s="19">
        <f t="shared" si="1"/>
        <v>40</v>
      </c>
      <c r="M68" s="19">
        <f t="shared" si="2"/>
        <v>1</v>
      </c>
      <c r="N68" s="19" t="str">
        <f t="shared" si="3"/>
        <v>PASS</v>
      </c>
    </row>
    <row r="69" ht="14.25" customHeight="1" spans="4:14">
      <c r="D69" s="19">
        <v>55</v>
      </c>
      <c r="E69" s="22" t="str">
        <f>'SUB-1'!E69</f>
        <v>BTMC24O1055</v>
      </c>
      <c r="F69" s="19">
        <v>7</v>
      </c>
      <c r="G69" s="19">
        <v>10</v>
      </c>
      <c r="H69" s="19">
        <v>4</v>
      </c>
      <c r="I69" s="19">
        <v>14</v>
      </c>
      <c r="J69" s="19">
        <f t="shared" si="0"/>
        <v>18</v>
      </c>
      <c r="K69" s="19">
        <v>9</v>
      </c>
      <c r="L69" s="19">
        <f t="shared" si="1"/>
        <v>44</v>
      </c>
      <c r="M69" s="19">
        <f t="shared" si="2"/>
        <v>1</v>
      </c>
      <c r="N69" s="19" t="str">
        <f t="shared" si="3"/>
        <v>PASS</v>
      </c>
    </row>
    <row r="70" ht="14.25" customHeight="1" spans="4:14">
      <c r="D70" s="19">
        <v>56</v>
      </c>
      <c r="E70" s="22" t="str">
        <f>'SUB-1'!E70</f>
        <v>BTMC24O1056</v>
      </c>
      <c r="F70" s="19">
        <v>3</v>
      </c>
      <c r="G70" s="19">
        <v>1</v>
      </c>
      <c r="H70" s="19">
        <v>3</v>
      </c>
      <c r="I70" s="19">
        <v>13</v>
      </c>
      <c r="J70" s="19">
        <f t="shared" si="0"/>
        <v>16</v>
      </c>
      <c r="K70" s="19">
        <v>10</v>
      </c>
      <c r="L70" s="19">
        <f t="shared" si="1"/>
        <v>30</v>
      </c>
      <c r="M70" s="19">
        <f t="shared" si="2"/>
        <v>0</v>
      </c>
      <c r="N70" s="19" t="str">
        <f t="shared" si="3"/>
        <v>FAIL</v>
      </c>
    </row>
    <row r="71" ht="14.25" customHeight="1" spans="4:14">
      <c r="D71" s="19">
        <v>57</v>
      </c>
      <c r="E71" s="22" t="str">
        <f>'SUB-1'!E71</f>
        <v>BTMC24O1057</v>
      </c>
      <c r="F71" s="19">
        <v>12</v>
      </c>
      <c r="G71" s="19">
        <v>18</v>
      </c>
      <c r="H71" s="19">
        <v>5</v>
      </c>
      <c r="I71" s="19">
        <v>4</v>
      </c>
      <c r="J71" s="19">
        <f t="shared" si="0"/>
        <v>9</v>
      </c>
      <c r="K71" s="19">
        <v>8</v>
      </c>
      <c r="L71" s="19">
        <f t="shared" si="1"/>
        <v>47</v>
      </c>
      <c r="M71" s="19">
        <f t="shared" si="2"/>
        <v>1</v>
      </c>
      <c r="N71" s="19" t="str">
        <f t="shared" si="3"/>
        <v>PASS</v>
      </c>
    </row>
    <row r="72" ht="14.25" customHeight="1" spans="4:14">
      <c r="D72" s="19">
        <v>58</v>
      </c>
      <c r="E72" s="22" t="str">
        <f>'SUB-1'!E72</f>
        <v>BTMC24O1058</v>
      </c>
      <c r="F72" s="19">
        <v>20</v>
      </c>
      <c r="G72" s="19">
        <v>14</v>
      </c>
      <c r="H72" s="19">
        <v>4</v>
      </c>
      <c r="I72" s="19">
        <v>10</v>
      </c>
      <c r="J72" s="19">
        <f t="shared" si="0"/>
        <v>14</v>
      </c>
      <c r="K72" s="19">
        <v>23</v>
      </c>
      <c r="L72" s="19">
        <f t="shared" si="1"/>
        <v>71</v>
      </c>
      <c r="M72" s="19">
        <f t="shared" si="2"/>
        <v>2</v>
      </c>
      <c r="N72" s="19" t="str">
        <f t="shared" si="3"/>
        <v>PASS</v>
      </c>
    </row>
    <row r="73" ht="14.25" customHeight="1" spans="4:14">
      <c r="D73" s="19">
        <v>59</v>
      </c>
      <c r="E73" s="22" t="str">
        <f>'SUB-1'!E73</f>
        <v>BTMC24O1059</v>
      </c>
      <c r="F73" s="19">
        <v>10</v>
      </c>
      <c r="G73" s="19">
        <v>6</v>
      </c>
      <c r="H73" s="19">
        <v>10</v>
      </c>
      <c r="I73" s="19">
        <v>19</v>
      </c>
      <c r="J73" s="19">
        <f t="shared" si="0"/>
        <v>29</v>
      </c>
      <c r="K73" s="19">
        <v>12</v>
      </c>
      <c r="L73" s="19">
        <f t="shared" si="1"/>
        <v>57</v>
      </c>
      <c r="M73" s="19">
        <f t="shared" si="2"/>
        <v>2</v>
      </c>
      <c r="N73" s="19" t="str">
        <f t="shared" si="3"/>
        <v>PASS</v>
      </c>
    </row>
    <row r="74" ht="14.25" customHeight="1" spans="4:14">
      <c r="D74" s="19">
        <v>60</v>
      </c>
      <c r="E74" s="22" t="str">
        <f>'SUB-1'!E74</f>
        <v>BTMC24O1060</v>
      </c>
      <c r="F74" s="19">
        <v>6</v>
      </c>
      <c r="G74" s="19">
        <v>1</v>
      </c>
      <c r="H74" s="19">
        <v>6</v>
      </c>
      <c r="I74" s="19">
        <v>13</v>
      </c>
      <c r="J74" s="19">
        <f t="shared" si="0"/>
        <v>19</v>
      </c>
      <c r="K74" s="19">
        <v>28</v>
      </c>
      <c r="L74" s="19">
        <f t="shared" si="1"/>
        <v>54</v>
      </c>
      <c r="M74" s="19">
        <f t="shared" si="2"/>
        <v>2</v>
      </c>
      <c r="N74" s="19" t="str">
        <f t="shared" si="3"/>
        <v>PASS</v>
      </c>
    </row>
    <row r="75" ht="14.25" customHeight="1" spans="4:14">
      <c r="D75" s="19">
        <v>61</v>
      </c>
      <c r="E75" s="22" t="str">
        <f>'SUB-1'!E75</f>
        <v>BTMC24O1061</v>
      </c>
      <c r="F75" s="19">
        <v>6</v>
      </c>
      <c r="G75" s="19">
        <v>6</v>
      </c>
      <c r="H75" s="19">
        <v>3</v>
      </c>
      <c r="I75" s="19">
        <v>12</v>
      </c>
      <c r="J75" s="19">
        <f t="shared" si="0"/>
        <v>15</v>
      </c>
      <c r="K75" s="19">
        <v>10</v>
      </c>
      <c r="L75" s="19">
        <f t="shared" si="1"/>
        <v>37</v>
      </c>
      <c r="M75" s="19">
        <f t="shared" si="2"/>
        <v>1</v>
      </c>
      <c r="N75" s="19" t="str">
        <f t="shared" si="3"/>
        <v>PASS</v>
      </c>
    </row>
    <row r="76" ht="14.25" customHeight="1" spans="4:14">
      <c r="D76" s="19">
        <v>62</v>
      </c>
      <c r="E76" s="22" t="str">
        <f>'SUB-1'!E76</f>
        <v>BTMC24O1062</v>
      </c>
      <c r="F76" s="19">
        <v>8</v>
      </c>
      <c r="G76" s="19">
        <v>5</v>
      </c>
      <c r="H76" s="19">
        <v>3</v>
      </c>
      <c r="I76" s="19">
        <v>19</v>
      </c>
      <c r="J76" s="19">
        <f t="shared" si="0"/>
        <v>22</v>
      </c>
      <c r="K76" s="19">
        <v>14</v>
      </c>
      <c r="L76" s="19">
        <f t="shared" si="1"/>
        <v>49</v>
      </c>
      <c r="M76" s="19">
        <f t="shared" si="2"/>
        <v>1</v>
      </c>
      <c r="N76" s="19" t="str">
        <f t="shared" si="3"/>
        <v>PASS</v>
      </c>
    </row>
    <row r="77" ht="14.25" customHeight="1" spans="4:14">
      <c r="D77" s="19">
        <v>63</v>
      </c>
      <c r="E77" s="22" t="str">
        <f>'SUB-1'!E77</f>
        <v>BTMC24O1063</v>
      </c>
      <c r="F77" s="19">
        <v>4</v>
      </c>
      <c r="G77" s="19">
        <v>13</v>
      </c>
      <c r="H77" s="19">
        <v>3</v>
      </c>
      <c r="I77" s="19">
        <v>8</v>
      </c>
      <c r="J77" s="19">
        <f t="shared" si="0"/>
        <v>11</v>
      </c>
      <c r="K77" s="19">
        <v>21</v>
      </c>
      <c r="L77" s="19">
        <f t="shared" si="1"/>
        <v>49</v>
      </c>
      <c r="M77" s="19">
        <f t="shared" si="2"/>
        <v>1</v>
      </c>
      <c r="N77" s="19" t="str">
        <f t="shared" si="3"/>
        <v>PASS</v>
      </c>
    </row>
    <row r="78" ht="14.25" customHeight="1" spans="4:14">
      <c r="D78" s="19">
        <v>64</v>
      </c>
      <c r="E78" s="22" t="str">
        <f>'SUB-1'!E78</f>
        <v>BTMC24O1064</v>
      </c>
      <c r="F78" s="19">
        <v>9</v>
      </c>
      <c r="G78" s="19">
        <v>11</v>
      </c>
      <c r="H78" s="19">
        <v>0</v>
      </c>
      <c r="I78" s="19">
        <v>8</v>
      </c>
      <c r="J78" s="19">
        <f t="shared" si="0"/>
        <v>8</v>
      </c>
      <c r="K78" s="19">
        <v>14</v>
      </c>
      <c r="L78" s="19">
        <f t="shared" si="1"/>
        <v>42</v>
      </c>
      <c r="M78" s="19">
        <f t="shared" si="2"/>
        <v>1</v>
      </c>
      <c r="N78" s="19" t="str">
        <f t="shared" si="3"/>
        <v>PASS</v>
      </c>
    </row>
    <row r="79" ht="14.25" customHeight="1" spans="4:14">
      <c r="D79" s="19">
        <v>65</v>
      </c>
      <c r="E79" s="22" t="str">
        <f>'SUB-1'!E79</f>
        <v>BTMC24O1065</v>
      </c>
      <c r="F79" s="19">
        <v>1</v>
      </c>
      <c r="G79" s="19">
        <v>7</v>
      </c>
      <c r="H79" s="19">
        <v>0</v>
      </c>
      <c r="I79" s="19">
        <v>17</v>
      </c>
      <c r="J79" s="19">
        <f t="shared" ref="J79:J114" si="4">H79+I79</f>
        <v>17</v>
      </c>
      <c r="K79" s="19">
        <v>15</v>
      </c>
      <c r="L79" s="19">
        <f t="shared" ref="L79:L114" si="5">K79+J79+G79+F79</f>
        <v>40</v>
      </c>
      <c r="M79" s="19">
        <f t="shared" ref="M79:M114" si="6">IF(L79&gt;75,3,IF(L79&gt;50,2,IF(L79&gt;35,1,0)))</f>
        <v>1</v>
      </c>
      <c r="N79" s="19" t="str">
        <f t="shared" ref="N79:N114" si="7">IF(L79&lt;35,"FAIL","PASS")</f>
        <v>PASS</v>
      </c>
    </row>
    <row r="80" ht="14.25" customHeight="1" spans="4:14">
      <c r="D80" s="19">
        <v>66</v>
      </c>
      <c r="E80" s="22" t="str">
        <f>'SUB-1'!E80</f>
        <v>BTMC24O1066</v>
      </c>
      <c r="F80" s="19">
        <v>6</v>
      </c>
      <c r="G80" s="19">
        <v>0</v>
      </c>
      <c r="H80" s="19">
        <v>4</v>
      </c>
      <c r="I80" s="19">
        <v>0</v>
      </c>
      <c r="J80" s="19">
        <f t="shared" si="4"/>
        <v>4</v>
      </c>
      <c r="K80" s="19">
        <v>18</v>
      </c>
      <c r="L80" s="19">
        <f t="shared" si="5"/>
        <v>28</v>
      </c>
      <c r="M80" s="19">
        <f t="shared" si="6"/>
        <v>0</v>
      </c>
      <c r="N80" s="19" t="str">
        <f t="shared" si="7"/>
        <v>FAIL</v>
      </c>
    </row>
    <row r="81" ht="14.25" customHeight="1" spans="4:14">
      <c r="D81" s="19">
        <v>67</v>
      </c>
      <c r="E81" s="22" t="str">
        <f>'SUB-1'!E81</f>
        <v>BTMC24O1067</v>
      </c>
      <c r="F81" s="19">
        <v>2</v>
      </c>
      <c r="G81" s="19">
        <v>3</v>
      </c>
      <c r="H81" s="19">
        <v>6</v>
      </c>
      <c r="I81" s="19">
        <v>9</v>
      </c>
      <c r="J81" s="19">
        <f t="shared" si="4"/>
        <v>15</v>
      </c>
      <c r="K81" s="19">
        <v>19</v>
      </c>
      <c r="L81" s="19">
        <f t="shared" si="5"/>
        <v>39</v>
      </c>
      <c r="M81" s="19">
        <f t="shared" si="6"/>
        <v>1</v>
      </c>
      <c r="N81" s="19" t="str">
        <f t="shared" si="7"/>
        <v>PASS</v>
      </c>
    </row>
    <row r="82" ht="14.25" customHeight="1" spans="4:14">
      <c r="D82" s="19">
        <v>68</v>
      </c>
      <c r="E82" s="22" t="str">
        <f>'SUB-1'!E82</f>
        <v>BTMC24O1068</v>
      </c>
      <c r="F82" s="19">
        <v>0</v>
      </c>
      <c r="G82" s="19">
        <v>7</v>
      </c>
      <c r="H82" s="19">
        <v>9</v>
      </c>
      <c r="I82" s="19">
        <v>10</v>
      </c>
      <c r="J82" s="19">
        <f t="shared" si="4"/>
        <v>19</v>
      </c>
      <c r="K82" s="19">
        <v>12</v>
      </c>
      <c r="L82" s="19">
        <f t="shared" si="5"/>
        <v>38</v>
      </c>
      <c r="M82" s="19">
        <f t="shared" si="6"/>
        <v>1</v>
      </c>
      <c r="N82" s="19" t="str">
        <f t="shared" si="7"/>
        <v>PASS</v>
      </c>
    </row>
    <row r="83" ht="14.25" customHeight="1" spans="4:14">
      <c r="D83" s="19">
        <v>69</v>
      </c>
      <c r="E83" s="22" t="str">
        <f>'SUB-1'!E83</f>
        <v>BTMC24O1069</v>
      </c>
      <c r="F83" s="19">
        <v>2</v>
      </c>
      <c r="G83" s="19">
        <v>0</v>
      </c>
      <c r="H83" s="19">
        <v>10</v>
      </c>
      <c r="I83" s="19">
        <v>20</v>
      </c>
      <c r="J83" s="19">
        <f t="shared" si="4"/>
        <v>30</v>
      </c>
      <c r="K83" s="19">
        <v>21</v>
      </c>
      <c r="L83" s="19">
        <f t="shared" si="5"/>
        <v>53</v>
      </c>
      <c r="M83" s="19">
        <f t="shared" si="6"/>
        <v>2</v>
      </c>
      <c r="N83" s="19" t="str">
        <f t="shared" si="7"/>
        <v>PASS</v>
      </c>
    </row>
    <row r="84" ht="14.25" customHeight="1" spans="4:14">
      <c r="D84" s="19">
        <v>70</v>
      </c>
      <c r="E84" s="22" t="str">
        <f>'SUB-1'!E84</f>
        <v>BTMC24O1070</v>
      </c>
      <c r="F84" s="19">
        <v>17</v>
      </c>
      <c r="G84" s="19">
        <v>20</v>
      </c>
      <c r="H84" s="19">
        <v>0</v>
      </c>
      <c r="I84" s="19">
        <v>3</v>
      </c>
      <c r="J84" s="19">
        <f t="shared" si="4"/>
        <v>3</v>
      </c>
      <c r="K84" s="19">
        <v>15</v>
      </c>
      <c r="L84" s="19">
        <f t="shared" si="5"/>
        <v>55</v>
      </c>
      <c r="M84" s="19">
        <f t="shared" si="6"/>
        <v>2</v>
      </c>
      <c r="N84" s="19" t="str">
        <f t="shared" si="7"/>
        <v>PASS</v>
      </c>
    </row>
    <row r="85" ht="14.25" customHeight="1" spans="4:14">
      <c r="D85" s="19">
        <v>71</v>
      </c>
      <c r="E85" s="22" t="str">
        <f>'SUB-1'!E85</f>
        <v>BTMC24O1071</v>
      </c>
      <c r="F85" s="19">
        <v>5</v>
      </c>
      <c r="G85" s="19">
        <v>0</v>
      </c>
      <c r="H85" s="19">
        <v>0</v>
      </c>
      <c r="I85" s="19">
        <v>16</v>
      </c>
      <c r="J85" s="19">
        <f t="shared" si="4"/>
        <v>16</v>
      </c>
      <c r="K85" s="19">
        <v>1</v>
      </c>
      <c r="L85" s="19">
        <f t="shared" si="5"/>
        <v>22</v>
      </c>
      <c r="M85" s="19">
        <f t="shared" si="6"/>
        <v>0</v>
      </c>
      <c r="N85" s="19" t="str">
        <f t="shared" si="7"/>
        <v>FAIL</v>
      </c>
    </row>
    <row r="86" ht="14.25" customHeight="1" spans="4:14">
      <c r="D86" s="19">
        <v>72</v>
      </c>
      <c r="E86" s="22" t="str">
        <f>'SUB-1'!E86</f>
        <v>BTMC24O1072</v>
      </c>
      <c r="F86" s="19">
        <v>17</v>
      </c>
      <c r="G86" s="19">
        <v>19</v>
      </c>
      <c r="H86" s="19">
        <v>0</v>
      </c>
      <c r="I86" s="19">
        <v>8</v>
      </c>
      <c r="J86" s="19">
        <f t="shared" si="4"/>
        <v>8</v>
      </c>
      <c r="K86" s="19">
        <v>23</v>
      </c>
      <c r="L86" s="19">
        <f t="shared" si="5"/>
        <v>67</v>
      </c>
      <c r="M86" s="19">
        <f t="shared" si="6"/>
        <v>2</v>
      </c>
      <c r="N86" s="19" t="str">
        <f t="shared" si="7"/>
        <v>PASS</v>
      </c>
    </row>
    <row r="87" ht="14.25" customHeight="1" spans="4:14">
      <c r="D87" s="19">
        <v>73</v>
      </c>
      <c r="E87" s="22" t="str">
        <f>'SUB-1'!E87</f>
        <v>BTMC24O1073</v>
      </c>
      <c r="F87" s="19">
        <v>9</v>
      </c>
      <c r="G87" s="19">
        <v>3</v>
      </c>
      <c r="H87" s="19">
        <v>5</v>
      </c>
      <c r="I87" s="19">
        <v>10</v>
      </c>
      <c r="J87" s="19">
        <f t="shared" si="4"/>
        <v>15</v>
      </c>
      <c r="K87" s="19">
        <v>20</v>
      </c>
      <c r="L87" s="19">
        <f t="shared" si="5"/>
        <v>47</v>
      </c>
      <c r="M87" s="19">
        <f t="shared" si="6"/>
        <v>1</v>
      </c>
      <c r="N87" s="19" t="str">
        <f t="shared" si="7"/>
        <v>PASS</v>
      </c>
    </row>
    <row r="88" ht="14.25" customHeight="1" spans="4:14">
      <c r="D88" s="19">
        <v>74</v>
      </c>
      <c r="E88" s="22" t="str">
        <f>'SUB-1'!E88</f>
        <v>BTMC24O1074</v>
      </c>
      <c r="F88" s="19">
        <v>20</v>
      </c>
      <c r="G88" s="19">
        <v>11</v>
      </c>
      <c r="H88" s="19">
        <v>5</v>
      </c>
      <c r="I88" s="19">
        <v>5</v>
      </c>
      <c r="J88" s="19">
        <f t="shared" si="4"/>
        <v>10</v>
      </c>
      <c r="K88" s="19">
        <v>11</v>
      </c>
      <c r="L88" s="19">
        <f t="shared" si="5"/>
        <v>52</v>
      </c>
      <c r="M88" s="19">
        <f t="shared" si="6"/>
        <v>2</v>
      </c>
      <c r="N88" s="19" t="str">
        <f t="shared" si="7"/>
        <v>PASS</v>
      </c>
    </row>
    <row r="89" ht="14.25" customHeight="1" spans="4:14">
      <c r="D89" s="19">
        <v>75</v>
      </c>
      <c r="E89" s="22" t="str">
        <f>'SUB-1'!E89</f>
        <v>BTMC24O1075</v>
      </c>
      <c r="F89" s="19">
        <v>14</v>
      </c>
      <c r="G89" s="19">
        <v>12</v>
      </c>
      <c r="H89" s="19">
        <v>8</v>
      </c>
      <c r="I89" s="19">
        <v>8</v>
      </c>
      <c r="J89" s="19">
        <f t="shared" si="4"/>
        <v>16</v>
      </c>
      <c r="K89" s="19">
        <v>29</v>
      </c>
      <c r="L89" s="19">
        <f t="shared" si="5"/>
        <v>71</v>
      </c>
      <c r="M89" s="19">
        <f t="shared" si="6"/>
        <v>2</v>
      </c>
      <c r="N89" s="19" t="str">
        <f t="shared" si="7"/>
        <v>PASS</v>
      </c>
    </row>
    <row r="90" ht="14.25" customHeight="1" spans="4:14">
      <c r="D90" s="19">
        <v>76</v>
      </c>
      <c r="E90" s="22" t="str">
        <f>'SUB-1'!E90</f>
        <v>BTMC24O1076</v>
      </c>
      <c r="F90" s="19">
        <v>5</v>
      </c>
      <c r="G90" s="19">
        <v>3</v>
      </c>
      <c r="H90" s="19">
        <v>10</v>
      </c>
      <c r="I90" s="19">
        <v>8</v>
      </c>
      <c r="J90" s="19">
        <f t="shared" si="4"/>
        <v>18</v>
      </c>
      <c r="K90" s="19">
        <v>1</v>
      </c>
      <c r="L90" s="19">
        <f t="shared" si="5"/>
        <v>27</v>
      </c>
      <c r="M90" s="19">
        <f t="shared" si="6"/>
        <v>0</v>
      </c>
      <c r="N90" s="19" t="str">
        <f t="shared" si="7"/>
        <v>FAIL</v>
      </c>
    </row>
    <row r="91" ht="14.25" customHeight="1" spans="4:14">
      <c r="D91" s="19">
        <v>77</v>
      </c>
      <c r="E91" s="22" t="str">
        <f>'SUB-1'!E91</f>
        <v>BTMC24O1077</v>
      </c>
      <c r="F91" s="19">
        <v>0</v>
      </c>
      <c r="G91" s="19">
        <v>10</v>
      </c>
      <c r="H91" s="19">
        <v>3</v>
      </c>
      <c r="I91" s="19">
        <v>20</v>
      </c>
      <c r="J91" s="19">
        <f t="shared" si="4"/>
        <v>23</v>
      </c>
      <c r="K91" s="19">
        <v>28</v>
      </c>
      <c r="L91" s="19">
        <f t="shared" si="5"/>
        <v>61</v>
      </c>
      <c r="M91" s="19">
        <f t="shared" si="6"/>
        <v>2</v>
      </c>
      <c r="N91" s="19" t="str">
        <f t="shared" si="7"/>
        <v>PASS</v>
      </c>
    </row>
    <row r="92" ht="14.25" customHeight="1" spans="4:14">
      <c r="D92" s="19">
        <v>78</v>
      </c>
      <c r="E92" s="22" t="str">
        <f>'SUB-1'!E92</f>
        <v>BTMC24O1078</v>
      </c>
      <c r="F92" s="19">
        <v>12</v>
      </c>
      <c r="G92" s="19">
        <v>18</v>
      </c>
      <c r="H92" s="19">
        <v>6</v>
      </c>
      <c r="I92" s="19">
        <v>14</v>
      </c>
      <c r="J92" s="19">
        <f t="shared" si="4"/>
        <v>20</v>
      </c>
      <c r="K92" s="19">
        <v>0</v>
      </c>
      <c r="L92" s="19">
        <f t="shared" si="5"/>
        <v>50</v>
      </c>
      <c r="M92" s="19">
        <f t="shared" si="6"/>
        <v>1</v>
      </c>
      <c r="N92" s="19" t="str">
        <f t="shared" si="7"/>
        <v>PASS</v>
      </c>
    </row>
    <row r="93" ht="14.25" customHeight="1" spans="4:14">
      <c r="D93" s="19">
        <v>79</v>
      </c>
      <c r="E93" s="22" t="str">
        <f>'SUB-1'!E93</f>
        <v>BTMC24O1079</v>
      </c>
      <c r="F93" s="19">
        <v>8</v>
      </c>
      <c r="G93" s="19">
        <v>12</v>
      </c>
      <c r="H93" s="19">
        <v>6</v>
      </c>
      <c r="I93" s="19">
        <v>0</v>
      </c>
      <c r="J93" s="19">
        <f t="shared" si="4"/>
        <v>6</v>
      </c>
      <c r="K93" s="19">
        <v>20</v>
      </c>
      <c r="L93" s="19">
        <f t="shared" si="5"/>
        <v>46</v>
      </c>
      <c r="M93" s="19">
        <f t="shared" si="6"/>
        <v>1</v>
      </c>
      <c r="N93" s="19" t="str">
        <f t="shared" si="7"/>
        <v>PASS</v>
      </c>
    </row>
    <row r="94" ht="14.25" customHeight="1" spans="4:14">
      <c r="D94" s="19">
        <v>80</v>
      </c>
      <c r="E94" s="22" t="str">
        <f>'SUB-1'!E94</f>
        <v>BTMC24O1080</v>
      </c>
      <c r="F94" s="19">
        <v>5</v>
      </c>
      <c r="G94" s="19">
        <v>1</v>
      </c>
      <c r="H94" s="19">
        <v>0</v>
      </c>
      <c r="I94" s="19">
        <v>1</v>
      </c>
      <c r="J94" s="19">
        <f t="shared" si="4"/>
        <v>1</v>
      </c>
      <c r="K94" s="19">
        <v>21</v>
      </c>
      <c r="L94" s="19">
        <f t="shared" si="5"/>
        <v>28</v>
      </c>
      <c r="M94" s="19">
        <f t="shared" si="6"/>
        <v>0</v>
      </c>
      <c r="N94" s="19" t="str">
        <f t="shared" si="7"/>
        <v>FAIL</v>
      </c>
    </row>
    <row r="95" ht="14.25" customHeight="1" spans="4:14">
      <c r="D95" s="19">
        <v>81</v>
      </c>
      <c r="E95" s="22" t="str">
        <f>'SUB-1'!E95</f>
        <v>BTMC24O1081</v>
      </c>
      <c r="F95" s="19">
        <v>3</v>
      </c>
      <c r="G95" s="19">
        <v>16</v>
      </c>
      <c r="H95" s="19">
        <v>2</v>
      </c>
      <c r="I95" s="19">
        <v>1</v>
      </c>
      <c r="J95" s="19">
        <f t="shared" si="4"/>
        <v>3</v>
      </c>
      <c r="K95" s="19">
        <v>14</v>
      </c>
      <c r="L95" s="19">
        <f t="shared" si="5"/>
        <v>36</v>
      </c>
      <c r="M95" s="19">
        <f t="shared" si="6"/>
        <v>1</v>
      </c>
      <c r="N95" s="19" t="str">
        <f t="shared" si="7"/>
        <v>PASS</v>
      </c>
    </row>
    <row r="96" ht="14.25" customHeight="1" spans="4:14">
      <c r="D96" s="19">
        <v>82</v>
      </c>
      <c r="E96" s="22" t="str">
        <f>'SUB-1'!E96</f>
        <v>BTMC24O1082</v>
      </c>
      <c r="F96" s="19">
        <v>19</v>
      </c>
      <c r="G96" s="19">
        <v>5</v>
      </c>
      <c r="H96" s="19">
        <v>9</v>
      </c>
      <c r="I96" s="19">
        <v>14</v>
      </c>
      <c r="J96" s="19">
        <f t="shared" si="4"/>
        <v>23</v>
      </c>
      <c r="K96" s="19">
        <v>0</v>
      </c>
      <c r="L96" s="19">
        <f t="shared" si="5"/>
        <v>47</v>
      </c>
      <c r="M96" s="19">
        <f t="shared" si="6"/>
        <v>1</v>
      </c>
      <c r="N96" s="19" t="str">
        <f t="shared" si="7"/>
        <v>PASS</v>
      </c>
    </row>
    <row r="97" ht="14.25" customHeight="1" spans="4:14">
      <c r="D97" s="19">
        <v>83</v>
      </c>
      <c r="E97" s="22" t="str">
        <f>'SUB-1'!E97</f>
        <v>BTMC24O1083</v>
      </c>
      <c r="F97" s="19">
        <v>15</v>
      </c>
      <c r="G97" s="19">
        <v>14</v>
      </c>
      <c r="H97" s="19">
        <v>7</v>
      </c>
      <c r="I97" s="19">
        <v>13</v>
      </c>
      <c r="J97" s="19">
        <f t="shared" si="4"/>
        <v>20</v>
      </c>
      <c r="K97" s="19">
        <v>22</v>
      </c>
      <c r="L97" s="19">
        <f t="shared" si="5"/>
        <v>71</v>
      </c>
      <c r="M97" s="19">
        <f t="shared" si="6"/>
        <v>2</v>
      </c>
      <c r="N97" s="19" t="str">
        <f t="shared" si="7"/>
        <v>PASS</v>
      </c>
    </row>
    <row r="98" ht="14.25" customHeight="1" spans="4:14">
      <c r="D98" s="19">
        <v>84</v>
      </c>
      <c r="E98" s="22" t="str">
        <f>'SUB-1'!E98</f>
        <v>BTMC24O1084</v>
      </c>
      <c r="F98" s="19">
        <v>9</v>
      </c>
      <c r="G98" s="19">
        <v>8</v>
      </c>
      <c r="H98" s="19">
        <v>3</v>
      </c>
      <c r="I98" s="19">
        <v>14</v>
      </c>
      <c r="J98" s="19">
        <f t="shared" si="4"/>
        <v>17</v>
      </c>
      <c r="K98" s="19">
        <v>20</v>
      </c>
      <c r="L98" s="19">
        <f t="shared" si="5"/>
        <v>54</v>
      </c>
      <c r="M98" s="19">
        <f t="shared" si="6"/>
        <v>2</v>
      </c>
      <c r="N98" s="19" t="str">
        <f t="shared" si="7"/>
        <v>PASS</v>
      </c>
    </row>
    <row r="99" ht="14.25" customHeight="1" spans="4:14">
      <c r="D99" s="19">
        <v>85</v>
      </c>
      <c r="E99" s="22" t="str">
        <f>'SUB-1'!E99</f>
        <v>BTMC24O1085</v>
      </c>
      <c r="F99" s="19">
        <v>18</v>
      </c>
      <c r="G99" s="19">
        <v>6</v>
      </c>
      <c r="H99" s="19">
        <v>6</v>
      </c>
      <c r="I99" s="19">
        <v>16</v>
      </c>
      <c r="J99" s="19">
        <f t="shared" si="4"/>
        <v>22</v>
      </c>
      <c r="K99" s="19">
        <v>18</v>
      </c>
      <c r="L99" s="19">
        <f t="shared" si="5"/>
        <v>64</v>
      </c>
      <c r="M99" s="19">
        <f t="shared" si="6"/>
        <v>2</v>
      </c>
      <c r="N99" s="19" t="str">
        <f t="shared" si="7"/>
        <v>PASS</v>
      </c>
    </row>
    <row r="100" ht="14.25" customHeight="1" spans="4:14">
      <c r="D100" s="19">
        <v>86</v>
      </c>
      <c r="E100" s="22" t="str">
        <f>'SUB-1'!E100</f>
        <v>BTMC24O1086</v>
      </c>
      <c r="F100" s="19">
        <v>13</v>
      </c>
      <c r="G100" s="19">
        <v>13</v>
      </c>
      <c r="H100" s="19">
        <v>3</v>
      </c>
      <c r="I100" s="19">
        <v>14</v>
      </c>
      <c r="J100" s="19">
        <f t="shared" si="4"/>
        <v>17</v>
      </c>
      <c r="K100" s="19">
        <v>24</v>
      </c>
      <c r="L100" s="19">
        <f t="shared" si="5"/>
        <v>67</v>
      </c>
      <c r="M100" s="19">
        <f t="shared" si="6"/>
        <v>2</v>
      </c>
      <c r="N100" s="19" t="str">
        <f t="shared" si="7"/>
        <v>PASS</v>
      </c>
    </row>
    <row r="101" ht="14.25" customHeight="1" spans="4:14">
      <c r="D101" s="19">
        <v>87</v>
      </c>
      <c r="E101" s="22" t="str">
        <f>'SUB-1'!E101</f>
        <v>BTMC24O1087</v>
      </c>
      <c r="F101" s="19">
        <v>17</v>
      </c>
      <c r="G101" s="19">
        <v>19</v>
      </c>
      <c r="H101" s="19">
        <v>10</v>
      </c>
      <c r="I101" s="19">
        <v>20</v>
      </c>
      <c r="J101" s="19">
        <f t="shared" si="4"/>
        <v>30</v>
      </c>
      <c r="K101" s="19">
        <v>24</v>
      </c>
      <c r="L101" s="19">
        <f t="shared" si="5"/>
        <v>90</v>
      </c>
      <c r="M101" s="19">
        <f t="shared" si="6"/>
        <v>3</v>
      </c>
      <c r="N101" s="19" t="str">
        <f t="shared" si="7"/>
        <v>PASS</v>
      </c>
    </row>
    <row r="102" ht="14.25" customHeight="1" spans="4:14">
      <c r="D102" s="19">
        <v>88</v>
      </c>
      <c r="E102" s="22" t="str">
        <f>'SUB-1'!E102</f>
        <v>BTMC24O1088</v>
      </c>
      <c r="F102" s="19">
        <v>17</v>
      </c>
      <c r="G102" s="19">
        <v>18</v>
      </c>
      <c r="H102" s="19">
        <v>8</v>
      </c>
      <c r="I102" s="19">
        <v>13</v>
      </c>
      <c r="J102" s="19">
        <f t="shared" si="4"/>
        <v>21</v>
      </c>
      <c r="K102" s="19">
        <v>25</v>
      </c>
      <c r="L102" s="19">
        <f t="shared" si="5"/>
        <v>81</v>
      </c>
      <c r="M102" s="19">
        <f t="shared" si="6"/>
        <v>3</v>
      </c>
      <c r="N102" s="19" t="str">
        <f t="shared" si="7"/>
        <v>PASS</v>
      </c>
    </row>
    <row r="103" ht="14.25" customHeight="1" spans="4:14">
      <c r="D103" s="19">
        <v>89</v>
      </c>
      <c r="E103" s="22" t="str">
        <f>'SUB-1'!E103</f>
        <v>BTMC24O1089</v>
      </c>
      <c r="F103" s="19">
        <v>10</v>
      </c>
      <c r="G103" s="19">
        <v>5</v>
      </c>
      <c r="H103" s="19">
        <v>1</v>
      </c>
      <c r="I103" s="19">
        <v>11</v>
      </c>
      <c r="J103" s="19">
        <f t="shared" si="4"/>
        <v>12</v>
      </c>
      <c r="K103" s="19">
        <v>27</v>
      </c>
      <c r="L103" s="19">
        <f t="shared" si="5"/>
        <v>54</v>
      </c>
      <c r="M103" s="19">
        <f t="shared" si="6"/>
        <v>2</v>
      </c>
      <c r="N103" s="19" t="str">
        <f t="shared" si="7"/>
        <v>PASS</v>
      </c>
    </row>
    <row r="104" ht="14.25" customHeight="1" spans="4:14">
      <c r="D104" s="19">
        <v>90</v>
      </c>
      <c r="E104" s="22" t="str">
        <f>'SUB-1'!E104</f>
        <v>BTMC24O1090</v>
      </c>
      <c r="F104" s="19">
        <v>5</v>
      </c>
      <c r="G104" s="19">
        <v>2</v>
      </c>
      <c r="H104" s="19">
        <v>7</v>
      </c>
      <c r="I104" s="19">
        <v>5</v>
      </c>
      <c r="J104" s="19">
        <f t="shared" si="4"/>
        <v>12</v>
      </c>
      <c r="K104" s="19">
        <v>17</v>
      </c>
      <c r="L104" s="19">
        <f t="shared" si="5"/>
        <v>36</v>
      </c>
      <c r="M104" s="19">
        <f t="shared" si="6"/>
        <v>1</v>
      </c>
      <c r="N104" s="19" t="str">
        <f t="shared" si="7"/>
        <v>PASS</v>
      </c>
    </row>
    <row r="105" ht="14.25" customHeight="1" spans="4:14">
      <c r="D105" s="19">
        <v>91</v>
      </c>
      <c r="E105" s="22" t="str">
        <f>'SUB-1'!E105</f>
        <v>BTMC24O1091</v>
      </c>
      <c r="F105" s="19">
        <v>14</v>
      </c>
      <c r="G105" s="19">
        <v>17</v>
      </c>
      <c r="H105" s="19">
        <v>4</v>
      </c>
      <c r="I105" s="19">
        <v>3</v>
      </c>
      <c r="J105" s="19">
        <f t="shared" si="4"/>
        <v>7</v>
      </c>
      <c r="K105" s="19">
        <v>18</v>
      </c>
      <c r="L105" s="19">
        <f t="shared" si="5"/>
        <v>56</v>
      </c>
      <c r="M105" s="19">
        <f t="shared" si="6"/>
        <v>2</v>
      </c>
      <c r="N105" s="19" t="str">
        <f t="shared" si="7"/>
        <v>PASS</v>
      </c>
    </row>
    <row r="106" ht="14.25" customHeight="1" spans="4:14">
      <c r="D106" s="19">
        <v>92</v>
      </c>
      <c r="E106" s="22" t="str">
        <f>'SUB-1'!E106</f>
        <v>BTMC24O1092</v>
      </c>
      <c r="F106" s="19">
        <v>5</v>
      </c>
      <c r="G106" s="19">
        <v>2</v>
      </c>
      <c r="H106" s="19">
        <v>3</v>
      </c>
      <c r="I106" s="19">
        <v>19</v>
      </c>
      <c r="J106" s="19">
        <f t="shared" si="4"/>
        <v>22</v>
      </c>
      <c r="K106" s="19">
        <v>15</v>
      </c>
      <c r="L106" s="19">
        <f t="shared" si="5"/>
        <v>44</v>
      </c>
      <c r="M106" s="19">
        <f t="shared" si="6"/>
        <v>1</v>
      </c>
      <c r="N106" s="19" t="str">
        <f t="shared" si="7"/>
        <v>PASS</v>
      </c>
    </row>
    <row r="107" ht="14.25" customHeight="1" spans="4:14">
      <c r="D107" s="19">
        <v>93</v>
      </c>
      <c r="E107" s="22" t="str">
        <f>'SUB-1'!E107</f>
        <v>BTMC24O1093</v>
      </c>
      <c r="F107" s="19">
        <v>6</v>
      </c>
      <c r="G107" s="19">
        <v>5</v>
      </c>
      <c r="H107" s="19">
        <v>5</v>
      </c>
      <c r="I107" s="19">
        <v>11</v>
      </c>
      <c r="J107" s="19">
        <f t="shared" si="4"/>
        <v>16</v>
      </c>
      <c r="K107" s="19">
        <v>24</v>
      </c>
      <c r="L107" s="19">
        <f t="shared" si="5"/>
        <v>51</v>
      </c>
      <c r="M107" s="19">
        <f t="shared" si="6"/>
        <v>2</v>
      </c>
      <c r="N107" s="19" t="str">
        <f t="shared" si="7"/>
        <v>PASS</v>
      </c>
    </row>
    <row r="108" ht="14.25" customHeight="1" spans="4:14">
      <c r="D108" s="19">
        <v>94</v>
      </c>
      <c r="E108" s="22" t="str">
        <f>'SUB-1'!E108</f>
        <v>BTMC24O1094</v>
      </c>
      <c r="F108" s="19">
        <v>18</v>
      </c>
      <c r="G108" s="19">
        <v>19</v>
      </c>
      <c r="H108" s="19">
        <v>4</v>
      </c>
      <c r="I108" s="19">
        <v>7</v>
      </c>
      <c r="J108" s="19">
        <f t="shared" si="4"/>
        <v>11</v>
      </c>
      <c r="K108" s="19">
        <v>20</v>
      </c>
      <c r="L108" s="19">
        <f t="shared" si="5"/>
        <v>68</v>
      </c>
      <c r="M108" s="19">
        <f t="shared" si="6"/>
        <v>2</v>
      </c>
      <c r="N108" s="19" t="str">
        <f t="shared" si="7"/>
        <v>PASS</v>
      </c>
    </row>
    <row r="109" ht="14.25" customHeight="1" spans="4:14">
      <c r="D109" s="19">
        <v>95</v>
      </c>
      <c r="E109" s="22" t="str">
        <f>'SUB-1'!E109</f>
        <v>BTMC24O1095</v>
      </c>
      <c r="F109" s="19">
        <v>20</v>
      </c>
      <c r="G109" s="19">
        <v>11</v>
      </c>
      <c r="H109" s="19">
        <v>2</v>
      </c>
      <c r="I109" s="19">
        <v>11</v>
      </c>
      <c r="J109" s="19">
        <f t="shared" si="4"/>
        <v>13</v>
      </c>
      <c r="K109" s="19">
        <v>10</v>
      </c>
      <c r="L109" s="19">
        <f t="shared" si="5"/>
        <v>54</v>
      </c>
      <c r="M109" s="19">
        <f t="shared" si="6"/>
        <v>2</v>
      </c>
      <c r="N109" s="19" t="str">
        <f t="shared" si="7"/>
        <v>PASS</v>
      </c>
    </row>
    <row r="110" ht="14.25" customHeight="1" spans="4:14">
      <c r="D110" s="19">
        <v>96</v>
      </c>
      <c r="E110" s="22" t="str">
        <f>'SUB-1'!E110</f>
        <v>BTMC24O1096</v>
      </c>
      <c r="F110" s="19">
        <v>10</v>
      </c>
      <c r="G110" s="19">
        <v>20</v>
      </c>
      <c r="H110" s="19">
        <v>5</v>
      </c>
      <c r="I110" s="19">
        <v>0</v>
      </c>
      <c r="J110" s="19">
        <f t="shared" si="4"/>
        <v>5</v>
      </c>
      <c r="K110" s="19">
        <v>15</v>
      </c>
      <c r="L110" s="19">
        <f t="shared" si="5"/>
        <v>50</v>
      </c>
      <c r="M110" s="19">
        <f t="shared" si="6"/>
        <v>1</v>
      </c>
      <c r="N110" s="19" t="str">
        <f t="shared" si="7"/>
        <v>PASS</v>
      </c>
    </row>
    <row r="111" ht="14.25" customHeight="1" spans="4:14">
      <c r="D111" s="19">
        <v>97</v>
      </c>
      <c r="E111" s="22" t="str">
        <f>'SUB-1'!E111</f>
        <v>BTMC24O1097</v>
      </c>
      <c r="F111" s="19">
        <v>14</v>
      </c>
      <c r="G111" s="19">
        <v>2</v>
      </c>
      <c r="H111" s="19">
        <v>5</v>
      </c>
      <c r="I111" s="19">
        <v>10</v>
      </c>
      <c r="J111" s="19">
        <f t="shared" si="4"/>
        <v>15</v>
      </c>
      <c r="K111" s="19">
        <v>24</v>
      </c>
      <c r="L111" s="19">
        <f t="shared" si="5"/>
        <v>55</v>
      </c>
      <c r="M111" s="19">
        <f t="shared" si="6"/>
        <v>2</v>
      </c>
      <c r="N111" s="19" t="str">
        <f t="shared" si="7"/>
        <v>PASS</v>
      </c>
    </row>
    <row r="112" ht="14.25" customHeight="1" spans="4:14">
      <c r="D112" s="19">
        <v>98</v>
      </c>
      <c r="E112" s="22" t="str">
        <f>'SUB-1'!E112</f>
        <v>BTMC24O1098</v>
      </c>
      <c r="F112" s="19">
        <v>2</v>
      </c>
      <c r="G112" s="19">
        <v>16</v>
      </c>
      <c r="H112" s="19">
        <v>9</v>
      </c>
      <c r="I112" s="19">
        <v>11</v>
      </c>
      <c r="J112" s="19">
        <f t="shared" si="4"/>
        <v>20</v>
      </c>
      <c r="K112" s="19">
        <v>25</v>
      </c>
      <c r="L112" s="19">
        <f t="shared" si="5"/>
        <v>63</v>
      </c>
      <c r="M112" s="19">
        <f t="shared" si="6"/>
        <v>2</v>
      </c>
      <c r="N112" s="19" t="str">
        <f t="shared" si="7"/>
        <v>PASS</v>
      </c>
    </row>
    <row r="113" ht="14.25" customHeight="1" spans="4:14">
      <c r="D113" s="19">
        <v>99</v>
      </c>
      <c r="E113" s="22" t="str">
        <f>'SUB-1'!E113</f>
        <v>BTMC24O1099</v>
      </c>
      <c r="F113" s="19">
        <v>14</v>
      </c>
      <c r="G113" s="19">
        <v>2</v>
      </c>
      <c r="H113" s="19">
        <v>1</v>
      </c>
      <c r="I113" s="19">
        <v>13</v>
      </c>
      <c r="J113" s="19">
        <f t="shared" si="4"/>
        <v>14</v>
      </c>
      <c r="K113" s="19">
        <v>1</v>
      </c>
      <c r="L113" s="19">
        <f t="shared" si="5"/>
        <v>31</v>
      </c>
      <c r="M113" s="19">
        <f t="shared" si="6"/>
        <v>0</v>
      </c>
      <c r="N113" s="19" t="str">
        <f t="shared" si="7"/>
        <v>FAIL</v>
      </c>
    </row>
    <row r="114" ht="14.25" customHeight="1" spans="4:14">
      <c r="D114" s="19">
        <v>100</v>
      </c>
      <c r="E114" s="22" t="str">
        <f>'SUB-1'!E114</f>
        <v>BTMC24O1100</v>
      </c>
      <c r="F114" s="19">
        <v>1</v>
      </c>
      <c r="G114" s="19">
        <v>6</v>
      </c>
      <c r="H114" s="19">
        <v>9</v>
      </c>
      <c r="I114" s="19">
        <v>16</v>
      </c>
      <c r="J114" s="19">
        <f t="shared" si="4"/>
        <v>25</v>
      </c>
      <c r="K114" s="19">
        <v>4</v>
      </c>
      <c r="L114" s="19">
        <f t="shared" si="5"/>
        <v>36</v>
      </c>
      <c r="M114" s="19">
        <f t="shared" si="6"/>
        <v>1</v>
      </c>
      <c r="N114" s="19" t="str">
        <f t="shared" si="7"/>
        <v>PASS</v>
      </c>
    </row>
  </sheetData>
  <mergeCells count="8">
    <mergeCell ref="D4:Q4"/>
    <mergeCell ref="D5:Q5"/>
    <mergeCell ref="D6:Q6"/>
    <mergeCell ref="G7:L7"/>
    <mergeCell ref="D8:Q8"/>
    <mergeCell ref="D9:Q9"/>
    <mergeCell ref="P15:Q15"/>
    <mergeCell ref="D2:Q3"/>
  </mergeCells>
  <conditionalFormatting sqref="E15:E114">
    <cfRule type="expression" dxfId="2" priority="8">
      <formula>COUNTIF($E$15:$E$114,E15)&gt;1</formula>
    </cfRule>
  </conditionalFormatting>
  <conditionalFormatting sqref="F15:F114">
    <cfRule type="expression" dxfId="2" priority="3">
      <formula>OR(F15&lt;0,F15&gt;20,NOT(ISNUMBER(F15)))</formula>
    </cfRule>
  </conditionalFormatting>
  <conditionalFormatting sqref="G15:G114">
    <cfRule type="expression" dxfId="2" priority="4">
      <formula>OR(G15&lt;0,G15&gt;20,NOT(ISNUMBER(G15)))</formula>
    </cfRule>
  </conditionalFormatting>
  <conditionalFormatting sqref="H15:H114">
    <cfRule type="expression" dxfId="2" priority="5">
      <formula>OR(H15&lt;0,H15&gt;10,NOT(ISNUMBER(H15)))</formula>
    </cfRule>
  </conditionalFormatting>
  <conditionalFormatting sqref="I15:I114">
    <cfRule type="expression" dxfId="2" priority="6">
      <formula>OR(I15&lt;0,I15&gt;20,NOT(ISNUMBER(I15)))</formula>
    </cfRule>
  </conditionalFormatting>
  <conditionalFormatting sqref="K15:K114">
    <cfRule type="expression" dxfId="2" priority="7">
      <formula>OR(K15&lt;0,K15&gt;30,NOT(ISNUMBER(K15)))</formula>
    </cfRule>
  </conditionalFormatting>
  <conditionalFormatting sqref="N15:N114">
    <cfRule type="containsText" dxfId="0" priority="2" operator="between" text="FAIL">
      <formula>NOT(ISERROR(SEARCH("FAIL",N15)))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E15:E114">
      <formula1>11</formula1>
    </dataValidation>
    <dataValidation type="decimal" operator="between" allowBlank="1" showErrorMessage="1" errorTitle="Invalid mark" error="Enter a number between 0 and 10" sqref="H15:H114">
      <formula1>0</formula1>
      <formula2>10</formula2>
    </dataValidation>
    <dataValidation type="decimal" operator="between" allowBlank="1" showErrorMessage="1" errorTitle="Invalid mark" error="Enter a number between 0 and 20" sqref="I15:I114 F15:G114">
      <formula1>0</formula1>
      <formula2>20</formula2>
    </dataValidation>
    <dataValidation type="decimal" operator="between" allowBlank="1" showErrorMessage="1" errorTitle="Invalid mark" error="Enter a number between 0 and 30" sqref="K15:K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C1:Q114"/>
  <sheetViews>
    <sheetView zoomScale="80" zoomScaleNormal="80" topLeftCell="H7" workbookViewId="0">
      <selection activeCell="Y32" sqref="Y32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6.8055555555556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5.8055555555556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ht="14.25" customHeight="1" spans="3:17">
      <c r="C2" s="9"/>
      <c r="D2" s="11" t="s">
        <v>656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2.5" customHeight="1" spans="3:17">
      <c r="C4" s="9"/>
      <c r="D4" s="30" t="s">
        <v>657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ht="21" customHeight="1" spans="3:17">
      <c r="C5" s="9"/>
      <c r="D5" s="13" t="s">
        <v>658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9"/>
      <c r="E7" s="9"/>
      <c r="F7" s="9"/>
      <c r="G7" s="13" t="s">
        <v>659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25241105</v>
      </c>
      <c r="F11" s="17" t="s">
        <v>662</v>
      </c>
      <c r="G11" s="17"/>
      <c r="H11" s="17" t="s">
        <v>663</v>
      </c>
      <c r="I11" s="17"/>
    </row>
    <row r="12" ht="14.25" customHeight="1" spans="3:17">
      <c r="D12" s="18" t="s">
        <v>62</v>
      </c>
      <c r="E12" s="18" t="s">
        <v>63</v>
      </c>
      <c r="F12" s="18" t="s">
        <v>622</v>
      </c>
      <c r="G12" s="18" t="s">
        <v>623</v>
      </c>
      <c r="H12" s="18" t="s">
        <v>624</v>
      </c>
      <c r="I12" s="18" t="s">
        <v>625</v>
      </c>
      <c r="J12" s="18" t="s">
        <v>626</v>
      </c>
      <c r="K12" s="18" t="s">
        <v>627</v>
      </c>
      <c r="L12" s="18" t="s">
        <v>75</v>
      </c>
      <c r="M12" s="18" t="s">
        <v>47</v>
      </c>
      <c r="N12" s="18" t="s">
        <v>77</v>
      </c>
    </row>
    <row r="13" ht="14.25" customHeight="1" spans="3:17">
      <c r="D13" s="19"/>
      <c r="E13" s="19"/>
      <c r="F13" s="20">
        <v>20</v>
      </c>
      <c r="G13" s="20">
        <v>20</v>
      </c>
      <c r="H13" s="20">
        <v>10</v>
      </c>
      <c r="I13" s="20">
        <v>20</v>
      </c>
      <c r="J13" s="20">
        <v>30</v>
      </c>
      <c r="K13" s="20">
        <v>30</v>
      </c>
      <c r="L13" s="20">
        <v>100</v>
      </c>
      <c r="M13" s="20">
        <v>3</v>
      </c>
      <c r="N13" s="20" t="s">
        <v>79</v>
      </c>
    </row>
    <row r="14" ht="14.25" customHeight="1" spans="3:17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4.25" customHeight="1" spans="3:17">
      <c r="D15" s="19">
        <v>1</v>
      </c>
      <c r="E15" s="22" t="s">
        <v>90</v>
      </c>
      <c r="F15" s="19">
        <v>4</v>
      </c>
      <c r="G15" s="19">
        <v>10</v>
      </c>
      <c r="H15" s="19">
        <v>3</v>
      </c>
      <c r="I15" s="19">
        <v>8</v>
      </c>
      <c r="J15" s="19">
        <f t="shared" ref="J15:J78" si="0">H15+I15</f>
        <v>11</v>
      </c>
      <c r="K15" s="19">
        <v>24</v>
      </c>
      <c r="L15" s="19">
        <f t="shared" ref="L15:L78" si="1">K15+J15+G15+F15</f>
        <v>49</v>
      </c>
      <c r="M15" s="19">
        <f t="shared" ref="M15:M78" si="2">IF(L15&gt;75,3,IF(L15&gt;50,2,IF(L15&gt;35,1,0)))</f>
        <v>1</v>
      </c>
      <c r="N15" s="19" t="str">
        <f t="shared" ref="N15:N78" si="3">IF(L15&lt;35,"FAIL","PASS")</f>
        <v>PASS</v>
      </c>
      <c r="P15" s="25" t="s">
        <v>628</v>
      </c>
      <c r="Q15" s="25"/>
    </row>
    <row r="16" ht="14.25" customHeight="1" spans="3:17">
      <c r="D16" s="19">
        <v>2</v>
      </c>
      <c r="E16" s="22" t="s">
        <v>97</v>
      </c>
      <c r="F16" s="19">
        <v>6</v>
      </c>
      <c r="G16" s="19">
        <v>7</v>
      </c>
      <c r="H16" s="19">
        <v>2</v>
      </c>
      <c r="I16" s="19">
        <v>14</v>
      </c>
      <c r="J16" s="19">
        <f t="shared" si="0"/>
        <v>16</v>
      </c>
      <c r="K16" s="19">
        <v>26</v>
      </c>
      <c r="L16" s="19">
        <f t="shared" si="1"/>
        <v>55</v>
      </c>
      <c r="M16" s="19">
        <f t="shared" si="2"/>
        <v>2</v>
      </c>
      <c r="N16" s="19" t="str">
        <f t="shared" si="3"/>
        <v>PASS</v>
      </c>
      <c r="P16" s="1" t="s">
        <v>649</v>
      </c>
      <c r="Q16" s="1">
        <f>COUNTIF(N15:N114,"PASS")</f>
        <v>81</v>
      </c>
    </row>
    <row r="17" ht="14.25" customHeight="1" spans="4:17">
      <c r="D17" s="19">
        <v>3</v>
      </c>
      <c r="E17" s="22" t="s">
        <v>102</v>
      </c>
      <c r="F17" s="19">
        <v>19</v>
      </c>
      <c r="G17" s="19">
        <v>12</v>
      </c>
      <c r="H17" s="19">
        <v>10</v>
      </c>
      <c r="I17" s="19">
        <v>1</v>
      </c>
      <c r="J17" s="19">
        <f t="shared" si="0"/>
        <v>11</v>
      </c>
      <c r="K17" s="19">
        <v>22</v>
      </c>
      <c r="L17" s="19">
        <f t="shared" si="1"/>
        <v>64</v>
      </c>
      <c r="M17" s="19">
        <f t="shared" si="2"/>
        <v>2</v>
      </c>
      <c r="N17" s="19" t="str">
        <f t="shared" si="3"/>
        <v>PASS</v>
      </c>
      <c r="P17" s="1" t="s">
        <v>655</v>
      </c>
      <c r="Q17" s="1">
        <f>COUNTIF(N15:N114,"FAIL")</f>
        <v>19</v>
      </c>
    </row>
    <row r="18" ht="14.25" customHeight="1" spans="4:17">
      <c r="D18" s="19">
        <v>4</v>
      </c>
      <c r="E18" s="22" t="s">
        <v>107</v>
      </c>
      <c r="F18" s="19">
        <v>20</v>
      </c>
      <c r="G18" s="19">
        <v>6</v>
      </c>
      <c r="H18" s="19">
        <v>3</v>
      </c>
      <c r="I18" s="19">
        <v>2</v>
      </c>
      <c r="J18" s="19">
        <f t="shared" si="0"/>
        <v>5</v>
      </c>
      <c r="K18" s="19">
        <v>12</v>
      </c>
      <c r="L18" s="19">
        <f t="shared" si="1"/>
        <v>43</v>
      </c>
      <c r="M18" s="19">
        <f t="shared" si="2"/>
        <v>1</v>
      </c>
      <c r="N18" s="19" t="str">
        <f t="shared" si="3"/>
        <v>PASS</v>
      </c>
    </row>
    <row r="19" ht="14.25" customHeight="1" spans="4:17">
      <c r="D19" s="19">
        <v>5</v>
      </c>
      <c r="E19" s="22" t="s">
        <v>112</v>
      </c>
      <c r="F19" s="19">
        <v>11</v>
      </c>
      <c r="G19" s="19">
        <v>20</v>
      </c>
      <c r="H19" s="19">
        <v>2</v>
      </c>
      <c r="I19" s="19">
        <v>15</v>
      </c>
      <c r="J19" s="19">
        <f t="shared" si="0"/>
        <v>17</v>
      </c>
      <c r="K19" s="19">
        <v>3</v>
      </c>
      <c r="L19" s="19">
        <f t="shared" si="1"/>
        <v>51</v>
      </c>
      <c r="M19" s="19">
        <f t="shared" si="2"/>
        <v>2</v>
      </c>
      <c r="N19" s="19" t="str">
        <f t="shared" si="3"/>
        <v>PASS</v>
      </c>
    </row>
    <row r="20" ht="14.25" customHeight="1" spans="4:17">
      <c r="D20" s="19">
        <v>6</v>
      </c>
      <c r="E20" s="22" t="s">
        <v>117</v>
      </c>
      <c r="F20" s="19">
        <v>8</v>
      </c>
      <c r="G20" s="19">
        <v>20</v>
      </c>
      <c r="H20" s="19">
        <v>3</v>
      </c>
      <c r="I20" s="19">
        <v>18</v>
      </c>
      <c r="J20" s="19">
        <f t="shared" si="0"/>
        <v>21</v>
      </c>
      <c r="K20" s="19">
        <v>16</v>
      </c>
      <c r="L20" s="19">
        <f t="shared" si="1"/>
        <v>65</v>
      </c>
      <c r="M20" s="19">
        <f t="shared" si="2"/>
        <v>2</v>
      </c>
      <c r="N20" s="19" t="str">
        <f t="shared" si="3"/>
        <v>PASS</v>
      </c>
    </row>
    <row r="21" ht="14.25" customHeight="1" spans="4:17">
      <c r="D21" s="19">
        <v>7</v>
      </c>
      <c r="E21" s="22" t="s">
        <v>122</v>
      </c>
      <c r="F21" s="19">
        <v>14</v>
      </c>
      <c r="G21" s="19">
        <v>20</v>
      </c>
      <c r="H21" s="19">
        <v>5</v>
      </c>
      <c r="I21" s="19">
        <v>7</v>
      </c>
      <c r="J21" s="19">
        <f t="shared" si="0"/>
        <v>12</v>
      </c>
      <c r="K21" s="19">
        <v>18</v>
      </c>
      <c r="L21" s="19">
        <f t="shared" si="1"/>
        <v>64</v>
      </c>
      <c r="M21" s="19">
        <f t="shared" si="2"/>
        <v>2</v>
      </c>
      <c r="N21" s="19" t="str">
        <f t="shared" si="3"/>
        <v>PASS</v>
      </c>
    </row>
    <row r="22" ht="14.25" customHeight="1" spans="4:17">
      <c r="D22" s="19">
        <v>8</v>
      </c>
      <c r="E22" s="22" t="s">
        <v>127</v>
      </c>
      <c r="F22" s="19">
        <v>12</v>
      </c>
      <c r="G22" s="19">
        <v>3</v>
      </c>
      <c r="H22" s="19">
        <v>7</v>
      </c>
      <c r="I22" s="19">
        <v>18</v>
      </c>
      <c r="J22" s="19">
        <f t="shared" si="0"/>
        <v>25</v>
      </c>
      <c r="K22" s="19">
        <v>6</v>
      </c>
      <c r="L22" s="19">
        <f t="shared" si="1"/>
        <v>46</v>
      </c>
      <c r="M22" s="19">
        <f t="shared" si="2"/>
        <v>1</v>
      </c>
      <c r="N22" s="19" t="str">
        <f t="shared" si="3"/>
        <v>PASS</v>
      </c>
    </row>
    <row r="23" ht="14.25" customHeight="1" spans="4:17">
      <c r="D23" s="19">
        <v>9</v>
      </c>
      <c r="E23" s="22" t="s">
        <v>132</v>
      </c>
      <c r="F23" s="19">
        <v>5</v>
      </c>
      <c r="G23" s="19">
        <v>9</v>
      </c>
      <c r="H23" s="19">
        <v>7</v>
      </c>
      <c r="I23" s="19">
        <v>2</v>
      </c>
      <c r="J23" s="19">
        <f t="shared" si="0"/>
        <v>9</v>
      </c>
      <c r="K23" s="19">
        <v>4</v>
      </c>
      <c r="L23" s="19">
        <f t="shared" si="1"/>
        <v>27</v>
      </c>
      <c r="M23" s="19">
        <f t="shared" si="2"/>
        <v>0</v>
      </c>
      <c r="N23" s="19" t="str">
        <f t="shared" si="3"/>
        <v>FAIL</v>
      </c>
    </row>
    <row r="24" ht="14.25" customHeight="1" spans="4:17">
      <c r="D24" s="19">
        <v>10</v>
      </c>
      <c r="E24" s="22" t="s">
        <v>137</v>
      </c>
      <c r="F24" s="19">
        <v>18</v>
      </c>
      <c r="G24" s="19">
        <v>20</v>
      </c>
      <c r="H24" s="19">
        <v>4</v>
      </c>
      <c r="I24" s="19">
        <v>2</v>
      </c>
      <c r="J24" s="19">
        <f t="shared" si="0"/>
        <v>6</v>
      </c>
      <c r="K24" s="19">
        <v>7</v>
      </c>
      <c r="L24" s="19">
        <f t="shared" si="1"/>
        <v>51</v>
      </c>
      <c r="M24" s="19">
        <f t="shared" si="2"/>
        <v>2</v>
      </c>
      <c r="N24" s="19" t="str">
        <f t="shared" si="3"/>
        <v>PASS</v>
      </c>
    </row>
    <row r="25" ht="14.25" customHeight="1" spans="4:17">
      <c r="D25" s="19">
        <v>11</v>
      </c>
      <c r="E25" s="22" t="s">
        <v>141</v>
      </c>
      <c r="F25" s="19">
        <v>10</v>
      </c>
      <c r="G25" s="19">
        <v>17</v>
      </c>
      <c r="H25" s="19">
        <v>4</v>
      </c>
      <c r="I25" s="19">
        <v>19</v>
      </c>
      <c r="J25" s="19">
        <f t="shared" si="0"/>
        <v>23</v>
      </c>
      <c r="K25" s="19">
        <v>17</v>
      </c>
      <c r="L25" s="19">
        <f t="shared" si="1"/>
        <v>67</v>
      </c>
      <c r="M25" s="19">
        <f t="shared" si="2"/>
        <v>2</v>
      </c>
      <c r="N25" s="19" t="str">
        <f t="shared" si="3"/>
        <v>PASS</v>
      </c>
    </row>
    <row r="26" ht="14.25" customHeight="1" spans="4:17">
      <c r="D26" s="19">
        <v>12</v>
      </c>
      <c r="E26" s="22" t="s">
        <v>146</v>
      </c>
      <c r="F26" s="19">
        <v>3</v>
      </c>
      <c r="G26" s="19">
        <v>1</v>
      </c>
      <c r="H26" s="19">
        <v>1</v>
      </c>
      <c r="I26" s="19">
        <v>15</v>
      </c>
      <c r="J26" s="19">
        <f t="shared" si="0"/>
        <v>16</v>
      </c>
      <c r="K26" s="19">
        <v>24</v>
      </c>
      <c r="L26" s="19">
        <f t="shared" si="1"/>
        <v>44</v>
      </c>
      <c r="M26" s="19">
        <f t="shared" si="2"/>
        <v>1</v>
      </c>
      <c r="N26" s="19" t="str">
        <f t="shared" si="3"/>
        <v>PASS</v>
      </c>
    </row>
    <row r="27" ht="14.25" customHeight="1" spans="4:17">
      <c r="D27" s="19">
        <v>13</v>
      </c>
      <c r="E27" s="22" t="s">
        <v>151</v>
      </c>
      <c r="F27" s="19">
        <v>9</v>
      </c>
      <c r="G27" s="19">
        <v>9</v>
      </c>
      <c r="H27" s="19">
        <v>2</v>
      </c>
      <c r="I27" s="19">
        <v>10</v>
      </c>
      <c r="J27" s="19">
        <f t="shared" si="0"/>
        <v>12</v>
      </c>
      <c r="K27" s="19">
        <v>29</v>
      </c>
      <c r="L27" s="19">
        <f t="shared" si="1"/>
        <v>59</v>
      </c>
      <c r="M27" s="19">
        <f t="shared" si="2"/>
        <v>2</v>
      </c>
      <c r="N27" s="19" t="str">
        <f t="shared" si="3"/>
        <v>PASS</v>
      </c>
    </row>
    <row r="28" ht="14.25" customHeight="1" spans="4:17">
      <c r="D28" s="19">
        <v>14</v>
      </c>
      <c r="E28" s="22" t="s">
        <v>156</v>
      </c>
      <c r="F28" s="19">
        <v>3</v>
      </c>
      <c r="G28" s="19">
        <v>19</v>
      </c>
      <c r="H28" s="19">
        <v>0</v>
      </c>
      <c r="I28" s="19">
        <v>9</v>
      </c>
      <c r="J28" s="19">
        <f t="shared" si="0"/>
        <v>9</v>
      </c>
      <c r="K28" s="19">
        <v>3</v>
      </c>
      <c r="L28" s="19">
        <f t="shared" si="1"/>
        <v>34</v>
      </c>
      <c r="M28" s="19">
        <f t="shared" si="2"/>
        <v>0</v>
      </c>
      <c r="N28" s="19" t="str">
        <f t="shared" si="3"/>
        <v>FAIL</v>
      </c>
    </row>
    <row r="29" ht="14.25" customHeight="1" spans="4:17">
      <c r="D29" s="19">
        <v>15</v>
      </c>
      <c r="E29" s="22" t="s">
        <v>161</v>
      </c>
      <c r="F29" s="19">
        <v>12</v>
      </c>
      <c r="G29" s="19">
        <v>9</v>
      </c>
      <c r="H29" s="19">
        <v>0</v>
      </c>
      <c r="I29" s="19">
        <v>20</v>
      </c>
      <c r="J29" s="19">
        <f t="shared" si="0"/>
        <v>20</v>
      </c>
      <c r="K29" s="19">
        <v>9</v>
      </c>
      <c r="L29" s="19">
        <f t="shared" si="1"/>
        <v>50</v>
      </c>
      <c r="M29" s="19">
        <f t="shared" si="2"/>
        <v>1</v>
      </c>
      <c r="N29" s="19" t="str">
        <f t="shared" si="3"/>
        <v>PASS</v>
      </c>
    </row>
    <row r="30" ht="14.25" customHeight="1" spans="4:17">
      <c r="D30" s="19">
        <v>16</v>
      </c>
      <c r="E30" s="22" t="s">
        <v>166</v>
      </c>
      <c r="F30" s="19">
        <v>17</v>
      </c>
      <c r="G30" s="19">
        <v>13</v>
      </c>
      <c r="H30" s="19">
        <v>0</v>
      </c>
      <c r="I30" s="19">
        <v>13</v>
      </c>
      <c r="J30" s="19">
        <f t="shared" si="0"/>
        <v>13</v>
      </c>
      <c r="K30" s="19">
        <v>20</v>
      </c>
      <c r="L30" s="19">
        <f t="shared" si="1"/>
        <v>63</v>
      </c>
      <c r="M30" s="19">
        <f t="shared" si="2"/>
        <v>2</v>
      </c>
      <c r="N30" s="19" t="str">
        <f t="shared" si="3"/>
        <v>PASS</v>
      </c>
    </row>
    <row r="31" ht="14.25" customHeight="1" spans="4:17">
      <c r="D31" s="19">
        <v>17</v>
      </c>
      <c r="E31" s="22" t="s">
        <v>171</v>
      </c>
      <c r="F31" s="19">
        <v>13</v>
      </c>
      <c r="G31" s="19">
        <v>8</v>
      </c>
      <c r="H31" s="19">
        <v>3</v>
      </c>
      <c r="I31" s="19">
        <v>2</v>
      </c>
      <c r="J31" s="19">
        <f t="shared" si="0"/>
        <v>5</v>
      </c>
      <c r="K31" s="19">
        <v>2</v>
      </c>
      <c r="L31" s="19">
        <f t="shared" si="1"/>
        <v>28</v>
      </c>
      <c r="M31" s="19">
        <f t="shared" si="2"/>
        <v>0</v>
      </c>
      <c r="N31" s="19" t="str">
        <f t="shared" si="3"/>
        <v>FAIL</v>
      </c>
    </row>
    <row r="32" ht="14.25" customHeight="1" spans="4:17">
      <c r="D32" s="19">
        <v>18</v>
      </c>
      <c r="E32" s="22" t="s">
        <v>176</v>
      </c>
      <c r="F32" s="19">
        <v>12</v>
      </c>
      <c r="G32" s="19">
        <v>12</v>
      </c>
      <c r="H32" s="19">
        <v>7</v>
      </c>
      <c r="I32" s="19">
        <v>2</v>
      </c>
      <c r="J32" s="19">
        <f t="shared" si="0"/>
        <v>9</v>
      </c>
      <c r="K32" s="19">
        <v>10</v>
      </c>
      <c r="L32" s="19">
        <f t="shared" si="1"/>
        <v>43</v>
      </c>
      <c r="M32" s="19">
        <f t="shared" si="2"/>
        <v>1</v>
      </c>
      <c r="N32" s="19" t="str">
        <f t="shared" si="3"/>
        <v>PASS</v>
      </c>
    </row>
    <row r="33" ht="14.25" customHeight="1" spans="4:14">
      <c r="D33" s="19">
        <v>19</v>
      </c>
      <c r="E33" s="22" t="s">
        <v>181</v>
      </c>
      <c r="F33" s="19">
        <v>19</v>
      </c>
      <c r="G33" s="19">
        <v>20</v>
      </c>
      <c r="H33" s="19">
        <v>4</v>
      </c>
      <c r="I33" s="19">
        <v>18</v>
      </c>
      <c r="J33" s="19">
        <f t="shared" si="0"/>
        <v>22</v>
      </c>
      <c r="K33" s="19">
        <v>25</v>
      </c>
      <c r="L33" s="19">
        <f t="shared" si="1"/>
        <v>86</v>
      </c>
      <c r="M33" s="19">
        <f t="shared" si="2"/>
        <v>3</v>
      </c>
      <c r="N33" s="19" t="str">
        <f t="shared" si="3"/>
        <v>PASS</v>
      </c>
    </row>
    <row r="34" ht="14.25" customHeight="1" spans="4:14">
      <c r="D34" s="19">
        <v>20</v>
      </c>
      <c r="E34" s="22" t="s">
        <v>186</v>
      </c>
      <c r="F34" s="19">
        <v>16</v>
      </c>
      <c r="G34" s="19">
        <v>14</v>
      </c>
      <c r="H34" s="19">
        <v>3</v>
      </c>
      <c r="I34" s="19">
        <v>6</v>
      </c>
      <c r="J34" s="19">
        <f t="shared" si="0"/>
        <v>9</v>
      </c>
      <c r="K34" s="19">
        <v>23</v>
      </c>
      <c r="L34" s="19">
        <f t="shared" si="1"/>
        <v>62</v>
      </c>
      <c r="M34" s="19">
        <f t="shared" si="2"/>
        <v>2</v>
      </c>
      <c r="N34" s="19" t="str">
        <f t="shared" si="3"/>
        <v>PASS</v>
      </c>
    </row>
    <row r="35" ht="14.25" customHeight="1" spans="4:14">
      <c r="D35" s="19">
        <f>'SUB-1'!D35</f>
        <v>21</v>
      </c>
      <c r="E35" s="22" t="str">
        <f>'SUB-1'!E35</f>
        <v>BTMC24O1021</v>
      </c>
      <c r="F35" s="19">
        <v>13</v>
      </c>
      <c r="G35" s="19">
        <v>20</v>
      </c>
      <c r="H35" s="19">
        <v>7</v>
      </c>
      <c r="I35" s="19">
        <v>20</v>
      </c>
      <c r="J35" s="19">
        <f t="shared" si="0"/>
        <v>27</v>
      </c>
      <c r="K35" s="19">
        <v>20</v>
      </c>
      <c r="L35" s="19">
        <f t="shared" si="1"/>
        <v>80</v>
      </c>
      <c r="M35" s="19">
        <f t="shared" si="2"/>
        <v>3</v>
      </c>
      <c r="N35" s="19" t="str">
        <f t="shared" si="3"/>
        <v>PASS</v>
      </c>
    </row>
    <row r="36" ht="14.25" customHeight="1" spans="4:14">
      <c r="D36" s="19">
        <f>'SUB-1'!D36</f>
        <v>22</v>
      </c>
      <c r="E36" s="22" t="str">
        <f>'SUB-1'!E36</f>
        <v>BTMC24O1022</v>
      </c>
      <c r="F36" s="19">
        <v>12</v>
      </c>
      <c r="G36" s="19">
        <v>6</v>
      </c>
      <c r="H36" s="19">
        <v>0</v>
      </c>
      <c r="I36" s="19">
        <v>9</v>
      </c>
      <c r="J36" s="19">
        <f t="shared" si="0"/>
        <v>9</v>
      </c>
      <c r="K36" s="19">
        <v>17</v>
      </c>
      <c r="L36" s="19">
        <f t="shared" si="1"/>
        <v>44</v>
      </c>
      <c r="M36" s="19">
        <f t="shared" si="2"/>
        <v>1</v>
      </c>
      <c r="N36" s="19" t="str">
        <f t="shared" si="3"/>
        <v>PASS</v>
      </c>
    </row>
    <row r="37" ht="14.25" customHeight="1" spans="4:14">
      <c r="D37" s="19">
        <f>'SUB-1'!D37</f>
        <v>23</v>
      </c>
      <c r="E37" s="22" t="str">
        <f>'SUB-1'!E37</f>
        <v>BTMC24O1023</v>
      </c>
      <c r="F37" s="19">
        <v>9</v>
      </c>
      <c r="G37" s="19">
        <v>11</v>
      </c>
      <c r="H37" s="19">
        <v>9</v>
      </c>
      <c r="I37" s="19">
        <v>0</v>
      </c>
      <c r="J37" s="19">
        <f t="shared" si="0"/>
        <v>9</v>
      </c>
      <c r="K37" s="19">
        <v>16</v>
      </c>
      <c r="L37" s="19">
        <f t="shared" si="1"/>
        <v>45</v>
      </c>
      <c r="M37" s="19">
        <f t="shared" si="2"/>
        <v>1</v>
      </c>
      <c r="N37" s="19" t="str">
        <f t="shared" si="3"/>
        <v>PASS</v>
      </c>
    </row>
    <row r="38" ht="14.25" customHeight="1" spans="4:14">
      <c r="D38" s="19">
        <f>'SUB-1'!D38</f>
        <v>24</v>
      </c>
      <c r="E38" s="22" t="str">
        <f>'SUB-1'!E38</f>
        <v>BTMC24O1024</v>
      </c>
      <c r="F38" s="19">
        <v>14</v>
      </c>
      <c r="G38" s="19">
        <v>10</v>
      </c>
      <c r="H38" s="19">
        <v>1</v>
      </c>
      <c r="I38" s="19">
        <v>8</v>
      </c>
      <c r="J38" s="19">
        <f t="shared" si="0"/>
        <v>9</v>
      </c>
      <c r="K38" s="19">
        <v>22</v>
      </c>
      <c r="L38" s="19">
        <f t="shared" si="1"/>
        <v>55</v>
      </c>
      <c r="M38" s="19">
        <f t="shared" si="2"/>
        <v>2</v>
      </c>
      <c r="N38" s="19" t="str">
        <f t="shared" si="3"/>
        <v>PASS</v>
      </c>
    </row>
    <row r="39" ht="14.25" customHeight="1" spans="4:14">
      <c r="D39" s="19">
        <f>'SUB-1'!D39</f>
        <v>25</v>
      </c>
      <c r="E39" s="22" t="str">
        <f>'SUB-1'!E39</f>
        <v>BTMC24O1025</v>
      </c>
      <c r="F39" s="19">
        <v>1</v>
      </c>
      <c r="G39" s="19">
        <v>16</v>
      </c>
      <c r="H39" s="19">
        <v>7</v>
      </c>
      <c r="I39" s="19">
        <v>18</v>
      </c>
      <c r="J39" s="19">
        <f t="shared" si="0"/>
        <v>25</v>
      </c>
      <c r="K39" s="19">
        <v>23</v>
      </c>
      <c r="L39" s="19">
        <f t="shared" si="1"/>
        <v>65</v>
      </c>
      <c r="M39" s="19">
        <f t="shared" si="2"/>
        <v>2</v>
      </c>
      <c r="N39" s="19" t="str">
        <f t="shared" si="3"/>
        <v>PASS</v>
      </c>
    </row>
    <row r="40" ht="14.25" customHeight="1" spans="4:14">
      <c r="D40" s="19">
        <f>'SUB-1'!D40</f>
        <v>26</v>
      </c>
      <c r="E40" s="22" t="str">
        <f>'SUB-1'!E40</f>
        <v>BTMC24O1026</v>
      </c>
      <c r="F40" s="19">
        <v>8</v>
      </c>
      <c r="G40" s="19">
        <v>17</v>
      </c>
      <c r="H40" s="19">
        <v>8</v>
      </c>
      <c r="I40" s="19">
        <v>4</v>
      </c>
      <c r="J40" s="19">
        <f t="shared" si="0"/>
        <v>12</v>
      </c>
      <c r="K40" s="19">
        <v>14</v>
      </c>
      <c r="L40" s="19">
        <f t="shared" si="1"/>
        <v>51</v>
      </c>
      <c r="M40" s="19">
        <f t="shared" si="2"/>
        <v>2</v>
      </c>
      <c r="N40" s="19" t="str">
        <f t="shared" si="3"/>
        <v>PASS</v>
      </c>
    </row>
    <row r="41" ht="14.25" customHeight="1" spans="4:14">
      <c r="D41" s="19">
        <f>'SUB-1'!D41</f>
        <v>27</v>
      </c>
      <c r="E41" s="22" t="str">
        <f>'SUB-1'!E41</f>
        <v>BTMC24O1027</v>
      </c>
      <c r="F41" s="19">
        <v>14</v>
      </c>
      <c r="G41" s="19">
        <v>4</v>
      </c>
      <c r="H41" s="19">
        <v>9</v>
      </c>
      <c r="I41" s="19">
        <v>17</v>
      </c>
      <c r="J41" s="19">
        <f t="shared" si="0"/>
        <v>26</v>
      </c>
      <c r="K41" s="19">
        <v>24</v>
      </c>
      <c r="L41" s="19">
        <f t="shared" si="1"/>
        <v>68</v>
      </c>
      <c r="M41" s="19">
        <f t="shared" si="2"/>
        <v>2</v>
      </c>
      <c r="N41" s="19" t="str">
        <f t="shared" si="3"/>
        <v>PASS</v>
      </c>
    </row>
    <row r="42" ht="14.25" customHeight="1" spans="4:14">
      <c r="D42" s="19">
        <f>'SUB-1'!D42</f>
        <v>28</v>
      </c>
      <c r="E42" s="22" t="str">
        <f>'SUB-1'!E42</f>
        <v>BTMC24O1028</v>
      </c>
      <c r="F42" s="19">
        <v>20</v>
      </c>
      <c r="G42" s="19">
        <v>9</v>
      </c>
      <c r="H42" s="19">
        <v>0</v>
      </c>
      <c r="I42" s="19">
        <v>10</v>
      </c>
      <c r="J42" s="19">
        <f t="shared" si="0"/>
        <v>10</v>
      </c>
      <c r="K42" s="19">
        <v>1</v>
      </c>
      <c r="L42" s="19">
        <f t="shared" si="1"/>
        <v>40</v>
      </c>
      <c r="M42" s="19">
        <f t="shared" si="2"/>
        <v>1</v>
      </c>
      <c r="N42" s="19" t="str">
        <f t="shared" si="3"/>
        <v>PASS</v>
      </c>
    </row>
    <row r="43" ht="14.25" customHeight="1" spans="4:14">
      <c r="D43" s="19">
        <f>'SUB-1'!D43</f>
        <v>29</v>
      </c>
      <c r="E43" s="22" t="str">
        <f>'SUB-1'!E43</f>
        <v>BTMC24O1029</v>
      </c>
      <c r="F43" s="19">
        <v>6</v>
      </c>
      <c r="G43" s="19">
        <v>12</v>
      </c>
      <c r="H43" s="19">
        <v>6</v>
      </c>
      <c r="I43" s="19">
        <v>2</v>
      </c>
      <c r="J43" s="19">
        <f t="shared" si="0"/>
        <v>8</v>
      </c>
      <c r="K43" s="19">
        <v>22</v>
      </c>
      <c r="L43" s="19">
        <f t="shared" si="1"/>
        <v>48</v>
      </c>
      <c r="M43" s="19">
        <f t="shared" si="2"/>
        <v>1</v>
      </c>
      <c r="N43" s="19" t="str">
        <f t="shared" si="3"/>
        <v>PASS</v>
      </c>
    </row>
    <row r="44" ht="14.25" customHeight="1" spans="4:14">
      <c r="D44" s="19">
        <f>'SUB-1'!D44</f>
        <v>30</v>
      </c>
      <c r="E44" s="22" t="str">
        <f>'SUB-1'!E44</f>
        <v>BTMC24O1030</v>
      </c>
      <c r="F44" s="19">
        <v>0</v>
      </c>
      <c r="G44" s="19">
        <v>5</v>
      </c>
      <c r="H44" s="19">
        <v>7</v>
      </c>
      <c r="I44" s="19">
        <v>7</v>
      </c>
      <c r="J44" s="19">
        <f t="shared" si="0"/>
        <v>14</v>
      </c>
      <c r="K44" s="19">
        <v>30</v>
      </c>
      <c r="L44" s="19">
        <f t="shared" si="1"/>
        <v>49</v>
      </c>
      <c r="M44" s="19">
        <f t="shared" si="2"/>
        <v>1</v>
      </c>
      <c r="N44" s="19" t="str">
        <f t="shared" si="3"/>
        <v>PASS</v>
      </c>
    </row>
    <row r="45" ht="14.25" customHeight="1" spans="4:14">
      <c r="D45" s="19">
        <f>'SUB-1'!D45</f>
        <v>31</v>
      </c>
      <c r="E45" s="22" t="str">
        <f>'SUB-1'!E45</f>
        <v>BTMC24O1031</v>
      </c>
      <c r="F45" s="19">
        <v>7</v>
      </c>
      <c r="G45" s="19">
        <v>3</v>
      </c>
      <c r="H45" s="19">
        <v>9</v>
      </c>
      <c r="I45" s="19">
        <v>2</v>
      </c>
      <c r="J45" s="19">
        <f t="shared" si="0"/>
        <v>11</v>
      </c>
      <c r="K45" s="19">
        <v>15</v>
      </c>
      <c r="L45" s="19">
        <f t="shared" si="1"/>
        <v>36</v>
      </c>
      <c r="M45" s="19">
        <f t="shared" si="2"/>
        <v>1</v>
      </c>
      <c r="N45" s="19" t="str">
        <f t="shared" si="3"/>
        <v>PASS</v>
      </c>
    </row>
    <row r="46" ht="14.25" customHeight="1" spans="4:14">
      <c r="D46" s="19">
        <f>'SUB-1'!D46</f>
        <v>32</v>
      </c>
      <c r="E46" s="22" t="str">
        <f>'SUB-1'!E46</f>
        <v>BTMC24O1032</v>
      </c>
      <c r="F46" s="19">
        <v>18</v>
      </c>
      <c r="G46" s="19">
        <v>1</v>
      </c>
      <c r="H46" s="19">
        <v>3</v>
      </c>
      <c r="I46" s="19">
        <v>7</v>
      </c>
      <c r="J46" s="19">
        <f t="shared" si="0"/>
        <v>10</v>
      </c>
      <c r="K46" s="19">
        <v>4</v>
      </c>
      <c r="L46" s="19">
        <f t="shared" si="1"/>
        <v>33</v>
      </c>
      <c r="M46" s="19">
        <f t="shared" si="2"/>
        <v>0</v>
      </c>
      <c r="N46" s="19" t="str">
        <f t="shared" si="3"/>
        <v>FAIL</v>
      </c>
    </row>
    <row r="47" ht="14.25" customHeight="1" spans="4:14">
      <c r="D47" s="19">
        <f>'SUB-1'!D47</f>
        <v>33</v>
      </c>
      <c r="E47" s="22" t="str">
        <f>'SUB-1'!E47</f>
        <v>BTMC24O1033</v>
      </c>
      <c r="F47" s="19">
        <v>20</v>
      </c>
      <c r="G47" s="19">
        <v>20</v>
      </c>
      <c r="H47" s="19">
        <v>10</v>
      </c>
      <c r="I47" s="19">
        <v>7</v>
      </c>
      <c r="J47" s="19">
        <f t="shared" si="0"/>
        <v>17</v>
      </c>
      <c r="K47" s="19">
        <v>6</v>
      </c>
      <c r="L47" s="19">
        <f t="shared" si="1"/>
        <v>63</v>
      </c>
      <c r="M47" s="19">
        <f t="shared" si="2"/>
        <v>2</v>
      </c>
      <c r="N47" s="19" t="str">
        <f t="shared" si="3"/>
        <v>PASS</v>
      </c>
    </row>
    <row r="48" ht="14.25" customHeight="1" spans="4:14">
      <c r="D48" s="19">
        <f>'SUB-1'!D48</f>
        <v>34</v>
      </c>
      <c r="E48" s="22" t="str">
        <f>'SUB-1'!E48</f>
        <v>BTMC24O1034</v>
      </c>
      <c r="F48" s="19">
        <v>0</v>
      </c>
      <c r="G48" s="19">
        <v>20</v>
      </c>
      <c r="H48" s="19">
        <v>5</v>
      </c>
      <c r="I48" s="19">
        <v>20</v>
      </c>
      <c r="J48" s="19">
        <f t="shared" si="0"/>
        <v>25</v>
      </c>
      <c r="K48" s="19">
        <v>24</v>
      </c>
      <c r="L48" s="19">
        <f t="shared" si="1"/>
        <v>69</v>
      </c>
      <c r="M48" s="19">
        <f t="shared" si="2"/>
        <v>2</v>
      </c>
      <c r="N48" s="19" t="str">
        <f t="shared" si="3"/>
        <v>PASS</v>
      </c>
    </row>
    <row r="49" ht="14.25" customHeight="1" spans="4:14">
      <c r="D49" s="19">
        <f>'SUB-1'!D49</f>
        <v>35</v>
      </c>
      <c r="E49" s="22" t="str">
        <f>'SUB-1'!E49</f>
        <v>BTMC24O1035</v>
      </c>
      <c r="F49" s="19">
        <v>1</v>
      </c>
      <c r="G49" s="19">
        <v>11</v>
      </c>
      <c r="H49" s="19">
        <v>1</v>
      </c>
      <c r="I49" s="19">
        <v>6</v>
      </c>
      <c r="J49" s="19">
        <f t="shared" si="0"/>
        <v>7</v>
      </c>
      <c r="K49" s="19">
        <v>0</v>
      </c>
      <c r="L49" s="19">
        <f t="shared" si="1"/>
        <v>19</v>
      </c>
      <c r="M49" s="19">
        <f t="shared" si="2"/>
        <v>0</v>
      </c>
      <c r="N49" s="19" t="str">
        <f t="shared" si="3"/>
        <v>FAIL</v>
      </c>
    </row>
    <row r="50" ht="14.25" customHeight="1" spans="4:14">
      <c r="D50" s="19">
        <f>'SUB-1'!D50</f>
        <v>36</v>
      </c>
      <c r="E50" s="22" t="str">
        <f>'SUB-1'!E50</f>
        <v>BTMC24O1036</v>
      </c>
      <c r="F50" s="19">
        <v>18</v>
      </c>
      <c r="G50" s="19">
        <v>2</v>
      </c>
      <c r="H50" s="19">
        <v>4</v>
      </c>
      <c r="I50" s="19">
        <v>3</v>
      </c>
      <c r="J50" s="19">
        <f t="shared" si="0"/>
        <v>7</v>
      </c>
      <c r="K50" s="19">
        <v>12</v>
      </c>
      <c r="L50" s="19">
        <f t="shared" si="1"/>
        <v>39</v>
      </c>
      <c r="M50" s="19">
        <f t="shared" si="2"/>
        <v>1</v>
      </c>
      <c r="N50" s="19" t="str">
        <f t="shared" si="3"/>
        <v>PASS</v>
      </c>
    </row>
    <row r="51" ht="14.25" customHeight="1" spans="4:14">
      <c r="D51" s="19">
        <f>'SUB-1'!D51</f>
        <v>37</v>
      </c>
      <c r="E51" s="22" t="str">
        <f>'SUB-1'!E51</f>
        <v>BTMC24O1037</v>
      </c>
      <c r="F51" s="19">
        <v>17</v>
      </c>
      <c r="G51" s="19">
        <v>11</v>
      </c>
      <c r="H51" s="19">
        <v>2</v>
      </c>
      <c r="I51" s="19">
        <v>1</v>
      </c>
      <c r="J51" s="19">
        <f t="shared" si="0"/>
        <v>3</v>
      </c>
      <c r="K51" s="19">
        <v>2</v>
      </c>
      <c r="L51" s="19">
        <f t="shared" si="1"/>
        <v>33</v>
      </c>
      <c r="M51" s="19">
        <f t="shared" si="2"/>
        <v>0</v>
      </c>
      <c r="N51" s="19" t="str">
        <f t="shared" si="3"/>
        <v>FAIL</v>
      </c>
    </row>
    <row r="52" ht="14.25" customHeight="1" spans="4:14">
      <c r="D52" s="19">
        <f>'SUB-1'!D52</f>
        <v>38</v>
      </c>
      <c r="E52" s="22" t="str">
        <f>'SUB-1'!E52</f>
        <v>BTMC24O1038</v>
      </c>
      <c r="F52" s="19">
        <v>17</v>
      </c>
      <c r="G52" s="19">
        <v>7</v>
      </c>
      <c r="H52" s="19">
        <v>2</v>
      </c>
      <c r="I52" s="19">
        <v>1</v>
      </c>
      <c r="J52" s="19">
        <f t="shared" si="0"/>
        <v>3</v>
      </c>
      <c r="K52" s="19">
        <v>26</v>
      </c>
      <c r="L52" s="19">
        <f t="shared" si="1"/>
        <v>53</v>
      </c>
      <c r="M52" s="19">
        <f t="shared" si="2"/>
        <v>2</v>
      </c>
      <c r="N52" s="19" t="str">
        <f t="shared" si="3"/>
        <v>PASS</v>
      </c>
    </row>
    <row r="53" ht="14.25" customHeight="1" spans="4:14">
      <c r="D53" s="19">
        <f>'SUB-1'!D53</f>
        <v>39</v>
      </c>
      <c r="E53" s="22" t="str">
        <f>'SUB-1'!E53</f>
        <v>BTMC24O1039</v>
      </c>
      <c r="F53" s="19">
        <v>13</v>
      </c>
      <c r="G53" s="19">
        <v>8</v>
      </c>
      <c r="H53" s="19">
        <v>9</v>
      </c>
      <c r="I53" s="19">
        <v>12</v>
      </c>
      <c r="J53" s="19">
        <f t="shared" si="0"/>
        <v>21</v>
      </c>
      <c r="K53" s="19">
        <v>23</v>
      </c>
      <c r="L53" s="19">
        <f t="shared" si="1"/>
        <v>65</v>
      </c>
      <c r="M53" s="19">
        <f t="shared" si="2"/>
        <v>2</v>
      </c>
      <c r="N53" s="19" t="str">
        <f t="shared" si="3"/>
        <v>PASS</v>
      </c>
    </row>
    <row r="54" ht="14.25" customHeight="1" spans="4:14">
      <c r="D54" s="19">
        <f>'SUB-1'!D54</f>
        <v>40</v>
      </c>
      <c r="E54" s="22" t="str">
        <f>'SUB-1'!E54</f>
        <v>BTMC24O1040</v>
      </c>
      <c r="F54" s="19">
        <v>13</v>
      </c>
      <c r="G54" s="19">
        <v>3</v>
      </c>
      <c r="H54" s="19">
        <v>5</v>
      </c>
      <c r="I54" s="19">
        <v>20</v>
      </c>
      <c r="J54" s="19">
        <f t="shared" si="0"/>
        <v>25</v>
      </c>
      <c r="K54" s="19">
        <v>26</v>
      </c>
      <c r="L54" s="19">
        <f t="shared" si="1"/>
        <v>67</v>
      </c>
      <c r="M54" s="19">
        <f t="shared" si="2"/>
        <v>2</v>
      </c>
      <c r="N54" s="19" t="str">
        <f t="shared" si="3"/>
        <v>PASS</v>
      </c>
    </row>
    <row r="55" ht="14.25" customHeight="1" spans="4:14">
      <c r="D55" s="19">
        <f>'SUB-1'!D55</f>
        <v>41</v>
      </c>
      <c r="E55" s="22" t="str">
        <f>'SUB-1'!E55</f>
        <v>BTMC24O1041</v>
      </c>
      <c r="F55" s="19">
        <v>12</v>
      </c>
      <c r="G55" s="19">
        <v>9</v>
      </c>
      <c r="H55" s="19">
        <v>9</v>
      </c>
      <c r="I55" s="19">
        <v>2</v>
      </c>
      <c r="J55" s="19">
        <f t="shared" si="0"/>
        <v>11</v>
      </c>
      <c r="K55" s="19">
        <v>26</v>
      </c>
      <c r="L55" s="19">
        <f t="shared" si="1"/>
        <v>58</v>
      </c>
      <c r="M55" s="19">
        <f t="shared" si="2"/>
        <v>2</v>
      </c>
      <c r="N55" s="19" t="str">
        <f t="shared" si="3"/>
        <v>PASS</v>
      </c>
    </row>
    <row r="56" ht="14.25" customHeight="1" spans="4:14">
      <c r="D56" s="19">
        <f>'SUB-1'!D56</f>
        <v>42</v>
      </c>
      <c r="E56" s="22" t="str">
        <f>'SUB-1'!E56</f>
        <v>BTMC24O1042</v>
      </c>
      <c r="F56" s="19">
        <v>0</v>
      </c>
      <c r="G56" s="19">
        <v>8</v>
      </c>
      <c r="H56" s="19">
        <v>7</v>
      </c>
      <c r="I56" s="19">
        <v>14</v>
      </c>
      <c r="J56" s="19">
        <f t="shared" si="0"/>
        <v>21</v>
      </c>
      <c r="K56" s="19">
        <v>22</v>
      </c>
      <c r="L56" s="19">
        <f t="shared" si="1"/>
        <v>51</v>
      </c>
      <c r="M56" s="19">
        <f t="shared" si="2"/>
        <v>2</v>
      </c>
      <c r="N56" s="19" t="str">
        <f t="shared" si="3"/>
        <v>PASS</v>
      </c>
    </row>
    <row r="57" ht="14.25" customHeight="1" spans="4:14">
      <c r="D57" s="19">
        <f>'SUB-1'!D57</f>
        <v>43</v>
      </c>
      <c r="E57" s="22" t="str">
        <f>'SUB-1'!E57</f>
        <v>BTMC24O1043</v>
      </c>
      <c r="F57" s="19">
        <v>7</v>
      </c>
      <c r="G57" s="19">
        <v>18</v>
      </c>
      <c r="H57" s="19">
        <v>2</v>
      </c>
      <c r="I57" s="19">
        <v>19</v>
      </c>
      <c r="J57" s="19">
        <f t="shared" si="0"/>
        <v>21</v>
      </c>
      <c r="K57" s="19">
        <v>20</v>
      </c>
      <c r="L57" s="19">
        <f t="shared" si="1"/>
        <v>66</v>
      </c>
      <c r="M57" s="19">
        <f t="shared" si="2"/>
        <v>2</v>
      </c>
      <c r="N57" s="19" t="str">
        <f t="shared" si="3"/>
        <v>PASS</v>
      </c>
    </row>
    <row r="58" ht="14.25" customHeight="1" spans="4:14">
      <c r="D58" s="19">
        <f>'SUB-1'!D58</f>
        <v>44</v>
      </c>
      <c r="E58" s="22" t="str">
        <f>'SUB-1'!E58</f>
        <v>BTMC24O1044</v>
      </c>
      <c r="F58" s="19">
        <v>10</v>
      </c>
      <c r="G58" s="19">
        <v>13</v>
      </c>
      <c r="H58" s="19">
        <v>6</v>
      </c>
      <c r="I58" s="19">
        <v>14</v>
      </c>
      <c r="J58" s="19">
        <f t="shared" si="0"/>
        <v>20</v>
      </c>
      <c r="K58" s="19">
        <v>7</v>
      </c>
      <c r="L58" s="19">
        <f t="shared" si="1"/>
        <v>50</v>
      </c>
      <c r="M58" s="19">
        <f t="shared" si="2"/>
        <v>1</v>
      </c>
      <c r="N58" s="19" t="str">
        <f t="shared" si="3"/>
        <v>PASS</v>
      </c>
    </row>
    <row r="59" ht="14.25" customHeight="1" spans="4:14">
      <c r="D59" s="19">
        <f>'SUB-1'!D59</f>
        <v>45</v>
      </c>
      <c r="E59" s="22" t="str">
        <f>'SUB-1'!E59</f>
        <v>BTMC24O1045</v>
      </c>
      <c r="F59" s="19">
        <v>20</v>
      </c>
      <c r="G59" s="19">
        <v>1</v>
      </c>
      <c r="H59" s="19">
        <v>7</v>
      </c>
      <c r="I59" s="19">
        <v>14</v>
      </c>
      <c r="J59" s="19">
        <f t="shared" si="0"/>
        <v>21</v>
      </c>
      <c r="K59" s="19">
        <v>20</v>
      </c>
      <c r="L59" s="19">
        <f t="shared" si="1"/>
        <v>62</v>
      </c>
      <c r="M59" s="19">
        <f t="shared" si="2"/>
        <v>2</v>
      </c>
      <c r="N59" s="19" t="str">
        <f t="shared" si="3"/>
        <v>PASS</v>
      </c>
    </row>
    <row r="60" ht="14.25" customHeight="1" spans="4:14">
      <c r="D60" s="19">
        <f>'SUB-1'!D60</f>
        <v>46</v>
      </c>
      <c r="E60" s="22" t="str">
        <f>'SUB-1'!E60</f>
        <v>BTMC24O1046</v>
      </c>
      <c r="F60" s="19">
        <v>4</v>
      </c>
      <c r="G60" s="19">
        <v>7</v>
      </c>
      <c r="H60" s="19">
        <v>6</v>
      </c>
      <c r="I60" s="19">
        <v>18</v>
      </c>
      <c r="J60" s="19">
        <f t="shared" si="0"/>
        <v>24</v>
      </c>
      <c r="K60" s="19">
        <v>18</v>
      </c>
      <c r="L60" s="19">
        <f t="shared" si="1"/>
        <v>53</v>
      </c>
      <c r="M60" s="19">
        <f t="shared" si="2"/>
        <v>2</v>
      </c>
      <c r="N60" s="19" t="str">
        <f t="shared" si="3"/>
        <v>PASS</v>
      </c>
    </row>
    <row r="61" ht="14.25" customHeight="1" spans="4:14">
      <c r="D61" s="19">
        <f>'SUB-1'!D61</f>
        <v>47</v>
      </c>
      <c r="E61" s="22" t="str">
        <f>'SUB-1'!E61</f>
        <v>BTMC24O1047</v>
      </c>
      <c r="F61" s="19">
        <v>17</v>
      </c>
      <c r="G61" s="19">
        <v>8</v>
      </c>
      <c r="H61" s="19">
        <v>4</v>
      </c>
      <c r="I61" s="19">
        <v>1</v>
      </c>
      <c r="J61" s="19">
        <f t="shared" si="0"/>
        <v>5</v>
      </c>
      <c r="K61" s="19">
        <v>12</v>
      </c>
      <c r="L61" s="19">
        <f t="shared" si="1"/>
        <v>42</v>
      </c>
      <c r="M61" s="19">
        <f t="shared" si="2"/>
        <v>1</v>
      </c>
      <c r="N61" s="19" t="str">
        <f t="shared" si="3"/>
        <v>PASS</v>
      </c>
    </row>
    <row r="62" ht="14.25" customHeight="1" spans="4:14">
      <c r="D62" s="19">
        <f>'SUB-1'!D62</f>
        <v>48</v>
      </c>
      <c r="E62" s="22" t="str">
        <f>'SUB-1'!E62</f>
        <v>BTMC24O1048</v>
      </c>
      <c r="F62" s="19">
        <v>15</v>
      </c>
      <c r="G62" s="19">
        <v>4</v>
      </c>
      <c r="H62" s="19">
        <v>3</v>
      </c>
      <c r="I62" s="19">
        <v>3</v>
      </c>
      <c r="J62" s="19">
        <f t="shared" si="0"/>
        <v>6</v>
      </c>
      <c r="K62" s="19">
        <v>8</v>
      </c>
      <c r="L62" s="19">
        <f t="shared" si="1"/>
        <v>33</v>
      </c>
      <c r="M62" s="19">
        <f t="shared" si="2"/>
        <v>0</v>
      </c>
      <c r="N62" s="19" t="str">
        <f t="shared" si="3"/>
        <v>FAIL</v>
      </c>
    </row>
    <row r="63" ht="14.25" customHeight="1" spans="4:14">
      <c r="D63" s="19">
        <f>'SUB-1'!D63</f>
        <v>49</v>
      </c>
      <c r="E63" s="22" t="str">
        <f>'SUB-1'!E63</f>
        <v>BTMC24O1049</v>
      </c>
      <c r="F63" s="19">
        <v>9</v>
      </c>
      <c r="G63" s="19">
        <v>12</v>
      </c>
      <c r="H63" s="19">
        <v>0</v>
      </c>
      <c r="I63" s="19">
        <v>17</v>
      </c>
      <c r="J63" s="19">
        <f t="shared" si="0"/>
        <v>17</v>
      </c>
      <c r="K63" s="19">
        <v>28</v>
      </c>
      <c r="L63" s="19">
        <f t="shared" si="1"/>
        <v>66</v>
      </c>
      <c r="M63" s="19">
        <f t="shared" si="2"/>
        <v>2</v>
      </c>
      <c r="N63" s="19" t="str">
        <f t="shared" si="3"/>
        <v>PASS</v>
      </c>
    </row>
    <row r="64" ht="14.25" customHeight="1" spans="4:14">
      <c r="D64" s="19">
        <f>'SUB-1'!D64</f>
        <v>50</v>
      </c>
      <c r="E64" s="22" t="str">
        <f>'SUB-1'!E64</f>
        <v>BTMC24O1050</v>
      </c>
      <c r="F64" s="19">
        <v>8</v>
      </c>
      <c r="G64" s="19">
        <v>7</v>
      </c>
      <c r="H64" s="19">
        <v>6</v>
      </c>
      <c r="I64" s="19">
        <v>11</v>
      </c>
      <c r="J64" s="19">
        <f t="shared" si="0"/>
        <v>17</v>
      </c>
      <c r="K64" s="19">
        <v>21</v>
      </c>
      <c r="L64" s="19">
        <f t="shared" si="1"/>
        <v>53</v>
      </c>
      <c r="M64" s="19">
        <f t="shared" si="2"/>
        <v>2</v>
      </c>
      <c r="N64" s="19" t="str">
        <f t="shared" si="3"/>
        <v>PASS</v>
      </c>
    </row>
    <row r="65" ht="14.25" customHeight="1" spans="4:14">
      <c r="D65" s="19">
        <f>'SUB-1'!D65</f>
        <v>51</v>
      </c>
      <c r="E65" s="22" t="str">
        <f>'SUB-1'!E65</f>
        <v>BTMC24O1051</v>
      </c>
      <c r="F65" s="19">
        <v>3</v>
      </c>
      <c r="G65" s="19">
        <v>6</v>
      </c>
      <c r="H65" s="19">
        <v>0</v>
      </c>
      <c r="I65" s="19">
        <v>4</v>
      </c>
      <c r="J65" s="19">
        <f t="shared" si="0"/>
        <v>4</v>
      </c>
      <c r="K65" s="19">
        <v>18</v>
      </c>
      <c r="L65" s="19">
        <f t="shared" si="1"/>
        <v>31</v>
      </c>
      <c r="M65" s="19">
        <f t="shared" si="2"/>
        <v>0</v>
      </c>
      <c r="N65" s="19" t="str">
        <f t="shared" si="3"/>
        <v>FAIL</v>
      </c>
    </row>
    <row r="66" ht="14.25" customHeight="1" spans="4:14">
      <c r="D66" s="19">
        <f>'SUB-1'!D66</f>
        <v>52</v>
      </c>
      <c r="E66" s="22" t="str">
        <f>'SUB-1'!E66</f>
        <v>BTMC24O1052</v>
      </c>
      <c r="F66" s="19">
        <v>15</v>
      </c>
      <c r="G66" s="19">
        <v>18</v>
      </c>
      <c r="H66" s="19">
        <v>1</v>
      </c>
      <c r="I66" s="19">
        <v>10</v>
      </c>
      <c r="J66" s="19">
        <f t="shared" si="0"/>
        <v>11</v>
      </c>
      <c r="K66" s="19">
        <v>17</v>
      </c>
      <c r="L66" s="19">
        <f t="shared" si="1"/>
        <v>61</v>
      </c>
      <c r="M66" s="19">
        <f t="shared" si="2"/>
        <v>2</v>
      </c>
      <c r="N66" s="19" t="str">
        <f t="shared" si="3"/>
        <v>PASS</v>
      </c>
    </row>
    <row r="67" ht="14.25" customHeight="1" spans="4:14">
      <c r="D67" s="19">
        <f>'SUB-1'!D67</f>
        <v>53</v>
      </c>
      <c r="E67" s="22" t="str">
        <f>'SUB-1'!E67</f>
        <v>BTMC24O1053</v>
      </c>
      <c r="F67" s="19">
        <v>8</v>
      </c>
      <c r="G67" s="19">
        <v>18</v>
      </c>
      <c r="H67" s="19">
        <v>8</v>
      </c>
      <c r="I67" s="19">
        <v>16</v>
      </c>
      <c r="J67" s="19">
        <f t="shared" si="0"/>
        <v>24</v>
      </c>
      <c r="K67" s="19">
        <v>24</v>
      </c>
      <c r="L67" s="19">
        <f t="shared" si="1"/>
        <v>74</v>
      </c>
      <c r="M67" s="19">
        <f t="shared" si="2"/>
        <v>2</v>
      </c>
      <c r="N67" s="19" t="str">
        <f t="shared" si="3"/>
        <v>PASS</v>
      </c>
    </row>
    <row r="68" ht="14.25" customHeight="1" spans="4:14">
      <c r="D68" s="19">
        <f>'SUB-1'!D68</f>
        <v>54</v>
      </c>
      <c r="E68" s="22" t="str">
        <f>'SUB-1'!E68</f>
        <v>BTMC24O1054</v>
      </c>
      <c r="F68" s="19">
        <v>4</v>
      </c>
      <c r="G68" s="19">
        <v>1</v>
      </c>
      <c r="H68" s="19">
        <v>1</v>
      </c>
      <c r="I68" s="19">
        <v>15</v>
      </c>
      <c r="J68" s="19">
        <f t="shared" si="0"/>
        <v>16</v>
      </c>
      <c r="K68" s="19">
        <v>12</v>
      </c>
      <c r="L68" s="19">
        <f t="shared" si="1"/>
        <v>33</v>
      </c>
      <c r="M68" s="19">
        <f t="shared" si="2"/>
        <v>0</v>
      </c>
      <c r="N68" s="19" t="str">
        <f t="shared" si="3"/>
        <v>FAIL</v>
      </c>
    </row>
    <row r="69" ht="14.25" customHeight="1" spans="4:14">
      <c r="D69" s="19">
        <f>'SUB-1'!D69</f>
        <v>55</v>
      </c>
      <c r="E69" s="22" t="str">
        <f>'SUB-1'!E69</f>
        <v>BTMC24O1055</v>
      </c>
      <c r="F69" s="19">
        <v>8</v>
      </c>
      <c r="G69" s="19">
        <v>10</v>
      </c>
      <c r="H69" s="19">
        <v>7</v>
      </c>
      <c r="I69" s="19">
        <v>6</v>
      </c>
      <c r="J69" s="19">
        <f t="shared" si="0"/>
        <v>13</v>
      </c>
      <c r="K69" s="19">
        <v>19</v>
      </c>
      <c r="L69" s="19">
        <f t="shared" si="1"/>
        <v>50</v>
      </c>
      <c r="M69" s="19">
        <f t="shared" si="2"/>
        <v>1</v>
      </c>
      <c r="N69" s="19" t="str">
        <f t="shared" si="3"/>
        <v>PASS</v>
      </c>
    </row>
    <row r="70" ht="14.25" customHeight="1" spans="4:14">
      <c r="D70" s="19">
        <f>'SUB-1'!D70</f>
        <v>56</v>
      </c>
      <c r="E70" s="22" t="str">
        <f>'SUB-1'!E70</f>
        <v>BTMC24O1056</v>
      </c>
      <c r="F70" s="19">
        <v>20</v>
      </c>
      <c r="G70" s="19">
        <v>18</v>
      </c>
      <c r="H70" s="19">
        <v>4</v>
      </c>
      <c r="I70" s="19">
        <v>9</v>
      </c>
      <c r="J70" s="19">
        <f t="shared" si="0"/>
        <v>13</v>
      </c>
      <c r="K70" s="19">
        <v>30</v>
      </c>
      <c r="L70" s="19">
        <f t="shared" si="1"/>
        <v>81</v>
      </c>
      <c r="M70" s="19">
        <f t="shared" si="2"/>
        <v>3</v>
      </c>
      <c r="N70" s="19" t="str">
        <f t="shared" si="3"/>
        <v>PASS</v>
      </c>
    </row>
    <row r="71" ht="14.25" customHeight="1" spans="4:14">
      <c r="D71" s="19">
        <f>'SUB-1'!D71</f>
        <v>57</v>
      </c>
      <c r="E71" s="22" t="str">
        <f>'SUB-1'!E71</f>
        <v>BTMC24O1057</v>
      </c>
      <c r="F71" s="19">
        <v>7</v>
      </c>
      <c r="G71" s="19">
        <v>0</v>
      </c>
      <c r="H71" s="19">
        <v>5</v>
      </c>
      <c r="I71" s="19">
        <v>2</v>
      </c>
      <c r="J71" s="19">
        <f t="shared" si="0"/>
        <v>7</v>
      </c>
      <c r="K71" s="19">
        <v>2</v>
      </c>
      <c r="L71" s="19">
        <f t="shared" si="1"/>
        <v>16</v>
      </c>
      <c r="M71" s="19">
        <f t="shared" si="2"/>
        <v>0</v>
      </c>
      <c r="N71" s="19" t="str">
        <f t="shared" si="3"/>
        <v>FAIL</v>
      </c>
    </row>
    <row r="72" ht="14.25" customHeight="1" spans="4:14">
      <c r="D72" s="19">
        <f>'SUB-1'!D72</f>
        <v>58</v>
      </c>
      <c r="E72" s="22" t="str">
        <f>'SUB-1'!E72</f>
        <v>BTMC24O1058</v>
      </c>
      <c r="F72" s="19">
        <v>9</v>
      </c>
      <c r="G72" s="19">
        <v>20</v>
      </c>
      <c r="H72" s="19">
        <v>3</v>
      </c>
      <c r="I72" s="19">
        <v>11</v>
      </c>
      <c r="J72" s="19">
        <f t="shared" si="0"/>
        <v>14</v>
      </c>
      <c r="K72" s="19">
        <v>18</v>
      </c>
      <c r="L72" s="19">
        <f t="shared" si="1"/>
        <v>61</v>
      </c>
      <c r="M72" s="19">
        <f t="shared" si="2"/>
        <v>2</v>
      </c>
      <c r="N72" s="19" t="str">
        <f t="shared" si="3"/>
        <v>PASS</v>
      </c>
    </row>
    <row r="73" ht="14.25" customHeight="1" spans="4:14">
      <c r="D73" s="19">
        <f>'SUB-1'!D73</f>
        <v>59</v>
      </c>
      <c r="E73" s="22" t="str">
        <f>'SUB-1'!E73</f>
        <v>BTMC24O1059</v>
      </c>
      <c r="F73" s="19">
        <v>18</v>
      </c>
      <c r="G73" s="19">
        <v>6</v>
      </c>
      <c r="H73" s="19">
        <v>3</v>
      </c>
      <c r="I73" s="19">
        <v>12</v>
      </c>
      <c r="J73" s="19">
        <f t="shared" si="0"/>
        <v>15</v>
      </c>
      <c r="K73" s="19">
        <v>18</v>
      </c>
      <c r="L73" s="19">
        <f t="shared" si="1"/>
        <v>57</v>
      </c>
      <c r="M73" s="19">
        <f t="shared" si="2"/>
        <v>2</v>
      </c>
      <c r="N73" s="19" t="str">
        <f t="shared" si="3"/>
        <v>PASS</v>
      </c>
    </row>
    <row r="74" ht="14.25" customHeight="1" spans="4:14">
      <c r="D74" s="19">
        <f>'SUB-1'!D74</f>
        <v>60</v>
      </c>
      <c r="E74" s="22" t="str">
        <f>'SUB-1'!E74</f>
        <v>BTMC24O1060</v>
      </c>
      <c r="F74" s="19">
        <v>9</v>
      </c>
      <c r="G74" s="19">
        <v>1</v>
      </c>
      <c r="H74" s="19">
        <v>0</v>
      </c>
      <c r="I74" s="19">
        <v>15</v>
      </c>
      <c r="J74" s="19">
        <f t="shared" si="0"/>
        <v>15</v>
      </c>
      <c r="K74" s="19">
        <v>6</v>
      </c>
      <c r="L74" s="19">
        <f t="shared" si="1"/>
        <v>31</v>
      </c>
      <c r="M74" s="19">
        <f t="shared" si="2"/>
        <v>0</v>
      </c>
      <c r="N74" s="19" t="str">
        <f t="shared" si="3"/>
        <v>FAIL</v>
      </c>
    </row>
    <row r="75" ht="14.25" customHeight="1" spans="4:14">
      <c r="D75" s="19">
        <f>'SUB-1'!D75</f>
        <v>61</v>
      </c>
      <c r="E75" s="22" t="str">
        <f>'SUB-1'!E75</f>
        <v>BTMC24O1061</v>
      </c>
      <c r="F75" s="19">
        <v>2</v>
      </c>
      <c r="G75" s="19">
        <v>0</v>
      </c>
      <c r="H75" s="19">
        <v>4</v>
      </c>
      <c r="I75" s="19">
        <v>10</v>
      </c>
      <c r="J75" s="19">
        <f t="shared" si="0"/>
        <v>14</v>
      </c>
      <c r="K75" s="19">
        <v>19</v>
      </c>
      <c r="L75" s="19">
        <f t="shared" si="1"/>
        <v>35</v>
      </c>
      <c r="M75" s="19">
        <f t="shared" si="2"/>
        <v>0</v>
      </c>
      <c r="N75" s="19" t="str">
        <f t="shared" si="3"/>
        <v>PASS</v>
      </c>
    </row>
    <row r="76" ht="14.25" customHeight="1" spans="4:14">
      <c r="D76" s="19">
        <f>'SUB-1'!D76</f>
        <v>62</v>
      </c>
      <c r="E76" s="22" t="str">
        <f>'SUB-1'!E76</f>
        <v>BTMC24O1062</v>
      </c>
      <c r="F76" s="19">
        <v>14</v>
      </c>
      <c r="G76" s="19">
        <v>10</v>
      </c>
      <c r="H76" s="19">
        <v>5</v>
      </c>
      <c r="I76" s="19">
        <v>6</v>
      </c>
      <c r="J76" s="19">
        <f t="shared" si="0"/>
        <v>11</v>
      </c>
      <c r="K76" s="19">
        <v>7</v>
      </c>
      <c r="L76" s="19">
        <f t="shared" si="1"/>
        <v>42</v>
      </c>
      <c r="M76" s="19">
        <f t="shared" si="2"/>
        <v>1</v>
      </c>
      <c r="N76" s="19" t="str">
        <f t="shared" si="3"/>
        <v>PASS</v>
      </c>
    </row>
    <row r="77" ht="14.25" customHeight="1" spans="4:14">
      <c r="D77" s="19">
        <f>'SUB-1'!D77</f>
        <v>63</v>
      </c>
      <c r="E77" s="22" t="str">
        <f>'SUB-1'!E77</f>
        <v>BTMC24O1063</v>
      </c>
      <c r="F77" s="19">
        <v>6</v>
      </c>
      <c r="G77" s="19">
        <v>5</v>
      </c>
      <c r="H77" s="19">
        <v>5</v>
      </c>
      <c r="I77" s="19">
        <v>6</v>
      </c>
      <c r="J77" s="19">
        <f t="shared" si="0"/>
        <v>11</v>
      </c>
      <c r="K77" s="19">
        <v>8</v>
      </c>
      <c r="L77" s="19">
        <f t="shared" si="1"/>
        <v>30</v>
      </c>
      <c r="M77" s="19">
        <f t="shared" si="2"/>
        <v>0</v>
      </c>
      <c r="N77" s="19" t="str">
        <f t="shared" si="3"/>
        <v>FAIL</v>
      </c>
    </row>
    <row r="78" ht="14.25" customHeight="1" spans="4:14">
      <c r="D78" s="19">
        <f>'SUB-1'!D78</f>
        <v>64</v>
      </c>
      <c r="E78" s="22" t="str">
        <f>'SUB-1'!E78</f>
        <v>BTMC24O1064</v>
      </c>
      <c r="F78" s="19">
        <v>5</v>
      </c>
      <c r="G78" s="19">
        <v>3</v>
      </c>
      <c r="H78" s="19">
        <v>3</v>
      </c>
      <c r="I78" s="19">
        <v>12</v>
      </c>
      <c r="J78" s="19">
        <f t="shared" si="0"/>
        <v>15</v>
      </c>
      <c r="K78" s="19">
        <v>19</v>
      </c>
      <c r="L78" s="19">
        <f t="shared" si="1"/>
        <v>42</v>
      </c>
      <c r="M78" s="19">
        <f t="shared" si="2"/>
        <v>1</v>
      </c>
      <c r="N78" s="19" t="str">
        <f t="shared" si="3"/>
        <v>PASS</v>
      </c>
    </row>
    <row r="79" ht="14.25" customHeight="1" spans="4:14">
      <c r="D79" s="19">
        <f>'SUB-1'!D79</f>
        <v>65</v>
      </c>
      <c r="E79" s="22" t="str">
        <f>'SUB-1'!E79</f>
        <v>BTMC24O1065</v>
      </c>
      <c r="F79" s="19">
        <v>13</v>
      </c>
      <c r="G79" s="19">
        <v>4</v>
      </c>
      <c r="H79" s="19">
        <v>3</v>
      </c>
      <c r="I79" s="19">
        <v>4</v>
      </c>
      <c r="J79" s="19">
        <f t="shared" ref="J79:J114" si="4">H79+I79</f>
        <v>7</v>
      </c>
      <c r="K79" s="19">
        <v>22</v>
      </c>
      <c r="L79" s="19">
        <f t="shared" ref="L79:L114" si="5">K79+J79+G79+F79</f>
        <v>46</v>
      </c>
      <c r="M79" s="19">
        <f t="shared" ref="M79:M114" si="6">IF(L79&gt;75,3,IF(L79&gt;50,2,IF(L79&gt;35,1,0)))</f>
        <v>1</v>
      </c>
      <c r="N79" s="19" t="str">
        <f t="shared" ref="N79:N114" si="7">IF(L79&lt;35,"FAIL","PASS")</f>
        <v>PASS</v>
      </c>
    </row>
    <row r="80" ht="14.25" customHeight="1" spans="4:14">
      <c r="D80" s="19">
        <f>'SUB-1'!D80</f>
        <v>66</v>
      </c>
      <c r="E80" s="22" t="str">
        <f>'SUB-1'!E80</f>
        <v>BTMC24O1066</v>
      </c>
      <c r="F80" s="19">
        <v>2</v>
      </c>
      <c r="G80" s="19">
        <v>19</v>
      </c>
      <c r="H80" s="19">
        <v>7</v>
      </c>
      <c r="I80" s="19">
        <v>3</v>
      </c>
      <c r="J80" s="19">
        <f t="shared" si="4"/>
        <v>10</v>
      </c>
      <c r="K80" s="19">
        <v>19</v>
      </c>
      <c r="L80" s="19">
        <f t="shared" si="5"/>
        <v>50</v>
      </c>
      <c r="M80" s="19">
        <f t="shared" si="6"/>
        <v>1</v>
      </c>
      <c r="N80" s="19" t="str">
        <f t="shared" si="7"/>
        <v>PASS</v>
      </c>
    </row>
    <row r="81" ht="14.25" customHeight="1" spans="4:14">
      <c r="D81" s="19">
        <f>'SUB-1'!D81</f>
        <v>67</v>
      </c>
      <c r="E81" s="22" t="str">
        <f>'SUB-1'!E81</f>
        <v>BTMC24O1067</v>
      </c>
      <c r="F81" s="19">
        <v>0</v>
      </c>
      <c r="G81" s="19">
        <v>3</v>
      </c>
      <c r="H81" s="19">
        <v>2</v>
      </c>
      <c r="I81" s="19">
        <v>5</v>
      </c>
      <c r="J81" s="19">
        <f t="shared" si="4"/>
        <v>7</v>
      </c>
      <c r="K81" s="19">
        <v>14</v>
      </c>
      <c r="L81" s="19">
        <f t="shared" si="5"/>
        <v>24</v>
      </c>
      <c r="M81" s="19">
        <f t="shared" si="6"/>
        <v>0</v>
      </c>
      <c r="N81" s="19" t="str">
        <f t="shared" si="7"/>
        <v>FAIL</v>
      </c>
    </row>
    <row r="82" ht="14.25" customHeight="1" spans="4:14">
      <c r="D82" s="19">
        <f>'SUB-1'!D82</f>
        <v>68</v>
      </c>
      <c r="E82" s="22" t="str">
        <f>'SUB-1'!E82</f>
        <v>BTMC24O1068</v>
      </c>
      <c r="F82" s="19">
        <v>10</v>
      </c>
      <c r="G82" s="19">
        <v>10</v>
      </c>
      <c r="H82" s="19">
        <v>8</v>
      </c>
      <c r="I82" s="19">
        <v>1</v>
      </c>
      <c r="J82" s="19">
        <f t="shared" si="4"/>
        <v>9</v>
      </c>
      <c r="K82" s="19">
        <v>13</v>
      </c>
      <c r="L82" s="19">
        <f t="shared" si="5"/>
        <v>42</v>
      </c>
      <c r="M82" s="19">
        <f t="shared" si="6"/>
        <v>1</v>
      </c>
      <c r="N82" s="19" t="str">
        <f t="shared" si="7"/>
        <v>PASS</v>
      </c>
    </row>
    <row r="83" ht="14.25" customHeight="1" spans="4:14">
      <c r="D83" s="19">
        <f>'SUB-1'!D83</f>
        <v>69</v>
      </c>
      <c r="E83" s="22" t="str">
        <f>'SUB-1'!E83</f>
        <v>BTMC24O1069</v>
      </c>
      <c r="F83" s="19">
        <v>5</v>
      </c>
      <c r="G83" s="19">
        <v>5</v>
      </c>
      <c r="H83" s="19">
        <v>4</v>
      </c>
      <c r="I83" s="19">
        <v>6</v>
      </c>
      <c r="J83" s="19">
        <f t="shared" si="4"/>
        <v>10</v>
      </c>
      <c r="K83" s="19">
        <v>28</v>
      </c>
      <c r="L83" s="19">
        <f t="shared" si="5"/>
        <v>48</v>
      </c>
      <c r="M83" s="19">
        <f t="shared" si="6"/>
        <v>1</v>
      </c>
      <c r="N83" s="19" t="str">
        <f t="shared" si="7"/>
        <v>PASS</v>
      </c>
    </row>
    <row r="84" ht="14.25" customHeight="1" spans="4:14">
      <c r="D84" s="19">
        <f>'SUB-1'!D84</f>
        <v>70</v>
      </c>
      <c r="E84" s="22" t="str">
        <f>'SUB-1'!E84</f>
        <v>BTMC24O1070</v>
      </c>
      <c r="F84" s="19">
        <v>12</v>
      </c>
      <c r="G84" s="19">
        <v>16</v>
      </c>
      <c r="H84" s="19">
        <v>6</v>
      </c>
      <c r="I84" s="19">
        <v>8</v>
      </c>
      <c r="J84" s="19">
        <f t="shared" si="4"/>
        <v>14</v>
      </c>
      <c r="K84" s="19">
        <v>14</v>
      </c>
      <c r="L84" s="19">
        <f t="shared" si="5"/>
        <v>56</v>
      </c>
      <c r="M84" s="19">
        <f t="shared" si="6"/>
        <v>2</v>
      </c>
      <c r="N84" s="19" t="str">
        <f t="shared" si="7"/>
        <v>PASS</v>
      </c>
    </row>
    <row r="85" ht="14.25" customHeight="1" spans="4:14">
      <c r="D85" s="19">
        <f>'SUB-1'!D85</f>
        <v>71</v>
      </c>
      <c r="E85" s="22" t="str">
        <f>'SUB-1'!E85</f>
        <v>BTMC24O1071</v>
      </c>
      <c r="F85" s="19">
        <v>17</v>
      </c>
      <c r="G85" s="19">
        <v>4</v>
      </c>
      <c r="H85" s="19">
        <v>1</v>
      </c>
      <c r="I85" s="19">
        <v>11</v>
      </c>
      <c r="J85" s="19">
        <f t="shared" si="4"/>
        <v>12</v>
      </c>
      <c r="K85" s="19">
        <v>18</v>
      </c>
      <c r="L85" s="19">
        <f t="shared" si="5"/>
        <v>51</v>
      </c>
      <c r="M85" s="19">
        <f t="shared" si="6"/>
        <v>2</v>
      </c>
      <c r="N85" s="19" t="str">
        <f t="shared" si="7"/>
        <v>PASS</v>
      </c>
    </row>
    <row r="86" ht="14.25" customHeight="1" spans="4:14">
      <c r="D86" s="19">
        <f>'SUB-1'!D86</f>
        <v>72</v>
      </c>
      <c r="E86" s="22" t="str">
        <f>'SUB-1'!E86</f>
        <v>BTMC24O1072</v>
      </c>
      <c r="F86" s="19">
        <v>19</v>
      </c>
      <c r="G86" s="19">
        <v>3</v>
      </c>
      <c r="H86" s="19">
        <v>10</v>
      </c>
      <c r="I86" s="19">
        <v>8</v>
      </c>
      <c r="J86" s="19">
        <f t="shared" si="4"/>
        <v>18</v>
      </c>
      <c r="K86" s="19">
        <v>11</v>
      </c>
      <c r="L86" s="19">
        <f t="shared" si="5"/>
        <v>51</v>
      </c>
      <c r="M86" s="19">
        <f t="shared" si="6"/>
        <v>2</v>
      </c>
      <c r="N86" s="19" t="str">
        <f t="shared" si="7"/>
        <v>PASS</v>
      </c>
    </row>
    <row r="87" ht="14.25" customHeight="1" spans="4:14">
      <c r="D87" s="19">
        <f>'SUB-1'!D87</f>
        <v>73</v>
      </c>
      <c r="E87" s="22" t="str">
        <f>'SUB-1'!E87</f>
        <v>BTMC24O1073</v>
      </c>
      <c r="F87" s="19">
        <v>7</v>
      </c>
      <c r="G87" s="19">
        <v>6</v>
      </c>
      <c r="H87" s="19">
        <v>2</v>
      </c>
      <c r="I87" s="19">
        <v>11</v>
      </c>
      <c r="J87" s="19">
        <f t="shared" si="4"/>
        <v>13</v>
      </c>
      <c r="K87" s="19">
        <v>8</v>
      </c>
      <c r="L87" s="19">
        <f t="shared" si="5"/>
        <v>34</v>
      </c>
      <c r="M87" s="19">
        <f t="shared" si="6"/>
        <v>0</v>
      </c>
      <c r="N87" s="19" t="str">
        <f t="shared" si="7"/>
        <v>FAIL</v>
      </c>
    </row>
    <row r="88" ht="14.25" customHeight="1" spans="4:14">
      <c r="D88" s="19">
        <f>'SUB-1'!D88</f>
        <v>74</v>
      </c>
      <c r="E88" s="22" t="str">
        <f>'SUB-1'!E88</f>
        <v>BTMC24O1074</v>
      </c>
      <c r="F88" s="19">
        <v>16</v>
      </c>
      <c r="G88" s="19">
        <v>10</v>
      </c>
      <c r="H88" s="19">
        <v>8</v>
      </c>
      <c r="I88" s="19">
        <v>19</v>
      </c>
      <c r="J88" s="19">
        <f t="shared" si="4"/>
        <v>27</v>
      </c>
      <c r="K88" s="19">
        <v>20</v>
      </c>
      <c r="L88" s="19">
        <f t="shared" si="5"/>
        <v>73</v>
      </c>
      <c r="M88" s="19">
        <f t="shared" si="6"/>
        <v>2</v>
      </c>
      <c r="N88" s="19" t="str">
        <f t="shared" si="7"/>
        <v>PASS</v>
      </c>
    </row>
    <row r="89" ht="14.25" customHeight="1" spans="4:14">
      <c r="D89" s="19">
        <f>'SUB-1'!D89</f>
        <v>75</v>
      </c>
      <c r="E89" s="22" t="str">
        <f>'SUB-1'!E89</f>
        <v>BTMC24O1075</v>
      </c>
      <c r="F89" s="19">
        <v>1</v>
      </c>
      <c r="G89" s="19">
        <v>9</v>
      </c>
      <c r="H89" s="19">
        <v>8</v>
      </c>
      <c r="I89" s="19">
        <v>18</v>
      </c>
      <c r="J89" s="19">
        <f t="shared" si="4"/>
        <v>26</v>
      </c>
      <c r="K89" s="19">
        <v>6</v>
      </c>
      <c r="L89" s="19">
        <f t="shared" si="5"/>
        <v>42</v>
      </c>
      <c r="M89" s="19">
        <f t="shared" si="6"/>
        <v>1</v>
      </c>
      <c r="N89" s="19" t="str">
        <f t="shared" si="7"/>
        <v>PASS</v>
      </c>
    </row>
    <row r="90" ht="14.25" customHeight="1" spans="4:14">
      <c r="D90" s="19">
        <f>'SUB-1'!D90</f>
        <v>76</v>
      </c>
      <c r="E90" s="22" t="str">
        <f>'SUB-1'!E90</f>
        <v>BTMC24O1076</v>
      </c>
      <c r="F90" s="19">
        <v>8</v>
      </c>
      <c r="G90" s="19">
        <v>12</v>
      </c>
      <c r="H90" s="19">
        <v>6</v>
      </c>
      <c r="I90" s="19">
        <v>20</v>
      </c>
      <c r="J90" s="19">
        <f t="shared" si="4"/>
        <v>26</v>
      </c>
      <c r="K90" s="19">
        <v>4</v>
      </c>
      <c r="L90" s="19">
        <f t="shared" si="5"/>
        <v>50</v>
      </c>
      <c r="M90" s="19">
        <f t="shared" si="6"/>
        <v>1</v>
      </c>
      <c r="N90" s="19" t="str">
        <f t="shared" si="7"/>
        <v>PASS</v>
      </c>
    </row>
    <row r="91" ht="14.25" customHeight="1" spans="4:14">
      <c r="D91" s="19">
        <f>'SUB-1'!D91</f>
        <v>77</v>
      </c>
      <c r="E91" s="22" t="str">
        <f>'SUB-1'!E91</f>
        <v>BTMC24O1077</v>
      </c>
      <c r="F91" s="19">
        <v>5</v>
      </c>
      <c r="G91" s="19">
        <v>4</v>
      </c>
      <c r="H91" s="19">
        <v>0</v>
      </c>
      <c r="I91" s="19">
        <v>14</v>
      </c>
      <c r="J91" s="19">
        <f t="shared" si="4"/>
        <v>14</v>
      </c>
      <c r="K91" s="19">
        <v>29</v>
      </c>
      <c r="L91" s="19">
        <f t="shared" si="5"/>
        <v>52</v>
      </c>
      <c r="M91" s="19">
        <f t="shared" si="6"/>
        <v>2</v>
      </c>
      <c r="N91" s="19" t="str">
        <f t="shared" si="7"/>
        <v>PASS</v>
      </c>
    </row>
    <row r="92" ht="14.25" customHeight="1" spans="4:14">
      <c r="D92" s="19">
        <f>'SUB-1'!D92</f>
        <v>78</v>
      </c>
      <c r="E92" s="22" t="str">
        <f>'SUB-1'!E92</f>
        <v>BTMC24O1078</v>
      </c>
      <c r="F92" s="19">
        <v>3</v>
      </c>
      <c r="G92" s="19">
        <v>10</v>
      </c>
      <c r="H92" s="19">
        <v>3</v>
      </c>
      <c r="I92" s="19">
        <v>9</v>
      </c>
      <c r="J92" s="19">
        <f t="shared" si="4"/>
        <v>12</v>
      </c>
      <c r="K92" s="19">
        <v>12</v>
      </c>
      <c r="L92" s="19">
        <f t="shared" si="5"/>
        <v>37</v>
      </c>
      <c r="M92" s="19">
        <f t="shared" si="6"/>
        <v>1</v>
      </c>
      <c r="N92" s="19" t="str">
        <f t="shared" si="7"/>
        <v>PASS</v>
      </c>
    </row>
    <row r="93" ht="14.25" customHeight="1" spans="4:14">
      <c r="D93" s="19">
        <f>'SUB-1'!D93</f>
        <v>79</v>
      </c>
      <c r="E93" s="22" t="str">
        <f>'SUB-1'!E93</f>
        <v>BTMC24O1079</v>
      </c>
      <c r="F93" s="19">
        <v>10</v>
      </c>
      <c r="G93" s="19">
        <v>19</v>
      </c>
      <c r="H93" s="19">
        <v>9</v>
      </c>
      <c r="I93" s="19">
        <v>11</v>
      </c>
      <c r="J93" s="19">
        <f t="shared" si="4"/>
        <v>20</v>
      </c>
      <c r="K93" s="19">
        <v>13</v>
      </c>
      <c r="L93" s="19">
        <f t="shared" si="5"/>
        <v>62</v>
      </c>
      <c r="M93" s="19">
        <f t="shared" si="6"/>
        <v>2</v>
      </c>
      <c r="N93" s="19" t="str">
        <f t="shared" si="7"/>
        <v>PASS</v>
      </c>
    </row>
    <row r="94" ht="14.25" customHeight="1" spans="4:14">
      <c r="D94" s="19">
        <f>'SUB-1'!D94</f>
        <v>80</v>
      </c>
      <c r="E94" s="22" t="str">
        <f>'SUB-1'!E94</f>
        <v>BTMC24O1080</v>
      </c>
      <c r="F94" s="19">
        <v>14</v>
      </c>
      <c r="G94" s="19">
        <v>9</v>
      </c>
      <c r="H94" s="19">
        <v>5</v>
      </c>
      <c r="I94" s="19">
        <v>10</v>
      </c>
      <c r="J94" s="19">
        <f t="shared" si="4"/>
        <v>15</v>
      </c>
      <c r="K94" s="19">
        <v>10</v>
      </c>
      <c r="L94" s="19">
        <f t="shared" si="5"/>
        <v>48</v>
      </c>
      <c r="M94" s="19">
        <f t="shared" si="6"/>
        <v>1</v>
      </c>
      <c r="N94" s="19" t="str">
        <f t="shared" si="7"/>
        <v>PASS</v>
      </c>
    </row>
    <row r="95" ht="14.25" customHeight="1" spans="4:14">
      <c r="D95" s="19">
        <f>'SUB-1'!D95</f>
        <v>81</v>
      </c>
      <c r="E95" s="22" t="str">
        <f>'SUB-1'!E95</f>
        <v>BTMC24O1081</v>
      </c>
      <c r="F95" s="19">
        <v>16</v>
      </c>
      <c r="G95" s="19">
        <v>0</v>
      </c>
      <c r="H95" s="19">
        <v>5</v>
      </c>
      <c r="I95" s="19">
        <v>14</v>
      </c>
      <c r="J95" s="19">
        <f t="shared" si="4"/>
        <v>19</v>
      </c>
      <c r="K95" s="19">
        <v>0</v>
      </c>
      <c r="L95" s="19">
        <f t="shared" si="5"/>
        <v>35</v>
      </c>
      <c r="M95" s="19">
        <f t="shared" si="6"/>
        <v>0</v>
      </c>
      <c r="N95" s="19" t="str">
        <f t="shared" si="7"/>
        <v>PASS</v>
      </c>
    </row>
    <row r="96" ht="14.25" customHeight="1" spans="4:14">
      <c r="D96" s="19">
        <f>'SUB-1'!D96</f>
        <v>82</v>
      </c>
      <c r="E96" s="22" t="str">
        <f>'SUB-1'!E96</f>
        <v>BTMC24O1082</v>
      </c>
      <c r="F96" s="19">
        <v>12</v>
      </c>
      <c r="G96" s="19">
        <v>20</v>
      </c>
      <c r="H96" s="19">
        <v>0</v>
      </c>
      <c r="I96" s="19">
        <v>1</v>
      </c>
      <c r="J96" s="19">
        <f t="shared" si="4"/>
        <v>1</v>
      </c>
      <c r="K96" s="19">
        <v>27</v>
      </c>
      <c r="L96" s="19">
        <f t="shared" si="5"/>
        <v>60</v>
      </c>
      <c r="M96" s="19">
        <f t="shared" si="6"/>
        <v>2</v>
      </c>
      <c r="N96" s="19" t="str">
        <f t="shared" si="7"/>
        <v>PASS</v>
      </c>
    </row>
    <row r="97" ht="14.25" customHeight="1" spans="4:14">
      <c r="D97" s="19">
        <f>'SUB-1'!D97</f>
        <v>83</v>
      </c>
      <c r="E97" s="22" t="str">
        <f>'SUB-1'!E97</f>
        <v>BTMC24O1083</v>
      </c>
      <c r="F97" s="19">
        <v>8</v>
      </c>
      <c r="G97" s="19">
        <v>20</v>
      </c>
      <c r="H97" s="19">
        <v>3</v>
      </c>
      <c r="I97" s="19">
        <v>12</v>
      </c>
      <c r="J97" s="19">
        <f t="shared" si="4"/>
        <v>15</v>
      </c>
      <c r="K97" s="19">
        <v>13</v>
      </c>
      <c r="L97" s="19">
        <f t="shared" si="5"/>
        <v>56</v>
      </c>
      <c r="M97" s="19">
        <f t="shared" si="6"/>
        <v>2</v>
      </c>
      <c r="N97" s="19" t="str">
        <f t="shared" si="7"/>
        <v>PASS</v>
      </c>
    </row>
    <row r="98" ht="14.25" customHeight="1" spans="4:14">
      <c r="D98" s="19">
        <f>'SUB-1'!D98</f>
        <v>84</v>
      </c>
      <c r="E98" s="22" t="str">
        <f>'SUB-1'!E98</f>
        <v>BTMC24O1084</v>
      </c>
      <c r="F98" s="19">
        <v>13</v>
      </c>
      <c r="G98" s="19">
        <v>11</v>
      </c>
      <c r="H98" s="19">
        <v>0</v>
      </c>
      <c r="I98" s="19">
        <v>0</v>
      </c>
      <c r="J98" s="19">
        <f t="shared" si="4"/>
        <v>0</v>
      </c>
      <c r="K98" s="19">
        <v>3</v>
      </c>
      <c r="L98" s="19">
        <f t="shared" si="5"/>
        <v>27</v>
      </c>
      <c r="M98" s="19">
        <f t="shared" si="6"/>
        <v>0</v>
      </c>
      <c r="N98" s="19" t="str">
        <f t="shared" si="7"/>
        <v>FAIL</v>
      </c>
    </row>
    <row r="99" ht="14.25" customHeight="1" spans="4:14">
      <c r="D99" s="19">
        <f>'SUB-1'!D99</f>
        <v>85</v>
      </c>
      <c r="E99" s="22" t="str">
        <f>'SUB-1'!E99</f>
        <v>BTMC24O1085</v>
      </c>
      <c r="F99" s="19">
        <v>7</v>
      </c>
      <c r="G99" s="19">
        <v>4</v>
      </c>
      <c r="H99" s="19">
        <v>9</v>
      </c>
      <c r="I99" s="19">
        <v>16</v>
      </c>
      <c r="J99" s="19">
        <f t="shared" si="4"/>
        <v>25</v>
      </c>
      <c r="K99" s="19">
        <v>6</v>
      </c>
      <c r="L99" s="19">
        <f t="shared" si="5"/>
        <v>42</v>
      </c>
      <c r="M99" s="19">
        <f t="shared" si="6"/>
        <v>1</v>
      </c>
      <c r="N99" s="19" t="str">
        <f t="shared" si="7"/>
        <v>PASS</v>
      </c>
    </row>
    <row r="100" ht="14.25" customHeight="1" spans="4:14">
      <c r="D100" s="19">
        <f>'SUB-1'!D100</f>
        <v>86</v>
      </c>
      <c r="E100" s="22" t="str">
        <f>'SUB-1'!E100</f>
        <v>BTMC24O1086</v>
      </c>
      <c r="F100" s="19">
        <v>11</v>
      </c>
      <c r="G100" s="19">
        <v>6</v>
      </c>
      <c r="H100" s="19">
        <v>3</v>
      </c>
      <c r="I100" s="19">
        <v>20</v>
      </c>
      <c r="J100" s="19">
        <f t="shared" si="4"/>
        <v>23</v>
      </c>
      <c r="K100" s="19">
        <v>11</v>
      </c>
      <c r="L100" s="19">
        <f t="shared" si="5"/>
        <v>51</v>
      </c>
      <c r="M100" s="19">
        <f t="shared" si="6"/>
        <v>2</v>
      </c>
      <c r="N100" s="19" t="str">
        <f t="shared" si="7"/>
        <v>PASS</v>
      </c>
    </row>
    <row r="101" ht="14.25" customHeight="1" spans="4:14">
      <c r="D101" s="19">
        <f>'SUB-1'!D101</f>
        <v>87</v>
      </c>
      <c r="E101" s="22" t="str">
        <f>'SUB-1'!E101</f>
        <v>BTMC24O1087</v>
      </c>
      <c r="F101" s="19">
        <v>15</v>
      </c>
      <c r="G101" s="19">
        <v>19</v>
      </c>
      <c r="H101" s="19">
        <v>9</v>
      </c>
      <c r="I101" s="19">
        <v>20</v>
      </c>
      <c r="J101" s="19">
        <f t="shared" si="4"/>
        <v>29</v>
      </c>
      <c r="K101" s="19">
        <v>27</v>
      </c>
      <c r="L101" s="19">
        <f t="shared" si="5"/>
        <v>90</v>
      </c>
      <c r="M101" s="19">
        <f t="shared" si="6"/>
        <v>3</v>
      </c>
      <c r="N101" s="19" t="str">
        <f t="shared" si="7"/>
        <v>PASS</v>
      </c>
    </row>
    <row r="102" ht="14.25" customHeight="1" spans="4:14">
      <c r="D102" s="19">
        <f>'SUB-1'!D102</f>
        <v>88</v>
      </c>
      <c r="E102" s="22" t="str">
        <f>'SUB-1'!E102</f>
        <v>BTMC24O1088</v>
      </c>
      <c r="F102" s="19">
        <v>18</v>
      </c>
      <c r="G102" s="19">
        <v>16</v>
      </c>
      <c r="H102" s="19">
        <v>3</v>
      </c>
      <c r="I102" s="19">
        <v>19</v>
      </c>
      <c r="J102" s="19">
        <f t="shared" si="4"/>
        <v>22</v>
      </c>
      <c r="K102" s="19">
        <v>27</v>
      </c>
      <c r="L102" s="19">
        <f t="shared" si="5"/>
        <v>83</v>
      </c>
      <c r="M102" s="19">
        <f t="shared" si="6"/>
        <v>3</v>
      </c>
      <c r="N102" s="19" t="str">
        <f t="shared" si="7"/>
        <v>PASS</v>
      </c>
    </row>
    <row r="103" ht="14.25" customHeight="1" spans="4:14">
      <c r="D103" s="19">
        <f>'SUB-1'!D103</f>
        <v>89</v>
      </c>
      <c r="E103" s="22" t="str">
        <f>'SUB-1'!E103</f>
        <v>BTMC24O1089</v>
      </c>
      <c r="F103" s="19">
        <v>5</v>
      </c>
      <c r="G103" s="19">
        <v>7</v>
      </c>
      <c r="H103" s="19">
        <v>10</v>
      </c>
      <c r="I103" s="19">
        <v>2</v>
      </c>
      <c r="J103" s="19">
        <f t="shared" si="4"/>
        <v>12</v>
      </c>
      <c r="K103" s="19">
        <v>0</v>
      </c>
      <c r="L103" s="19">
        <f t="shared" si="5"/>
        <v>24</v>
      </c>
      <c r="M103" s="19">
        <f t="shared" si="6"/>
        <v>0</v>
      </c>
      <c r="N103" s="19" t="str">
        <f t="shared" si="7"/>
        <v>FAIL</v>
      </c>
    </row>
    <row r="104" ht="14.25" customHeight="1" spans="4:14">
      <c r="D104" s="19">
        <f>'SUB-1'!D104</f>
        <v>90</v>
      </c>
      <c r="E104" s="22" t="str">
        <f>'SUB-1'!E104</f>
        <v>BTMC24O1090</v>
      </c>
      <c r="F104" s="19">
        <v>11</v>
      </c>
      <c r="G104" s="19">
        <v>5</v>
      </c>
      <c r="H104" s="19">
        <v>2</v>
      </c>
      <c r="I104" s="19">
        <v>5</v>
      </c>
      <c r="J104" s="19">
        <f t="shared" si="4"/>
        <v>7</v>
      </c>
      <c r="K104" s="19">
        <v>1</v>
      </c>
      <c r="L104" s="19">
        <f t="shared" si="5"/>
        <v>24</v>
      </c>
      <c r="M104" s="19">
        <f t="shared" si="6"/>
        <v>0</v>
      </c>
      <c r="N104" s="19" t="str">
        <f t="shared" si="7"/>
        <v>FAIL</v>
      </c>
    </row>
    <row r="105" ht="14.25" customHeight="1" spans="4:14">
      <c r="D105" s="19">
        <f>'SUB-1'!D105</f>
        <v>91</v>
      </c>
      <c r="E105" s="22" t="str">
        <f>'SUB-1'!E105</f>
        <v>BTMC24O1091</v>
      </c>
      <c r="F105" s="19">
        <v>7</v>
      </c>
      <c r="G105" s="19">
        <v>0</v>
      </c>
      <c r="H105" s="19">
        <v>9</v>
      </c>
      <c r="I105" s="19">
        <v>12</v>
      </c>
      <c r="J105" s="19">
        <f t="shared" si="4"/>
        <v>21</v>
      </c>
      <c r="K105" s="19">
        <v>26</v>
      </c>
      <c r="L105" s="19">
        <f t="shared" si="5"/>
        <v>54</v>
      </c>
      <c r="M105" s="19">
        <f t="shared" si="6"/>
        <v>2</v>
      </c>
      <c r="N105" s="19" t="str">
        <f t="shared" si="7"/>
        <v>PASS</v>
      </c>
    </row>
    <row r="106" ht="14.25" customHeight="1" spans="4:14">
      <c r="D106" s="19">
        <f>'SUB-1'!D106</f>
        <v>92</v>
      </c>
      <c r="E106" s="22" t="str">
        <f>'SUB-1'!E106</f>
        <v>BTMC24O1092</v>
      </c>
      <c r="F106" s="19">
        <v>20</v>
      </c>
      <c r="G106" s="19">
        <v>20</v>
      </c>
      <c r="H106" s="19">
        <v>4</v>
      </c>
      <c r="I106" s="19">
        <v>16</v>
      </c>
      <c r="J106" s="19">
        <f t="shared" si="4"/>
        <v>20</v>
      </c>
      <c r="K106" s="19">
        <v>7</v>
      </c>
      <c r="L106" s="19">
        <f t="shared" si="5"/>
        <v>67</v>
      </c>
      <c r="M106" s="19">
        <f t="shared" si="6"/>
        <v>2</v>
      </c>
      <c r="N106" s="19" t="str">
        <f t="shared" si="7"/>
        <v>PASS</v>
      </c>
    </row>
    <row r="107" ht="14.25" customHeight="1" spans="4:14">
      <c r="D107" s="19">
        <f>'SUB-1'!D107</f>
        <v>93</v>
      </c>
      <c r="E107" s="22" t="str">
        <f>'SUB-1'!E107</f>
        <v>BTMC24O1093</v>
      </c>
      <c r="F107" s="19">
        <v>4</v>
      </c>
      <c r="G107" s="19">
        <v>14</v>
      </c>
      <c r="H107" s="19">
        <v>1</v>
      </c>
      <c r="I107" s="19">
        <v>1</v>
      </c>
      <c r="J107" s="19">
        <f t="shared" si="4"/>
        <v>2</v>
      </c>
      <c r="K107" s="19">
        <v>7</v>
      </c>
      <c r="L107" s="19">
        <f t="shared" si="5"/>
        <v>27</v>
      </c>
      <c r="M107" s="19">
        <f t="shared" si="6"/>
        <v>0</v>
      </c>
      <c r="N107" s="19" t="str">
        <f t="shared" si="7"/>
        <v>FAIL</v>
      </c>
    </row>
    <row r="108" ht="14.25" customHeight="1" spans="4:14">
      <c r="D108" s="19">
        <f>'SUB-1'!D108</f>
        <v>94</v>
      </c>
      <c r="E108" s="22" t="str">
        <f>'SUB-1'!E108</f>
        <v>BTMC24O1094</v>
      </c>
      <c r="F108" s="19">
        <v>13</v>
      </c>
      <c r="G108" s="19">
        <v>2</v>
      </c>
      <c r="H108" s="19">
        <v>2</v>
      </c>
      <c r="I108" s="19">
        <v>7</v>
      </c>
      <c r="J108" s="19">
        <f t="shared" si="4"/>
        <v>9</v>
      </c>
      <c r="K108" s="19">
        <v>22</v>
      </c>
      <c r="L108" s="19">
        <f t="shared" si="5"/>
        <v>46</v>
      </c>
      <c r="M108" s="19">
        <f t="shared" si="6"/>
        <v>1</v>
      </c>
      <c r="N108" s="19" t="str">
        <f t="shared" si="7"/>
        <v>PASS</v>
      </c>
    </row>
    <row r="109" ht="14.25" customHeight="1" spans="4:14">
      <c r="D109" s="19">
        <f>'SUB-1'!D109</f>
        <v>95</v>
      </c>
      <c r="E109" s="22" t="str">
        <f>'SUB-1'!E109</f>
        <v>BTMC24O1095</v>
      </c>
      <c r="F109" s="19">
        <v>10</v>
      </c>
      <c r="G109" s="19">
        <v>5</v>
      </c>
      <c r="H109" s="19">
        <v>4</v>
      </c>
      <c r="I109" s="19">
        <v>10</v>
      </c>
      <c r="J109" s="19">
        <f t="shared" si="4"/>
        <v>14</v>
      </c>
      <c r="K109" s="19">
        <v>13</v>
      </c>
      <c r="L109" s="19">
        <f t="shared" si="5"/>
        <v>42</v>
      </c>
      <c r="M109" s="19">
        <f t="shared" si="6"/>
        <v>1</v>
      </c>
      <c r="N109" s="19" t="str">
        <f t="shared" si="7"/>
        <v>PASS</v>
      </c>
    </row>
    <row r="110" ht="14.25" customHeight="1" spans="4:14">
      <c r="D110" s="19">
        <f>'SUB-1'!D110</f>
        <v>96</v>
      </c>
      <c r="E110" s="22" t="str">
        <f>'SUB-1'!E110</f>
        <v>BTMC24O1096</v>
      </c>
      <c r="F110" s="19">
        <v>18</v>
      </c>
      <c r="G110" s="19">
        <v>0</v>
      </c>
      <c r="H110" s="19">
        <v>10</v>
      </c>
      <c r="I110" s="19">
        <v>20</v>
      </c>
      <c r="J110" s="19">
        <f t="shared" si="4"/>
        <v>30</v>
      </c>
      <c r="K110" s="19">
        <v>20</v>
      </c>
      <c r="L110" s="19">
        <f t="shared" si="5"/>
        <v>68</v>
      </c>
      <c r="M110" s="19">
        <f t="shared" si="6"/>
        <v>2</v>
      </c>
      <c r="N110" s="19" t="str">
        <f t="shared" si="7"/>
        <v>PASS</v>
      </c>
    </row>
    <row r="111" ht="14.25" customHeight="1" spans="4:14">
      <c r="D111" s="19">
        <f>'SUB-1'!D111</f>
        <v>97</v>
      </c>
      <c r="E111" s="22" t="str">
        <f>'SUB-1'!E111</f>
        <v>BTMC24O1097</v>
      </c>
      <c r="F111" s="19">
        <v>13</v>
      </c>
      <c r="G111" s="19">
        <v>14</v>
      </c>
      <c r="H111" s="19">
        <v>7</v>
      </c>
      <c r="I111" s="19">
        <v>19</v>
      </c>
      <c r="J111" s="19">
        <f t="shared" si="4"/>
        <v>26</v>
      </c>
      <c r="K111" s="19">
        <v>22</v>
      </c>
      <c r="L111" s="19">
        <f t="shared" si="5"/>
        <v>75</v>
      </c>
      <c r="M111" s="19">
        <f t="shared" si="6"/>
        <v>2</v>
      </c>
      <c r="N111" s="19" t="str">
        <f t="shared" si="7"/>
        <v>PASS</v>
      </c>
    </row>
    <row r="112" ht="14.25" customHeight="1" spans="4:14">
      <c r="D112" s="19">
        <f>'SUB-1'!D112</f>
        <v>98</v>
      </c>
      <c r="E112" s="22" t="str">
        <f>'SUB-1'!E112</f>
        <v>BTMC24O1098</v>
      </c>
      <c r="F112" s="19">
        <v>9</v>
      </c>
      <c r="G112" s="19">
        <v>2</v>
      </c>
      <c r="H112" s="19">
        <v>9</v>
      </c>
      <c r="I112" s="19">
        <v>0</v>
      </c>
      <c r="J112" s="19">
        <f t="shared" si="4"/>
        <v>9</v>
      </c>
      <c r="K112" s="19">
        <v>13</v>
      </c>
      <c r="L112" s="19">
        <f t="shared" si="5"/>
        <v>33</v>
      </c>
      <c r="M112" s="19">
        <f t="shared" si="6"/>
        <v>0</v>
      </c>
      <c r="N112" s="19" t="str">
        <f t="shared" si="7"/>
        <v>FAIL</v>
      </c>
    </row>
    <row r="113" ht="14.25" customHeight="1" spans="4:14">
      <c r="D113" s="19">
        <f>'SUB-1'!D113</f>
        <v>99</v>
      </c>
      <c r="E113" s="22" t="str">
        <f>'SUB-1'!E113</f>
        <v>BTMC24O1099</v>
      </c>
      <c r="F113" s="19">
        <v>18</v>
      </c>
      <c r="G113" s="19">
        <v>2</v>
      </c>
      <c r="H113" s="19">
        <v>9</v>
      </c>
      <c r="I113" s="19">
        <v>7</v>
      </c>
      <c r="J113" s="19">
        <f t="shared" si="4"/>
        <v>16</v>
      </c>
      <c r="K113" s="19">
        <v>1</v>
      </c>
      <c r="L113" s="19">
        <f t="shared" si="5"/>
        <v>37</v>
      </c>
      <c r="M113" s="19">
        <f t="shared" si="6"/>
        <v>1</v>
      </c>
      <c r="N113" s="19" t="str">
        <f t="shared" si="7"/>
        <v>PASS</v>
      </c>
    </row>
    <row r="114" ht="14.25" customHeight="1" spans="4:14">
      <c r="D114" s="19">
        <f>'SUB-1'!D114</f>
        <v>100</v>
      </c>
      <c r="E114" s="22" t="str">
        <f>'SUB-1'!E114</f>
        <v>BTMC24O1100</v>
      </c>
      <c r="F114" s="19">
        <v>10</v>
      </c>
      <c r="G114" s="19">
        <v>8</v>
      </c>
      <c r="H114" s="19">
        <v>3</v>
      </c>
      <c r="I114" s="19">
        <v>12</v>
      </c>
      <c r="J114" s="19">
        <f t="shared" si="4"/>
        <v>15</v>
      </c>
      <c r="K114" s="19">
        <v>25</v>
      </c>
      <c r="L114" s="19">
        <f t="shared" si="5"/>
        <v>58</v>
      </c>
      <c r="M114" s="19">
        <f t="shared" si="6"/>
        <v>2</v>
      </c>
      <c r="N114" s="19" t="str">
        <f t="shared" si="7"/>
        <v>PASS</v>
      </c>
    </row>
  </sheetData>
  <mergeCells count="8">
    <mergeCell ref="D4:Q4"/>
    <mergeCell ref="D5:Q5"/>
    <mergeCell ref="D6:Q6"/>
    <mergeCell ref="G7:L7"/>
    <mergeCell ref="D8:Q8"/>
    <mergeCell ref="D9:Q9"/>
    <mergeCell ref="P15:Q15"/>
    <mergeCell ref="D2:Q3"/>
  </mergeCells>
  <conditionalFormatting sqref="E15:E114">
    <cfRule type="expression" dxfId="2" priority="8">
      <formula>COUNTIF($E$15:$E$114,E15)&gt;1</formula>
    </cfRule>
  </conditionalFormatting>
  <conditionalFormatting sqref="F15:F114">
    <cfRule type="expression" dxfId="2" priority="3">
      <formula>OR(F15&lt;0,F15&gt;20,NOT(ISNUMBER(F15)))</formula>
    </cfRule>
  </conditionalFormatting>
  <conditionalFormatting sqref="G15:G114">
    <cfRule type="expression" dxfId="2" priority="4">
      <formula>OR(G15&lt;0,G15&gt;20,NOT(ISNUMBER(G15)))</formula>
    </cfRule>
  </conditionalFormatting>
  <conditionalFormatting sqref="H15:H114">
    <cfRule type="expression" dxfId="2" priority="5">
      <formula>OR(H15&lt;0,H15&gt;10,NOT(ISNUMBER(H15)))</formula>
    </cfRule>
  </conditionalFormatting>
  <conditionalFormatting sqref="I15:I114">
    <cfRule type="expression" dxfId="2" priority="6">
      <formula>OR(I15&lt;0,I15&gt;20,NOT(ISNUMBER(I15)))</formula>
    </cfRule>
  </conditionalFormatting>
  <conditionalFormatting sqref="K15:K114">
    <cfRule type="expression" dxfId="2" priority="7">
      <formula>OR(K15&lt;0,K15&gt;30,NOT(ISNUMBER(K15)))</formula>
    </cfRule>
  </conditionalFormatting>
  <conditionalFormatting sqref="N15:N114">
    <cfRule type="containsText" dxfId="0" priority="2" operator="between" text="FAIL">
      <formula>NOT(ISERROR(SEARCH("FAIL",N15)))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E15:E114">
      <formula1>11</formula1>
    </dataValidation>
    <dataValidation type="decimal" operator="between" allowBlank="1" showErrorMessage="1" errorTitle="Invalid mark" error="Enter a number between 0 and 10" sqref="H15:H114">
      <formula1>0</formula1>
      <formula2>10</formula2>
    </dataValidation>
    <dataValidation type="decimal" operator="between" allowBlank="1" showErrorMessage="1" errorTitle="Invalid mark" error="Enter a number between 0 and 20" sqref="I15:I114 F15:G114">
      <formula1>0</formula1>
      <formula2>20</formula2>
    </dataValidation>
    <dataValidation type="decimal" operator="between" allowBlank="1" showErrorMessage="1" errorTitle="Invalid mark" error="Enter a number between 0 and 30" sqref="K15:K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C1:Q115"/>
  <sheetViews>
    <sheetView zoomScale="80" zoomScaleNormal="80" topLeftCell="B7" workbookViewId="0">
      <selection activeCell="L17" sqref="L17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9.4537037037037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664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665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666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="26" customFormat="1" ht="21" customHeight="1" spans="3:17">
      <c r="C7" s="15"/>
      <c r="D7" s="15"/>
      <c r="E7" s="15"/>
      <c r="F7" s="15"/>
      <c r="G7" s="13" t="s">
        <v>667</v>
      </c>
      <c r="H7" s="13"/>
      <c r="I7" s="13"/>
      <c r="J7" s="13"/>
      <c r="K7" s="13"/>
      <c r="L7" s="13"/>
      <c r="M7" s="15"/>
      <c r="N7" s="15"/>
      <c r="O7" s="15"/>
      <c r="P7" s="15"/>
      <c r="Q7" s="27"/>
    </row>
    <row r="8" s="26" customFormat="1" ht="21" customHeight="1" spans="3:17">
      <c r="C8" s="15"/>
      <c r="D8" s="16" t="s">
        <v>668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="26" customFormat="1" ht="21" customHeight="1" spans="3:17">
      <c r="C9" s="27"/>
      <c r="D9" s="16" t="s">
        <v>669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25241106</v>
      </c>
      <c r="F11" s="17" t="s">
        <v>670</v>
      </c>
      <c r="G11" s="17" t="s">
        <v>605</v>
      </c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671</v>
      </c>
      <c r="G12" s="18" t="s">
        <v>627</v>
      </c>
      <c r="H12" s="18" t="s">
        <v>75</v>
      </c>
      <c r="I12" s="18" t="s">
        <v>77</v>
      </c>
      <c r="J12" s="18" t="s">
        <v>47</v>
      </c>
      <c r="L12" s="10"/>
      <c r="M12" s="10"/>
      <c r="N12" s="10"/>
    </row>
    <row r="13" ht="14.25" customHeight="1" spans="3:17">
      <c r="D13" s="19"/>
      <c r="E13" s="19"/>
      <c r="F13" s="18" t="s">
        <v>672</v>
      </c>
      <c r="G13" s="19"/>
      <c r="H13" s="19"/>
      <c r="I13" s="19"/>
      <c r="J13" s="19"/>
      <c r="L13" s="10"/>
      <c r="M13" s="10"/>
      <c r="N13" s="10"/>
    </row>
    <row r="14" ht="14.25" customHeight="1" spans="3:17">
      <c r="D14" s="19"/>
      <c r="E14" s="19"/>
      <c r="F14" s="20">
        <v>70</v>
      </c>
      <c r="G14" s="20">
        <v>30</v>
      </c>
      <c r="H14" s="20">
        <v>100</v>
      </c>
      <c r="I14" s="20" t="s">
        <v>79</v>
      </c>
      <c r="J14" s="20">
        <v>1</v>
      </c>
      <c r="L14" s="10"/>
      <c r="M14" s="10"/>
      <c r="N14" s="10"/>
    </row>
    <row r="15" ht="14.25" customHeight="1" spans="3:17">
      <c r="D15" s="19"/>
      <c r="E15" s="19"/>
      <c r="F15" s="19"/>
      <c r="G15" s="19"/>
      <c r="H15" s="19"/>
      <c r="I15" s="19"/>
      <c r="J15" s="19"/>
      <c r="L15" s="10"/>
      <c r="M15" s="10"/>
      <c r="N15" s="10"/>
    </row>
    <row r="16" ht="14.25" customHeight="1" spans="3:17">
      <c r="D16" s="19">
        <v>1</v>
      </c>
      <c r="E16" s="22" t="s">
        <v>90</v>
      </c>
      <c r="F16" s="19">
        <v>66</v>
      </c>
      <c r="G16" s="19">
        <v>0</v>
      </c>
      <c r="H16" s="19">
        <f t="shared" ref="H16:H79" si="0">F16+G16</f>
        <v>66</v>
      </c>
      <c r="I16" s="19" t="str">
        <f t="shared" ref="I16:I79" si="1">IF(H16&lt;35,"FAIL","PASS")</f>
        <v>PASS</v>
      </c>
      <c r="J16" s="19" t="str">
        <f t="shared" ref="J16:J79" si="2">IF(H16&lt;35,"0","1")</f>
        <v>1</v>
      </c>
      <c r="L16" s="25" t="s">
        <v>628</v>
      </c>
      <c r="M16" s="25"/>
      <c r="N16" s="10"/>
    </row>
    <row r="17" ht="14.25" customHeight="1" spans="4:14">
      <c r="D17" s="19">
        <v>2</v>
      </c>
      <c r="E17" s="22" t="s">
        <v>97</v>
      </c>
      <c r="F17" s="19">
        <v>20</v>
      </c>
      <c r="G17" s="19">
        <v>10</v>
      </c>
      <c r="H17" s="19">
        <f t="shared" si="0"/>
        <v>30</v>
      </c>
      <c r="I17" s="19" t="str">
        <f t="shared" si="1"/>
        <v>FAIL</v>
      </c>
      <c r="J17" s="19" t="str">
        <f t="shared" si="2"/>
        <v>0</v>
      </c>
      <c r="L17" s="28" t="s">
        <v>673</v>
      </c>
      <c r="M17" s="10">
        <f>COUNTIF(I16:I115,"PASS")</f>
        <v>78</v>
      </c>
    </row>
    <row r="18" ht="14.25" customHeight="1" spans="4:14">
      <c r="D18" s="19">
        <v>3</v>
      </c>
      <c r="E18" s="22" t="s">
        <v>102</v>
      </c>
      <c r="F18" s="19">
        <v>42</v>
      </c>
      <c r="G18" s="19">
        <v>24</v>
      </c>
      <c r="H18" s="19">
        <f t="shared" si="0"/>
        <v>66</v>
      </c>
      <c r="I18" s="19" t="str">
        <f t="shared" si="1"/>
        <v>PASS</v>
      </c>
      <c r="J18" s="19" t="str">
        <f t="shared" si="2"/>
        <v>1</v>
      </c>
      <c r="L18" s="28" t="s">
        <v>650</v>
      </c>
      <c r="M18" s="10">
        <f>COUNTIF(I16:I115,"FAIL")</f>
        <v>22</v>
      </c>
    </row>
    <row r="19" ht="14.25" customHeight="1" spans="4:14">
      <c r="D19" s="19">
        <v>4</v>
      </c>
      <c r="E19" s="22" t="s">
        <v>107</v>
      </c>
      <c r="F19" s="19">
        <v>60</v>
      </c>
      <c r="G19" s="19">
        <v>10</v>
      </c>
      <c r="H19" s="19">
        <f t="shared" si="0"/>
        <v>70</v>
      </c>
      <c r="I19" s="19" t="str">
        <f t="shared" si="1"/>
        <v>PASS</v>
      </c>
      <c r="J19" s="19" t="str">
        <f t="shared" si="2"/>
        <v>1</v>
      </c>
    </row>
    <row r="20" ht="14.25" customHeight="1" spans="4:14">
      <c r="D20" s="19">
        <v>5</v>
      </c>
      <c r="E20" s="22" t="s">
        <v>112</v>
      </c>
      <c r="F20" s="19">
        <v>30</v>
      </c>
      <c r="G20" s="19">
        <v>11</v>
      </c>
      <c r="H20" s="19">
        <f t="shared" si="0"/>
        <v>41</v>
      </c>
      <c r="I20" s="19" t="str">
        <f t="shared" si="1"/>
        <v>PASS</v>
      </c>
      <c r="J20" s="19" t="str">
        <f t="shared" si="2"/>
        <v>1</v>
      </c>
    </row>
    <row r="21" ht="14.25" customHeight="1" spans="4:14">
      <c r="D21" s="19">
        <v>6</v>
      </c>
      <c r="E21" s="22" t="s">
        <v>117</v>
      </c>
      <c r="F21" s="19">
        <v>22</v>
      </c>
      <c r="G21" s="19">
        <v>5</v>
      </c>
      <c r="H21" s="19">
        <f t="shared" si="0"/>
        <v>27</v>
      </c>
      <c r="I21" s="19" t="str">
        <f t="shared" si="1"/>
        <v>FAIL</v>
      </c>
      <c r="J21" s="19" t="str">
        <f t="shared" si="2"/>
        <v>0</v>
      </c>
    </row>
    <row r="22" ht="14.25" customHeight="1" spans="4:14">
      <c r="D22" s="19">
        <v>7</v>
      </c>
      <c r="E22" s="22" t="s">
        <v>122</v>
      </c>
      <c r="F22" s="19">
        <v>30</v>
      </c>
      <c r="G22" s="19">
        <v>23</v>
      </c>
      <c r="H22" s="19">
        <f t="shared" si="0"/>
        <v>53</v>
      </c>
      <c r="I22" s="19" t="str">
        <f t="shared" si="1"/>
        <v>PASS</v>
      </c>
      <c r="J22" s="19" t="str">
        <f t="shared" si="2"/>
        <v>1</v>
      </c>
    </row>
    <row r="23" ht="14.25" customHeight="1" spans="4:14">
      <c r="D23" s="19">
        <v>8</v>
      </c>
      <c r="E23" s="22" t="s">
        <v>127</v>
      </c>
      <c r="F23" s="19">
        <v>2</v>
      </c>
      <c r="G23" s="19">
        <v>9</v>
      </c>
      <c r="H23" s="19">
        <f t="shared" si="0"/>
        <v>11</v>
      </c>
      <c r="I23" s="19" t="str">
        <f t="shared" si="1"/>
        <v>FAIL</v>
      </c>
      <c r="J23" s="19" t="str">
        <f t="shared" si="2"/>
        <v>0</v>
      </c>
      <c r="L23" s="10"/>
      <c r="M23" s="10"/>
      <c r="N23" s="10"/>
    </row>
    <row r="24" ht="14.25" customHeight="1" spans="4:14">
      <c r="D24" s="19">
        <v>9</v>
      </c>
      <c r="E24" s="22" t="s">
        <v>132</v>
      </c>
      <c r="F24" s="19">
        <v>59</v>
      </c>
      <c r="G24" s="19">
        <v>13</v>
      </c>
      <c r="H24" s="19">
        <f t="shared" si="0"/>
        <v>72</v>
      </c>
      <c r="I24" s="19" t="str">
        <f t="shared" si="1"/>
        <v>PASS</v>
      </c>
      <c r="J24" s="19" t="str">
        <f t="shared" si="2"/>
        <v>1</v>
      </c>
      <c r="L24" s="10"/>
      <c r="N24" s="10"/>
    </row>
    <row r="25" ht="14.25" customHeight="1" spans="4:14">
      <c r="D25" s="19">
        <v>10</v>
      </c>
      <c r="E25" s="22" t="s">
        <v>137</v>
      </c>
      <c r="F25" s="19">
        <v>56</v>
      </c>
      <c r="G25" s="19">
        <v>4</v>
      </c>
      <c r="H25" s="19">
        <f t="shared" si="0"/>
        <v>60</v>
      </c>
      <c r="I25" s="19" t="str">
        <f t="shared" si="1"/>
        <v>PASS</v>
      </c>
      <c r="J25" s="19" t="str">
        <f t="shared" si="2"/>
        <v>1</v>
      </c>
      <c r="L25" s="10"/>
      <c r="M25" s="10"/>
      <c r="N25" s="10"/>
    </row>
    <row r="26" ht="14.25" customHeight="1" spans="4:14">
      <c r="D26" s="19">
        <v>11</v>
      </c>
      <c r="E26" s="22" t="s">
        <v>141</v>
      </c>
      <c r="F26" s="19">
        <v>10</v>
      </c>
      <c r="G26" s="19">
        <v>4</v>
      </c>
      <c r="H26" s="19">
        <f t="shared" si="0"/>
        <v>14</v>
      </c>
      <c r="I26" s="19" t="str">
        <f t="shared" si="1"/>
        <v>FAIL</v>
      </c>
      <c r="J26" s="19" t="str">
        <f t="shared" si="2"/>
        <v>0</v>
      </c>
      <c r="L26" s="10"/>
      <c r="M26" s="10"/>
      <c r="N26" s="10"/>
    </row>
    <row r="27" ht="14.25" customHeight="1" spans="4:14">
      <c r="D27" s="19">
        <v>12</v>
      </c>
      <c r="E27" s="22" t="s">
        <v>146</v>
      </c>
      <c r="F27" s="19">
        <v>46</v>
      </c>
      <c r="G27" s="19">
        <v>5</v>
      </c>
      <c r="H27" s="19">
        <f t="shared" si="0"/>
        <v>51</v>
      </c>
      <c r="I27" s="19" t="str">
        <f t="shared" si="1"/>
        <v>PASS</v>
      </c>
      <c r="J27" s="19" t="str">
        <f t="shared" si="2"/>
        <v>1</v>
      </c>
      <c r="L27" s="10"/>
      <c r="M27" s="10"/>
      <c r="N27" s="10"/>
    </row>
    <row r="28" ht="14.25" customHeight="1" spans="4:14">
      <c r="D28" s="19">
        <v>13</v>
      </c>
      <c r="E28" s="22" t="s">
        <v>151</v>
      </c>
      <c r="F28" s="19">
        <v>64</v>
      </c>
      <c r="G28" s="19">
        <v>12</v>
      </c>
      <c r="H28" s="19">
        <f t="shared" si="0"/>
        <v>76</v>
      </c>
      <c r="I28" s="19" t="str">
        <f t="shared" si="1"/>
        <v>PASS</v>
      </c>
      <c r="J28" s="19" t="str">
        <f t="shared" si="2"/>
        <v>1</v>
      </c>
      <c r="L28" s="10"/>
      <c r="M28" s="10"/>
      <c r="N28" s="10"/>
    </row>
    <row r="29" ht="14.25" customHeight="1" spans="4:14">
      <c r="D29" s="19">
        <v>14</v>
      </c>
      <c r="E29" s="22" t="s">
        <v>156</v>
      </c>
      <c r="F29" s="19">
        <v>11</v>
      </c>
      <c r="G29" s="19">
        <v>14</v>
      </c>
      <c r="H29" s="19">
        <f t="shared" si="0"/>
        <v>25</v>
      </c>
      <c r="I29" s="19" t="str">
        <f t="shared" si="1"/>
        <v>FAIL</v>
      </c>
      <c r="J29" s="19" t="str">
        <f t="shared" si="2"/>
        <v>0</v>
      </c>
      <c r="L29" s="10"/>
      <c r="M29" s="10"/>
      <c r="N29" s="10"/>
    </row>
    <row r="30" ht="14.25" customHeight="1" spans="4:14">
      <c r="D30" s="19">
        <v>15</v>
      </c>
      <c r="E30" s="22" t="s">
        <v>161</v>
      </c>
      <c r="F30" s="19">
        <v>41</v>
      </c>
      <c r="G30" s="19">
        <v>23</v>
      </c>
      <c r="H30" s="19">
        <f t="shared" si="0"/>
        <v>64</v>
      </c>
      <c r="I30" s="19" t="str">
        <f t="shared" si="1"/>
        <v>PASS</v>
      </c>
      <c r="J30" s="19" t="str">
        <f t="shared" si="2"/>
        <v>1</v>
      </c>
      <c r="L30" s="10"/>
      <c r="M30" s="10"/>
      <c r="N30" s="10"/>
    </row>
    <row r="31" ht="14.25" customHeight="1" spans="4:14">
      <c r="D31" s="19">
        <v>16</v>
      </c>
      <c r="E31" s="22" t="s">
        <v>166</v>
      </c>
      <c r="F31" s="19">
        <v>64</v>
      </c>
      <c r="G31" s="19">
        <v>13</v>
      </c>
      <c r="H31" s="19">
        <f t="shared" si="0"/>
        <v>77</v>
      </c>
      <c r="I31" s="19" t="str">
        <f t="shared" si="1"/>
        <v>PASS</v>
      </c>
      <c r="J31" s="19" t="str">
        <f t="shared" si="2"/>
        <v>1</v>
      </c>
      <c r="L31" s="10"/>
      <c r="M31" s="10"/>
      <c r="N31" s="10"/>
    </row>
    <row r="32" ht="14.25" customHeight="1" spans="4:14">
      <c r="D32" s="19">
        <v>17</v>
      </c>
      <c r="E32" s="22" t="s">
        <v>171</v>
      </c>
      <c r="F32" s="19">
        <v>59</v>
      </c>
      <c r="G32" s="19">
        <v>25</v>
      </c>
      <c r="H32" s="19">
        <f t="shared" si="0"/>
        <v>84</v>
      </c>
      <c r="I32" s="19" t="str">
        <f t="shared" si="1"/>
        <v>PASS</v>
      </c>
      <c r="J32" s="19" t="str">
        <f t="shared" si="2"/>
        <v>1</v>
      </c>
      <c r="L32" s="10"/>
      <c r="M32" s="10"/>
      <c r="N32" s="10"/>
    </row>
    <row r="33" ht="14.25" customHeight="1" spans="4:14">
      <c r="D33" s="19">
        <v>18</v>
      </c>
      <c r="E33" s="22" t="s">
        <v>176</v>
      </c>
      <c r="F33" s="19">
        <v>26</v>
      </c>
      <c r="G33" s="19">
        <v>6</v>
      </c>
      <c r="H33" s="19">
        <f t="shared" si="0"/>
        <v>32</v>
      </c>
      <c r="I33" s="19" t="str">
        <f t="shared" si="1"/>
        <v>FAIL</v>
      </c>
      <c r="J33" s="19" t="str">
        <f t="shared" si="2"/>
        <v>0</v>
      </c>
      <c r="L33" s="10"/>
      <c r="M33" s="10"/>
      <c r="N33" s="10"/>
    </row>
    <row r="34" ht="14.25" customHeight="1" spans="4:14">
      <c r="D34" s="19">
        <v>19</v>
      </c>
      <c r="E34" s="22" t="s">
        <v>181</v>
      </c>
      <c r="F34" s="19">
        <v>64</v>
      </c>
      <c r="G34" s="19">
        <v>28</v>
      </c>
      <c r="H34" s="19">
        <f t="shared" si="0"/>
        <v>92</v>
      </c>
      <c r="I34" s="19" t="str">
        <f t="shared" si="1"/>
        <v>PASS</v>
      </c>
      <c r="J34" s="19" t="str">
        <f t="shared" si="2"/>
        <v>1</v>
      </c>
      <c r="L34" s="10"/>
      <c r="M34" s="10"/>
      <c r="N34" s="10"/>
    </row>
    <row r="35" ht="14.25" customHeight="1" spans="4:14">
      <c r="D35" s="19">
        <v>20</v>
      </c>
      <c r="E35" s="22" t="s">
        <v>186</v>
      </c>
      <c r="F35" s="19">
        <v>3</v>
      </c>
      <c r="G35" s="19">
        <v>18</v>
      </c>
      <c r="H35" s="19">
        <f t="shared" si="0"/>
        <v>21</v>
      </c>
      <c r="I35" s="19" t="str">
        <f t="shared" si="1"/>
        <v>FAIL</v>
      </c>
      <c r="J35" s="19" t="str">
        <f t="shared" si="2"/>
        <v>0</v>
      </c>
      <c r="L35" s="10"/>
      <c r="M35" s="10"/>
      <c r="N35" s="10"/>
    </row>
    <row r="36" ht="14.25" customHeight="1" spans="4:14">
      <c r="D36" s="19">
        <f>'SUB-1'!D35</f>
        <v>21</v>
      </c>
      <c r="E36" s="22" t="str">
        <f>'SUB-1'!E35</f>
        <v>BTMC24O1021</v>
      </c>
      <c r="F36" s="19">
        <v>65</v>
      </c>
      <c r="G36" s="19">
        <v>25</v>
      </c>
      <c r="H36" s="19">
        <f t="shared" si="0"/>
        <v>90</v>
      </c>
      <c r="I36" s="19" t="str">
        <f t="shared" si="1"/>
        <v>PASS</v>
      </c>
      <c r="J36" s="19" t="str">
        <f t="shared" si="2"/>
        <v>1</v>
      </c>
    </row>
    <row r="37" ht="14.25" customHeight="1" spans="4:14">
      <c r="D37" s="19">
        <f>'SUB-1'!D36</f>
        <v>22</v>
      </c>
      <c r="E37" s="22" t="str">
        <f>'SUB-1'!E36</f>
        <v>BTMC24O1022</v>
      </c>
      <c r="F37" s="19">
        <v>53</v>
      </c>
      <c r="G37" s="19">
        <v>3</v>
      </c>
      <c r="H37" s="19">
        <f t="shared" si="0"/>
        <v>56</v>
      </c>
      <c r="I37" s="19" t="str">
        <f t="shared" si="1"/>
        <v>PASS</v>
      </c>
      <c r="J37" s="19" t="str">
        <f t="shared" si="2"/>
        <v>1</v>
      </c>
    </row>
    <row r="38" ht="14.25" customHeight="1" spans="4:14">
      <c r="D38" s="19">
        <f>'SUB-1'!D37</f>
        <v>23</v>
      </c>
      <c r="E38" s="22" t="str">
        <f>'SUB-1'!E37</f>
        <v>BTMC24O1023</v>
      </c>
      <c r="F38" s="19">
        <v>46</v>
      </c>
      <c r="G38" s="19">
        <v>8</v>
      </c>
      <c r="H38" s="19">
        <f t="shared" si="0"/>
        <v>54</v>
      </c>
      <c r="I38" s="19" t="str">
        <f t="shared" si="1"/>
        <v>PASS</v>
      </c>
      <c r="J38" s="19" t="str">
        <f t="shared" si="2"/>
        <v>1</v>
      </c>
    </row>
    <row r="39" ht="14.25" customHeight="1" spans="4:14">
      <c r="D39" s="19">
        <f>'SUB-1'!D38</f>
        <v>24</v>
      </c>
      <c r="E39" s="22" t="str">
        <f>'SUB-1'!E38</f>
        <v>BTMC24O1024</v>
      </c>
      <c r="F39" s="19">
        <v>61</v>
      </c>
      <c r="G39" s="19">
        <v>12</v>
      </c>
      <c r="H39" s="19">
        <f t="shared" si="0"/>
        <v>73</v>
      </c>
      <c r="I39" s="19" t="str">
        <f t="shared" si="1"/>
        <v>PASS</v>
      </c>
      <c r="J39" s="19" t="str">
        <f t="shared" si="2"/>
        <v>1</v>
      </c>
    </row>
    <row r="40" ht="14.25" customHeight="1" spans="4:14">
      <c r="D40" s="19">
        <f>'SUB-1'!D39</f>
        <v>25</v>
      </c>
      <c r="E40" s="22" t="str">
        <f>'SUB-1'!E39</f>
        <v>BTMC24O1025</v>
      </c>
      <c r="F40" s="19">
        <v>21</v>
      </c>
      <c r="G40" s="19">
        <v>19</v>
      </c>
      <c r="H40" s="19">
        <f t="shared" si="0"/>
        <v>40</v>
      </c>
      <c r="I40" s="19" t="str">
        <f t="shared" si="1"/>
        <v>PASS</v>
      </c>
      <c r="J40" s="19" t="str">
        <f t="shared" si="2"/>
        <v>1</v>
      </c>
    </row>
    <row r="41" ht="14.25" customHeight="1" spans="4:14">
      <c r="D41" s="19">
        <f>'SUB-1'!D40</f>
        <v>26</v>
      </c>
      <c r="E41" s="22" t="str">
        <f>'SUB-1'!E40</f>
        <v>BTMC24O1026</v>
      </c>
      <c r="F41" s="19">
        <v>50</v>
      </c>
      <c r="G41" s="19">
        <v>11</v>
      </c>
      <c r="H41" s="19">
        <f t="shared" si="0"/>
        <v>61</v>
      </c>
      <c r="I41" s="19" t="str">
        <f t="shared" si="1"/>
        <v>PASS</v>
      </c>
      <c r="J41" s="19" t="str">
        <f t="shared" si="2"/>
        <v>1</v>
      </c>
    </row>
    <row r="42" ht="14.25" customHeight="1" spans="4:14">
      <c r="D42" s="19">
        <f>'SUB-1'!D41</f>
        <v>27</v>
      </c>
      <c r="E42" s="22" t="str">
        <f>'SUB-1'!E41</f>
        <v>BTMC24O1027</v>
      </c>
      <c r="F42" s="19">
        <v>44</v>
      </c>
      <c r="G42" s="19">
        <v>10</v>
      </c>
      <c r="H42" s="19">
        <f t="shared" si="0"/>
        <v>54</v>
      </c>
      <c r="I42" s="19" t="str">
        <f t="shared" si="1"/>
        <v>PASS</v>
      </c>
      <c r="J42" s="19" t="str">
        <f t="shared" si="2"/>
        <v>1</v>
      </c>
    </row>
    <row r="43" ht="14.25" customHeight="1" spans="4:14">
      <c r="D43" s="19">
        <f>'SUB-1'!D42</f>
        <v>28</v>
      </c>
      <c r="E43" s="22" t="str">
        <f>'SUB-1'!E42</f>
        <v>BTMC24O1028</v>
      </c>
      <c r="F43" s="19">
        <v>64</v>
      </c>
      <c r="G43" s="19">
        <v>13</v>
      </c>
      <c r="H43" s="19">
        <f t="shared" si="0"/>
        <v>77</v>
      </c>
      <c r="I43" s="19" t="str">
        <f t="shared" si="1"/>
        <v>PASS</v>
      </c>
      <c r="J43" s="19" t="str">
        <f t="shared" si="2"/>
        <v>1</v>
      </c>
    </row>
    <row r="44" ht="14.25" customHeight="1" spans="4:14">
      <c r="D44" s="19">
        <f>'SUB-1'!D43</f>
        <v>29</v>
      </c>
      <c r="E44" s="22" t="str">
        <f>'SUB-1'!E43</f>
        <v>BTMC24O1029</v>
      </c>
      <c r="F44" s="19">
        <v>29</v>
      </c>
      <c r="G44" s="19">
        <v>15</v>
      </c>
      <c r="H44" s="19">
        <f t="shared" si="0"/>
        <v>44</v>
      </c>
      <c r="I44" s="19" t="str">
        <f t="shared" si="1"/>
        <v>PASS</v>
      </c>
      <c r="J44" s="19" t="str">
        <f t="shared" si="2"/>
        <v>1</v>
      </c>
    </row>
    <row r="45" ht="14.25" customHeight="1" spans="4:14">
      <c r="D45" s="19">
        <f>'SUB-1'!D44</f>
        <v>30</v>
      </c>
      <c r="E45" s="22" t="str">
        <f>'SUB-1'!E44</f>
        <v>BTMC24O1030</v>
      </c>
      <c r="F45" s="19">
        <v>37</v>
      </c>
      <c r="G45" s="19">
        <v>9</v>
      </c>
      <c r="H45" s="19">
        <f t="shared" si="0"/>
        <v>46</v>
      </c>
      <c r="I45" s="19" t="str">
        <f t="shared" si="1"/>
        <v>PASS</v>
      </c>
      <c r="J45" s="19" t="str">
        <f t="shared" si="2"/>
        <v>1</v>
      </c>
    </row>
    <row r="46" ht="14.25" customHeight="1" spans="4:14">
      <c r="D46" s="19">
        <f>'SUB-1'!D45</f>
        <v>31</v>
      </c>
      <c r="E46" s="22" t="str">
        <f>'SUB-1'!E45</f>
        <v>BTMC24O1031</v>
      </c>
      <c r="F46" s="19">
        <v>49</v>
      </c>
      <c r="G46" s="19">
        <v>22</v>
      </c>
      <c r="H46" s="19">
        <f t="shared" si="0"/>
        <v>71</v>
      </c>
      <c r="I46" s="19" t="str">
        <f t="shared" si="1"/>
        <v>PASS</v>
      </c>
      <c r="J46" s="19" t="str">
        <f t="shared" si="2"/>
        <v>1</v>
      </c>
    </row>
    <row r="47" ht="14.25" customHeight="1" spans="4:14">
      <c r="D47" s="19">
        <f>'SUB-1'!D46</f>
        <v>32</v>
      </c>
      <c r="E47" s="22" t="str">
        <f>'SUB-1'!E46</f>
        <v>BTMC24O1032</v>
      </c>
      <c r="F47" s="19">
        <v>32</v>
      </c>
      <c r="G47" s="19">
        <v>9</v>
      </c>
      <c r="H47" s="19">
        <f t="shared" si="0"/>
        <v>41</v>
      </c>
      <c r="I47" s="19" t="str">
        <f t="shared" si="1"/>
        <v>PASS</v>
      </c>
      <c r="J47" s="19" t="str">
        <f t="shared" si="2"/>
        <v>1</v>
      </c>
    </row>
    <row r="48" ht="14.25" customHeight="1" spans="4:14">
      <c r="D48" s="19">
        <f>'SUB-1'!D47</f>
        <v>33</v>
      </c>
      <c r="E48" s="22" t="str">
        <f>'SUB-1'!E47</f>
        <v>BTMC24O1033</v>
      </c>
      <c r="F48" s="19">
        <v>8</v>
      </c>
      <c r="G48" s="19">
        <v>14</v>
      </c>
      <c r="H48" s="19">
        <f t="shared" si="0"/>
        <v>22</v>
      </c>
      <c r="I48" s="19" t="str">
        <f t="shared" si="1"/>
        <v>FAIL</v>
      </c>
      <c r="J48" s="19" t="str">
        <f t="shared" si="2"/>
        <v>0</v>
      </c>
    </row>
    <row r="49" ht="14.25" customHeight="1" spans="4:10">
      <c r="D49" s="19">
        <f>'SUB-1'!D48</f>
        <v>34</v>
      </c>
      <c r="E49" s="22" t="str">
        <f>'SUB-1'!E48</f>
        <v>BTMC24O1034</v>
      </c>
      <c r="F49" s="19">
        <v>5</v>
      </c>
      <c r="G49" s="19">
        <v>24</v>
      </c>
      <c r="H49" s="19">
        <f t="shared" si="0"/>
        <v>29</v>
      </c>
      <c r="I49" s="19" t="str">
        <f t="shared" si="1"/>
        <v>FAIL</v>
      </c>
      <c r="J49" s="19" t="str">
        <f t="shared" si="2"/>
        <v>0</v>
      </c>
    </row>
    <row r="50" ht="14.25" customHeight="1" spans="4:10">
      <c r="D50" s="19">
        <f>'SUB-1'!D49</f>
        <v>35</v>
      </c>
      <c r="E50" s="22" t="str">
        <f>'SUB-1'!E49</f>
        <v>BTMC24O1035</v>
      </c>
      <c r="F50" s="19">
        <v>63</v>
      </c>
      <c r="G50" s="19">
        <v>3</v>
      </c>
      <c r="H50" s="19">
        <f t="shared" si="0"/>
        <v>66</v>
      </c>
      <c r="I50" s="19" t="str">
        <f t="shared" si="1"/>
        <v>PASS</v>
      </c>
      <c r="J50" s="19" t="str">
        <f t="shared" si="2"/>
        <v>1</v>
      </c>
    </row>
    <row r="51" ht="14.25" customHeight="1" spans="4:10">
      <c r="D51" s="19">
        <f>'SUB-1'!D50</f>
        <v>36</v>
      </c>
      <c r="E51" s="22" t="str">
        <f>'SUB-1'!E50</f>
        <v>BTMC24O1036</v>
      </c>
      <c r="F51" s="19">
        <v>3</v>
      </c>
      <c r="G51" s="19">
        <v>19</v>
      </c>
      <c r="H51" s="19">
        <f t="shared" si="0"/>
        <v>22</v>
      </c>
      <c r="I51" s="19" t="str">
        <f t="shared" si="1"/>
        <v>FAIL</v>
      </c>
      <c r="J51" s="19" t="str">
        <f t="shared" si="2"/>
        <v>0</v>
      </c>
    </row>
    <row r="52" ht="14.25" customHeight="1" spans="4:10">
      <c r="D52" s="19">
        <f>'SUB-1'!D51</f>
        <v>37</v>
      </c>
      <c r="E52" s="22" t="str">
        <f>'SUB-1'!E51</f>
        <v>BTMC24O1037</v>
      </c>
      <c r="F52" s="19">
        <v>70</v>
      </c>
      <c r="G52" s="19">
        <v>27</v>
      </c>
      <c r="H52" s="19">
        <f t="shared" si="0"/>
        <v>97</v>
      </c>
      <c r="I52" s="19" t="str">
        <f t="shared" si="1"/>
        <v>PASS</v>
      </c>
      <c r="J52" s="19" t="str">
        <f t="shared" si="2"/>
        <v>1</v>
      </c>
    </row>
    <row r="53" ht="14.25" customHeight="1" spans="4:10">
      <c r="D53" s="19">
        <f>'SUB-1'!D52</f>
        <v>38</v>
      </c>
      <c r="E53" s="22" t="str">
        <f>'SUB-1'!E52</f>
        <v>BTMC24O1038</v>
      </c>
      <c r="F53" s="19">
        <v>64</v>
      </c>
      <c r="G53" s="19">
        <v>1</v>
      </c>
      <c r="H53" s="19">
        <f t="shared" si="0"/>
        <v>65</v>
      </c>
      <c r="I53" s="19" t="str">
        <f t="shared" si="1"/>
        <v>PASS</v>
      </c>
      <c r="J53" s="19" t="str">
        <f t="shared" si="2"/>
        <v>1</v>
      </c>
    </row>
    <row r="54" ht="14.25" customHeight="1" spans="4:10">
      <c r="D54" s="19">
        <f>'SUB-1'!D53</f>
        <v>39</v>
      </c>
      <c r="E54" s="22" t="str">
        <f>'SUB-1'!E53</f>
        <v>BTMC24O1039</v>
      </c>
      <c r="F54" s="19">
        <v>31</v>
      </c>
      <c r="G54" s="19">
        <v>1</v>
      </c>
      <c r="H54" s="19">
        <f t="shared" si="0"/>
        <v>32</v>
      </c>
      <c r="I54" s="19" t="str">
        <f t="shared" si="1"/>
        <v>FAIL</v>
      </c>
      <c r="J54" s="19" t="str">
        <f t="shared" si="2"/>
        <v>0</v>
      </c>
    </row>
    <row r="55" ht="14.25" customHeight="1" spans="4:10">
      <c r="D55" s="19">
        <f>'SUB-1'!D54</f>
        <v>40</v>
      </c>
      <c r="E55" s="22" t="str">
        <f>'SUB-1'!E54</f>
        <v>BTMC24O1040</v>
      </c>
      <c r="F55" s="19">
        <v>68</v>
      </c>
      <c r="G55" s="19">
        <v>16</v>
      </c>
      <c r="H55" s="19">
        <f t="shared" si="0"/>
        <v>84</v>
      </c>
      <c r="I55" s="19" t="str">
        <f t="shared" si="1"/>
        <v>PASS</v>
      </c>
      <c r="J55" s="19" t="str">
        <f t="shared" si="2"/>
        <v>1</v>
      </c>
    </row>
    <row r="56" ht="14.25" customHeight="1" spans="4:10">
      <c r="D56" s="19">
        <f>'SUB-1'!D55</f>
        <v>41</v>
      </c>
      <c r="E56" s="22" t="str">
        <f>'SUB-1'!E55</f>
        <v>BTMC24O1041</v>
      </c>
      <c r="F56" s="19">
        <v>36</v>
      </c>
      <c r="G56" s="19">
        <v>23</v>
      </c>
      <c r="H56" s="19">
        <f t="shared" si="0"/>
        <v>59</v>
      </c>
      <c r="I56" s="19" t="str">
        <f t="shared" si="1"/>
        <v>PASS</v>
      </c>
      <c r="J56" s="19" t="str">
        <f t="shared" si="2"/>
        <v>1</v>
      </c>
    </row>
    <row r="57" ht="14.25" customHeight="1" spans="4:10">
      <c r="D57" s="19">
        <f>'SUB-1'!D56</f>
        <v>42</v>
      </c>
      <c r="E57" s="22" t="str">
        <f>'SUB-1'!E56</f>
        <v>BTMC24O1042</v>
      </c>
      <c r="F57" s="19">
        <v>27</v>
      </c>
      <c r="G57" s="19">
        <v>14</v>
      </c>
      <c r="H57" s="19">
        <f t="shared" si="0"/>
        <v>41</v>
      </c>
      <c r="I57" s="19" t="str">
        <f t="shared" si="1"/>
        <v>PASS</v>
      </c>
      <c r="J57" s="19" t="str">
        <f t="shared" si="2"/>
        <v>1</v>
      </c>
    </row>
    <row r="58" ht="14.25" customHeight="1" spans="4:10">
      <c r="D58" s="19">
        <f>'SUB-1'!D57</f>
        <v>43</v>
      </c>
      <c r="E58" s="22" t="str">
        <f>'SUB-1'!E57</f>
        <v>BTMC24O1043</v>
      </c>
      <c r="F58" s="19">
        <v>3</v>
      </c>
      <c r="G58" s="19">
        <v>15</v>
      </c>
      <c r="H58" s="19">
        <f t="shared" si="0"/>
        <v>18</v>
      </c>
      <c r="I58" s="19" t="str">
        <f t="shared" si="1"/>
        <v>FAIL</v>
      </c>
      <c r="J58" s="19" t="str">
        <f t="shared" si="2"/>
        <v>0</v>
      </c>
    </row>
    <row r="59" ht="14.25" customHeight="1" spans="4:10">
      <c r="D59" s="19">
        <f>'SUB-1'!D58</f>
        <v>44</v>
      </c>
      <c r="E59" s="22" t="str">
        <f>'SUB-1'!E58</f>
        <v>BTMC24O1044</v>
      </c>
      <c r="F59" s="19">
        <v>14</v>
      </c>
      <c r="G59" s="19">
        <v>9</v>
      </c>
      <c r="H59" s="19">
        <f t="shared" si="0"/>
        <v>23</v>
      </c>
      <c r="I59" s="19" t="str">
        <f t="shared" si="1"/>
        <v>FAIL</v>
      </c>
      <c r="J59" s="19" t="str">
        <f t="shared" si="2"/>
        <v>0</v>
      </c>
    </row>
    <row r="60" ht="14.25" customHeight="1" spans="4:10">
      <c r="D60" s="19">
        <f>'SUB-1'!D59</f>
        <v>45</v>
      </c>
      <c r="E60" s="22" t="str">
        <f>'SUB-1'!E59</f>
        <v>BTMC24O1045</v>
      </c>
      <c r="F60" s="19">
        <v>24</v>
      </c>
      <c r="G60" s="19">
        <v>25</v>
      </c>
      <c r="H60" s="19">
        <f t="shared" si="0"/>
        <v>49</v>
      </c>
      <c r="I60" s="19" t="str">
        <f t="shared" si="1"/>
        <v>PASS</v>
      </c>
      <c r="J60" s="19" t="str">
        <f t="shared" si="2"/>
        <v>1</v>
      </c>
    </row>
    <row r="61" ht="14.25" customHeight="1" spans="4:10">
      <c r="D61" s="19">
        <f>'SUB-1'!D60</f>
        <v>46</v>
      </c>
      <c r="E61" s="22" t="str">
        <f>'SUB-1'!E60</f>
        <v>BTMC24O1046</v>
      </c>
      <c r="F61" s="19">
        <v>63</v>
      </c>
      <c r="G61" s="19">
        <v>13</v>
      </c>
      <c r="H61" s="19">
        <f t="shared" si="0"/>
        <v>76</v>
      </c>
      <c r="I61" s="19" t="str">
        <f t="shared" si="1"/>
        <v>PASS</v>
      </c>
      <c r="J61" s="19" t="str">
        <f t="shared" si="2"/>
        <v>1</v>
      </c>
    </row>
    <row r="62" ht="14.25" customHeight="1" spans="4:10">
      <c r="D62" s="19">
        <f>'SUB-1'!D61</f>
        <v>47</v>
      </c>
      <c r="E62" s="22" t="str">
        <f>'SUB-1'!E61</f>
        <v>BTMC24O1047</v>
      </c>
      <c r="F62" s="19">
        <v>69</v>
      </c>
      <c r="G62" s="19">
        <v>22</v>
      </c>
      <c r="H62" s="19">
        <f t="shared" si="0"/>
        <v>91</v>
      </c>
      <c r="I62" s="19" t="str">
        <f t="shared" si="1"/>
        <v>PASS</v>
      </c>
      <c r="J62" s="19" t="str">
        <f t="shared" si="2"/>
        <v>1</v>
      </c>
    </row>
    <row r="63" ht="14.25" customHeight="1" spans="4:10">
      <c r="D63" s="19">
        <f>'SUB-1'!D62</f>
        <v>48</v>
      </c>
      <c r="E63" s="22" t="str">
        <f>'SUB-1'!E62</f>
        <v>BTMC24O1048</v>
      </c>
      <c r="F63" s="19">
        <v>65</v>
      </c>
      <c r="G63" s="19">
        <v>28</v>
      </c>
      <c r="H63" s="19">
        <f t="shared" si="0"/>
        <v>93</v>
      </c>
      <c r="I63" s="19" t="str">
        <f t="shared" si="1"/>
        <v>PASS</v>
      </c>
      <c r="J63" s="19" t="str">
        <f t="shared" si="2"/>
        <v>1</v>
      </c>
    </row>
    <row r="64" ht="14.25" customHeight="1" spans="4:10">
      <c r="D64" s="19">
        <f>'SUB-1'!D63</f>
        <v>49</v>
      </c>
      <c r="E64" s="22" t="str">
        <f>'SUB-1'!E63</f>
        <v>BTMC24O1049</v>
      </c>
      <c r="F64" s="19">
        <v>4</v>
      </c>
      <c r="G64" s="19">
        <v>4</v>
      </c>
      <c r="H64" s="19">
        <f t="shared" si="0"/>
        <v>8</v>
      </c>
      <c r="I64" s="19" t="str">
        <f t="shared" si="1"/>
        <v>FAIL</v>
      </c>
      <c r="J64" s="19" t="str">
        <f t="shared" si="2"/>
        <v>0</v>
      </c>
    </row>
    <row r="65" ht="14.25" customHeight="1" spans="4:10">
      <c r="D65" s="19">
        <f>'SUB-1'!D64</f>
        <v>50</v>
      </c>
      <c r="E65" s="22" t="str">
        <f>'SUB-1'!E64</f>
        <v>BTMC24O1050</v>
      </c>
      <c r="F65" s="19">
        <v>40</v>
      </c>
      <c r="G65" s="19">
        <v>15</v>
      </c>
      <c r="H65" s="19">
        <f t="shared" si="0"/>
        <v>55</v>
      </c>
      <c r="I65" s="19" t="str">
        <f t="shared" si="1"/>
        <v>PASS</v>
      </c>
      <c r="J65" s="19" t="str">
        <f t="shared" si="2"/>
        <v>1</v>
      </c>
    </row>
    <row r="66" ht="14.25" customHeight="1" spans="4:10">
      <c r="D66" s="19">
        <f>'SUB-1'!D65</f>
        <v>51</v>
      </c>
      <c r="E66" s="22" t="str">
        <f>'SUB-1'!E65</f>
        <v>BTMC24O1051</v>
      </c>
      <c r="F66" s="19">
        <v>25</v>
      </c>
      <c r="G66" s="19">
        <v>28</v>
      </c>
      <c r="H66" s="19">
        <f t="shared" si="0"/>
        <v>53</v>
      </c>
      <c r="I66" s="19" t="str">
        <f t="shared" si="1"/>
        <v>PASS</v>
      </c>
      <c r="J66" s="19" t="str">
        <f t="shared" si="2"/>
        <v>1</v>
      </c>
    </row>
    <row r="67" ht="14.25" customHeight="1" spans="4:10">
      <c r="D67" s="19">
        <f>'SUB-1'!D66</f>
        <v>52</v>
      </c>
      <c r="E67" s="22" t="str">
        <f>'SUB-1'!E66</f>
        <v>BTMC24O1052</v>
      </c>
      <c r="F67" s="19">
        <v>36</v>
      </c>
      <c r="G67" s="19">
        <v>9</v>
      </c>
      <c r="H67" s="19">
        <f t="shared" si="0"/>
        <v>45</v>
      </c>
      <c r="I67" s="19" t="str">
        <f t="shared" si="1"/>
        <v>PASS</v>
      </c>
      <c r="J67" s="19" t="str">
        <f t="shared" si="2"/>
        <v>1</v>
      </c>
    </row>
    <row r="68" ht="14.25" customHeight="1" spans="4:10">
      <c r="D68" s="19">
        <f>'SUB-1'!D67</f>
        <v>53</v>
      </c>
      <c r="E68" s="22" t="str">
        <f>'SUB-1'!E67</f>
        <v>BTMC24O1053</v>
      </c>
      <c r="F68" s="19">
        <v>4</v>
      </c>
      <c r="G68" s="19">
        <v>18</v>
      </c>
      <c r="H68" s="19">
        <f t="shared" si="0"/>
        <v>22</v>
      </c>
      <c r="I68" s="19" t="str">
        <f t="shared" si="1"/>
        <v>FAIL</v>
      </c>
      <c r="J68" s="19" t="str">
        <f t="shared" si="2"/>
        <v>0</v>
      </c>
    </row>
    <row r="69" ht="14.25" customHeight="1" spans="4:10">
      <c r="D69" s="19">
        <f>'SUB-1'!D68</f>
        <v>54</v>
      </c>
      <c r="E69" s="22" t="str">
        <f>'SUB-1'!E68</f>
        <v>BTMC24O1054</v>
      </c>
      <c r="F69" s="19">
        <v>24</v>
      </c>
      <c r="G69" s="19">
        <v>12</v>
      </c>
      <c r="H69" s="19">
        <f t="shared" si="0"/>
        <v>36</v>
      </c>
      <c r="I69" s="19" t="str">
        <f t="shared" si="1"/>
        <v>PASS</v>
      </c>
      <c r="J69" s="19" t="str">
        <f t="shared" si="2"/>
        <v>1</v>
      </c>
    </row>
    <row r="70" ht="14.25" customHeight="1" spans="4:10">
      <c r="D70" s="19">
        <f>'SUB-1'!D69</f>
        <v>55</v>
      </c>
      <c r="E70" s="22" t="str">
        <f>'SUB-1'!E69</f>
        <v>BTMC24O1055</v>
      </c>
      <c r="F70" s="19">
        <v>65</v>
      </c>
      <c r="G70" s="19">
        <v>15</v>
      </c>
      <c r="H70" s="19">
        <f t="shared" si="0"/>
        <v>80</v>
      </c>
      <c r="I70" s="19" t="str">
        <f t="shared" si="1"/>
        <v>PASS</v>
      </c>
      <c r="J70" s="19" t="str">
        <f t="shared" si="2"/>
        <v>1</v>
      </c>
    </row>
    <row r="71" ht="14.25" customHeight="1" spans="4:10">
      <c r="D71" s="19">
        <f>'SUB-1'!D70</f>
        <v>56</v>
      </c>
      <c r="E71" s="22" t="str">
        <f>'SUB-1'!E70</f>
        <v>BTMC24O1056</v>
      </c>
      <c r="F71" s="19">
        <v>51</v>
      </c>
      <c r="G71" s="19">
        <v>18</v>
      </c>
      <c r="H71" s="19">
        <f t="shared" si="0"/>
        <v>69</v>
      </c>
      <c r="I71" s="19" t="str">
        <f t="shared" si="1"/>
        <v>PASS</v>
      </c>
      <c r="J71" s="19" t="str">
        <f t="shared" si="2"/>
        <v>1</v>
      </c>
    </row>
    <row r="72" ht="14.25" customHeight="1" spans="4:10">
      <c r="D72" s="19">
        <f>'SUB-1'!D71</f>
        <v>57</v>
      </c>
      <c r="E72" s="22" t="str">
        <f>'SUB-1'!E71</f>
        <v>BTMC24O1057</v>
      </c>
      <c r="F72" s="19">
        <v>70</v>
      </c>
      <c r="G72" s="19">
        <v>0</v>
      </c>
      <c r="H72" s="19">
        <f t="shared" si="0"/>
        <v>70</v>
      </c>
      <c r="I72" s="19" t="str">
        <f t="shared" si="1"/>
        <v>PASS</v>
      </c>
      <c r="J72" s="19" t="str">
        <f t="shared" si="2"/>
        <v>1</v>
      </c>
    </row>
    <row r="73" ht="14.25" customHeight="1" spans="4:10">
      <c r="D73" s="19">
        <f>'SUB-1'!D72</f>
        <v>58</v>
      </c>
      <c r="E73" s="22" t="str">
        <f>'SUB-1'!E72</f>
        <v>BTMC24O1058</v>
      </c>
      <c r="F73" s="19">
        <v>28</v>
      </c>
      <c r="G73" s="19">
        <v>28</v>
      </c>
      <c r="H73" s="19">
        <f t="shared" si="0"/>
        <v>56</v>
      </c>
      <c r="I73" s="19" t="str">
        <f t="shared" si="1"/>
        <v>PASS</v>
      </c>
      <c r="J73" s="19" t="str">
        <f t="shared" si="2"/>
        <v>1</v>
      </c>
    </row>
    <row r="74" ht="14.25" customHeight="1" spans="4:10">
      <c r="D74" s="19">
        <f>'SUB-1'!D73</f>
        <v>59</v>
      </c>
      <c r="E74" s="22" t="str">
        <f>'SUB-1'!E73</f>
        <v>BTMC24O1059</v>
      </c>
      <c r="F74" s="19">
        <v>3</v>
      </c>
      <c r="G74" s="19">
        <v>2</v>
      </c>
      <c r="H74" s="19">
        <f t="shared" si="0"/>
        <v>5</v>
      </c>
      <c r="I74" s="19" t="str">
        <f t="shared" si="1"/>
        <v>FAIL</v>
      </c>
      <c r="J74" s="19" t="str">
        <f t="shared" si="2"/>
        <v>0</v>
      </c>
    </row>
    <row r="75" ht="14.25" customHeight="1" spans="4:10">
      <c r="D75" s="19">
        <f>'SUB-1'!D74</f>
        <v>60</v>
      </c>
      <c r="E75" s="22" t="str">
        <f>'SUB-1'!E74</f>
        <v>BTMC24O1060</v>
      </c>
      <c r="F75" s="19">
        <v>37</v>
      </c>
      <c r="G75" s="19">
        <v>23</v>
      </c>
      <c r="H75" s="19">
        <f t="shared" si="0"/>
        <v>60</v>
      </c>
      <c r="I75" s="19" t="str">
        <f t="shared" si="1"/>
        <v>PASS</v>
      </c>
      <c r="J75" s="19" t="str">
        <f t="shared" si="2"/>
        <v>1</v>
      </c>
    </row>
    <row r="76" ht="14.25" customHeight="1" spans="4:10">
      <c r="D76" s="19">
        <f>'SUB-1'!D75</f>
        <v>61</v>
      </c>
      <c r="E76" s="22" t="str">
        <f>'SUB-1'!E75</f>
        <v>BTMC24O1061</v>
      </c>
      <c r="F76" s="19">
        <v>49</v>
      </c>
      <c r="G76" s="19">
        <v>10</v>
      </c>
      <c r="H76" s="19">
        <f t="shared" si="0"/>
        <v>59</v>
      </c>
      <c r="I76" s="19" t="str">
        <f t="shared" si="1"/>
        <v>PASS</v>
      </c>
      <c r="J76" s="19" t="str">
        <f t="shared" si="2"/>
        <v>1</v>
      </c>
    </row>
    <row r="77" ht="14.25" customHeight="1" spans="4:10">
      <c r="D77" s="19">
        <f>'SUB-1'!D76</f>
        <v>62</v>
      </c>
      <c r="E77" s="22" t="str">
        <f>'SUB-1'!E76</f>
        <v>BTMC24O1062</v>
      </c>
      <c r="F77" s="19">
        <v>37</v>
      </c>
      <c r="G77" s="19">
        <v>30</v>
      </c>
      <c r="H77" s="19">
        <f t="shared" si="0"/>
        <v>67</v>
      </c>
      <c r="I77" s="19" t="str">
        <f t="shared" si="1"/>
        <v>PASS</v>
      </c>
      <c r="J77" s="19" t="str">
        <f t="shared" si="2"/>
        <v>1</v>
      </c>
    </row>
    <row r="78" ht="14.25" customHeight="1" spans="4:10">
      <c r="D78" s="19">
        <f>'SUB-1'!D77</f>
        <v>63</v>
      </c>
      <c r="E78" s="22" t="str">
        <f>'SUB-1'!E77</f>
        <v>BTMC24O1063</v>
      </c>
      <c r="F78" s="19">
        <v>23</v>
      </c>
      <c r="G78" s="19">
        <v>17</v>
      </c>
      <c r="H78" s="19">
        <f t="shared" si="0"/>
        <v>40</v>
      </c>
      <c r="I78" s="19" t="str">
        <f t="shared" si="1"/>
        <v>PASS</v>
      </c>
      <c r="J78" s="19" t="str">
        <f t="shared" si="2"/>
        <v>1</v>
      </c>
    </row>
    <row r="79" ht="14.25" customHeight="1" spans="4:10">
      <c r="D79" s="19">
        <f>'SUB-1'!D78</f>
        <v>64</v>
      </c>
      <c r="E79" s="22" t="str">
        <f>'SUB-1'!E78</f>
        <v>BTMC24O1064</v>
      </c>
      <c r="F79" s="19">
        <v>43</v>
      </c>
      <c r="G79" s="19">
        <v>1</v>
      </c>
      <c r="H79" s="19">
        <f t="shared" si="0"/>
        <v>44</v>
      </c>
      <c r="I79" s="19" t="str">
        <f t="shared" si="1"/>
        <v>PASS</v>
      </c>
      <c r="J79" s="19" t="str">
        <f t="shared" si="2"/>
        <v>1</v>
      </c>
    </row>
    <row r="80" ht="14.25" customHeight="1" spans="4:10">
      <c r="D80" s="19">
        <f>'SUB-1'!D79</f>
        <v>65</v>
      </c>
      <c r="E80" s="22" t="str">
        <f>'SUB-1'!E79</f>
        <v>BTMC24O1065</v>
      </c>
      <c r="F80" s="19">
        <v>19</v>
      </c>
      <c r="G80" s="19">
        <v>15</v>
      </c>
      <c r="H80" s="19">
        <f t="shared" ref="H80:H115" si="3">F80+G80</f>
        <v>34</v>
      </c>
      <c r="I80" s="19" t="str">
        <f t="shared" ref="I80:I115" si="4">IF(H80&lt;35,"FAIL","PASS")</f>
        <v>FAIL</v>
      </c>
      <c r="J80" s="19" t="str">
        <f t="shared" ref="J80:J115" si="5">IF(H80&lt;35,"0","1")</f>
        <v>0</v>
      </c>
    </row>
    <row r="81" ht="14.25" customHeight="1" spans="4:10">
      <c r="D81" s="19">
        <f>'SUB-1'!D80</f>
        <v>66</v>
      </c>
      <c r="E81" s="22" t="str">
        <f>'SUB-1'!E80</f>
        <v>BTMC24O1066</v>
      </c>
      <c r="F81" s="19">
        <v>26</v>
      </c>
      <c r="G81" s="19">
        <v>21</v>
      </c>
      <c r="H81" s="19">
        <f t="shared" si="3"/>
        <v>47</v>
      </c>
      <c r="I81" s="19" t="str">
        <f t="shared" si="4"/>
        <v>PASS</v>
      </c>
      <c r="J81" s="19" t="str">
        <f t="shared" si="5"/>
        <v>1</v>
      </c>
    </row>
    <row r="82" ht="14.25" customHeight="1" spans="4:10">
      <c r="D82" s="19">
        <f>'SUB-1'!D81</f>
        <v>67</v>
      </c>
      <c r="E82" s="22" t="str">
        <f>'SUB-1'!E81</f>
        <v>BTMC24O1067</v>
      </c>
      <c r="F82" s="19">
        <v>0</v>
      </c>
      <c r="G82" s="19">
        <v>8</v>
      </c>
      <c r="H82" s="19">
        <f t="shared" si="3"/>
        <v>8</v>
      </c>
      <c r="I82" s="19" t="str">
        <f t="shared" si="4"/>
        <v>FAIL</v>
      </c>
      <c r="J82" s="19" t="str">
        <f t="shared" si="5"/>
        <v>0</v>
      </c>
    </row>
    <row r="83" ht="14.25" customHeight="1" spans="4:10">
      <c r="D83" s="19">
        <f>'SUB-1'!D82</f>
        <v>68</v>
      </c>
      <c r="E83" s="22" t="str">
        <f>'SUB-1'!E82</f>
        <v>BTMC24O1068</v>
      </c>
      <c r="F83" s="19">
        <v>52</v>
      </c>
      <c r="G83" s="19">
        <v>1</v>
      </c>
      <c r="H83" s="19">
        <f t="shared" si="3"/>
        <v>53</v>
      </c>
      <c r="I83" s="19" t="str">
        <f t="shared" si="4"/>
        <v>PASS</v>
      </c>
      <c r="J83" s="19" t="str">
        <f t="shared" si="5"/>
        <v>1</v>
      </c>
    </row>
    <row r="84" ht="14.25" customHeight="1" spans="4:10">
      <c r="D84" s="19">
        <f>'SUB-1'!D83</f>
        <v>69</v>
      </c>
      <c r="E84" s="22" t="str">
        <f>'SUB-1'!E83</f>
        <v>BTMC24O1069</v>
      </c>
      <c r="F84" s="19">
        <v>31</v>
      </c>
      <c r="G84" s="19">
        <v>20</v>
      </c>
      <c r="H84" s="19">
        <f t="shared" si="3"/>
        <v>51</v>
      </c>
      <c r="I84" s="19" t="str">
        <f t="shared" si="4"/>
        <v>PASS</v>
      </c>
      <c r="J84" s="19" t="str">
        <f t="shared" si="5"/>
        <v>1</v>
      </c>
    </row>
    <row r="85" ht="14.25" customHeight="1" spans="4:10">
      <c r="D85" s="19">
        <f>'SUB-1'!D84</f>
        <v>70</v>
      </c>
      <c r="E85" s="22" t="str">
        <f>'SUB-1'!E84</f>
        <v>BTMC24O1070</v>
      </c>
      <c r="F85" s="19">
        <v>30</v>
      </c>
      <c r="G85" s="19">
        <v>26</v>
      </c>
      <c r="H85" s="19">
        <f t="shared" si="3"/>
        <v>56</v>
      </c>
      <c r="I85" s="19" t="str">
        <f t="shared" si="4"/>
        <v>PASS</v>
      </c>
      <c r="J85" s="19" t="str">
        <f t="shared" si="5"/>
        <v>1</v>
      </c>
    </row>
    <row r="86" ht="14.25" customHeight="1" spans="4:10">
      <c r="D86" s="19">
        <f>'SUB-1'!D85</f>
        <v>71</v>
      </c>
      <c r="E86" s="22" t="str">
        <f>'SUB-1'!E85</f>
        <v>BTMC24O1071</v>
      </c>
      <c r="F86" s="19">
        <v>52</v>
      </c>
      <c r="G86" s="19">
        <v>0</v>
      </c>
      <c r="H86" s="19">
        <f t="shared" si="3"/>
        <v>52</v>
      </c>
      <c r="I86" s="19" t="str">
        <f t="shared" si="4"/>
        <v>PASS</v>
      </c>
      <c r="J86" s="19" t="str">
        <f t="shared" si="5"/>
        <v>1</v>
      </c>
    </row>
    <row r="87" ht="14.25" customHeight="1" spans="4:10">
      <c r="D87" s="19">
        <f>'SUB-1'!D86</f>
        <v>72</v>
      </c>
      <c r="E87" s="22" t="str">
        <f>'SUB-1'!E86</f>
        <v>BTMC24O1072</v>
      </c>
      <c r="F87" s="19">
        <v>43</v>
      </c>
      <c r="G87" s="19">
        <v>23</v>
      </c>
      <c r="H87" s="19">
        <f t="shared" si="3"/>
        <v>66</v>
      </c>
      <c r="I87" s="19" t="str">
        <f t="shared" si="4"/>
        <v>PASS</v>
      </c>
      <c r="J87" s="19" t="str">
        <f t="shared" si="5"/>
        <v>1</v>
      </c>
    </row>
    <row r="88" ht="14.25" customHeight="1" spans="4:10">
      <c r="D88" s="19">
        <f>'SUB-1'!D87</f>
        <v>73</v>
      </c>
      <c r="E88" s="22" t="str">
        <f>'SUB-1'!E87</f>
        <v>BTMC24O1073</v>
      </c>
      <c r="F88" s="19">
        <v>18</v>
      </c>
      <c r="G88" s="19">
        <v>23</v>
      </c>
      <c r="H88" s="19">
        <f t="shared" si="3"/>
        <v>41</v>
      </c>
      <c r="I88" s="19" t="str">
        <f t="shared" si="4"/>
        <v>PASS</v>
      </c>
      <c r="J88" s="19" t="str">
        <f t="shared" si="5"/>
        <v>1</v>
      </c>
    </row>
    <row r="89" ht="14.25" customHeight="1" spans="4:10">
      <c r="D89" s="19">
        <f>'SUB-1'!D88</f>
        <v>74</v>
      </c>
      <c r="E89" s="22" t="str">
        <f>'SUB-1'!E88</f>
        <v>BTMC24O1074</v>
      </c>
      <c r="F89" s="19">
        <v>44</v>
      </c>
      <c r="G89" s="19">
        <v>4</v>
      </c>
      <c r="H89" s="19">
        <f t="shared" si="3"/>
        <v>48</v>
      </c>
      <c r="I89" s="19" t="str">
        <f t="shared" si="4"/>
        <v>PASS</v>
      </c>
      <c r="J89" s="19" t="str">
        <f t="shared" si="5"/>
        <v>1</v>
      </c>
    </row>
    <row r="90" ht="14.25" customHeight="1" spans="4:10">
      <c r="D90" s="19">
        <f>'SUB-1'!D89</f>
        <v>75</v>
      </c>
      <c r="E90" s="22" t="str">
        <f>'SUB-1'!E89</f>
        <v>BTMC24O1075</v>
      </c>
      <c r="F90" s="19">
        <v>28</v>
      </c>
      <c r="G90" s="19">
        <v>0</v>
      </c>
      <c r="H90" s="19">
        <f t="shared" si="3"/>
        <v>28</v>
      </c>
      <c r="I90" s="19" t="str">
        <f t="shared" si="4"/>
        <v>FAIL</v>
      </c>
      <c r="J90" s="19" t="str">
        <f t="shared" si="5"/>
        <v>0</v>
      </c>
    </row>
    <row r="91" ht="14.25" customHeight="1" spans="4:10">
      <c r="D91" s="19">
        <f>'SUB-1'!D90</f>
        <v>76</v>
      </c>
      <c r="E91" s="22" t="str">
        <f>'SUB-1'!E90</f>
        <v>BTMC24O1076</v>
      </c>
      <c r="F91" s="19">
        <v>28</v>
      </c>
      <c r="G91" s="19">
        <v>13</v>
      </c>
      <c r="H91" s="19">
        <f t="shared" si="3"/>
        <v>41</v>
      </c>
      <c r="I91" s="19" t="str">
        <f t="shared" si="4"/>
        <v>PASS</v>
      </c>
      <c r="J91" s="19" t="str">
        <f t="shared" si="5"/>
        <v>1</v>
      </c>
    </row>
    <row r="92" ht="14.25" customHeight="1" spans="4:10">
      <c r="D92" s="19">
        <f>'SUB-1'!D91</f>
        <v>77</v>
      </c>
      <c r="E92" s="22" t="str">
        <f>'SUB-1'!E91</f>
        <v>BTMC24O1077</v>
      </c>
      <c r="F92" s="19">
        <v>62</v>
      </c>
      <c r="G92" s="19">
        <v>6</v>
      </c>
      <c r="H92" s="19">
        <f t="shared" si="3"/>
        <v>68</v>
      </c>
      <c r="I92" s="19" t="str">
        <f t="shared" si="4"/>
        <v>PASS</v>
      </c>
      <c r="J92" s="19" t="str">
        <f t="shared" si="5"/>
        <v>1</v>
      </c>
    </row>
    <row r="93" ht="14.25" customHeight="1" spans="4:10">
      <c r="D93" s="19">
        <f>'SUB-1'!D92</f>
        <v>78</v>
      </c>
      <c r="E93" s="22" t="str">
        <f>'SUB-1'!E92</f>
        <v>BTMC24O1078</v>
      </c>
      <c r="F93" s="19">
        <v>53</v>
      </c>
      <c r="G93" s="19">
        <v>0</v>
      </c>
      <c r="H93" s="19">
        <f t="shared" si="3"/>
        <v>53</v>
      </c>
      <c r="I93" s="19" t="str">
        <f t="shared" si="4"/>
        <v>PASS</v>
      </c>
      <c r="J93" s="19" t="str">
        <f t="shared" si="5"/>
        <v>1</v>
      </c>
    </row>
    <row r="94" ht="14.25" customHeight="1" spans="4:10">
      <c r="D94" s="19">
        <f>'SUB-1'!D93</f>
        <v>79</v>
      </c>
      <c r="E94" s="22" t="str">
        <f>'SUB-1'!E93</f>
        <v>BTMC24O1079</v>
      </c>
      <c r="F94" s="19">
        <v>25</v>
      </c>
      <c r="G94" s="19">
        <v>12</v>
      </c>
      <c r="H94" s="19">
        <f t="shared" si="3"/>
        <v>37</v>
      </c>
      <c r="I94" s="19" t="str">
        <f t="shared" si="4"/>
        <v>PASS</v>
      </c>
      <c r="J94" s="19" t="str">
        <f t="shared" si="5"/>
        <v>1</v>
      </c>
    </row>
    <row r="95" ht="14.25" customHeight="1" spans="4:10">
      <c r="D95" s="19">
        <f>'SUB-1'!D94</f>
        <v>80</v>
      </c>
      <c r="E95" s="22" t="str">
        <f>'SUB-1'!E94</f>
        <v>BTMC24O1080</v>
      </c>
      <c r="F95" s="19">
        <v>7</v>
      </c>
      <c r="G95" s="19">
        <v>21</v>
      </c>
      <c r="H95" s="19">
        <f t="shared" si="3"/>
        <v>28</v>
      </c>
      <c r="I95" s="19" t="str">
        <f t="shared" si="4"/>
        <v>FAIL</v>
      </c>
      <c r="J95" s="19" t="str">
        <f t="shared" si="5"/>
        <v>0</v>
      </c>
    </row>
    <row r="96" ht="14.25" customHeight="1" spans="4:10">
      <c r="D96" s="19">
        <f>'SUB-1'!D95</f>
        <v>81</v>
      </c>
      <c r="E96" s="22" t="str">
        <f>'SUB-1'!E95</f>
        <v>BTMC24O1081</v>
      </c>
      <c r="F96" s="19">
        <v>47</v>
      </c>
      <c r="G96" s="19">
        <v>30</v>
      </c>
      <c r="H96" s="19">
        <f t="shared" si="3"/>
        <v>77</v>
      </c>
      <c r="I96" s="19" t="str">
        <f t="shared" si="4"/>
        <v>PASS</v>
      </c>
      <c r="J96" s="19" t="str">
        <f t="shared" si="5"/>
        <v>1</v>
      </c>
    </row>
    <row r="97" ht="14.25" customHeight="1" spans="4:10">
      <c r="D97" s="19">
        <f>'SUB-1'!D96</f>
        <v>82</v>
      </c>
      <c r="E97" s="22" t="str">
        <f>'SUB-1'!E96</f>
        <v>BTMC24O1082</v>
      </c>
      <c r="F97" s="19">
        <v>60</v>
      </c>
      <c r="G97" s="19">
        <v>1</v>
      </c>
      <c r="H97" s="19">
        <f t="shared" si="3"/>
        <v>61</v>
      </c>
      <c r="I97" s="19" t="str">
        <f t="shared" si="4"/>
        <v>PASS</v>
      </c>
      <c r="J97" s="19" t="str">
        <f t="shared" si="5"/>
        <v>1</v>
      </c>
    </row>
    <row r="98" ht="14.25" customHeight="1" spans="4:10">
      <c r="D98" s="19">
        <f>'SUB-1'!D97</f>
        <v>83</v>
      </c>
      <c r="E98" s="22" t="str">
        <f>'SUB-1'!E97</f>
        <v>BTMC24O1083</v>
      </c>
      <c r="F98" s="19">
        <v>65</v>
      </c>
      <c r="G98" s="19">
        <v>10</v>
      </c>
      <c r="H98" s="19">
        <f t="shared" si="3"/>
        <v>75</v>
      </c>
      <c r="I98" s="19" t="str">
        <f t="shared" si="4"/>
        <v>PASS</v>
      </c>
      <c r="J98" s="19" t="str">
        <f t="shared" si="5"/>
        <v>1</v>
      </c>
    </row>
    <row r="99" ht="14.25" customHeight="1" spans="4:10">
      <c r="D99" s="19">
        <f>'SUB-1'!D98</f>
        <v>84</v>
      </c>
      <c r="E99" s="22" t="str">
        <f>'SUB-1'!E98</f>
        <v>BTMC24O1084</v>
      </c>
      <c r="F99" s="19">
        <v>36</v>
      </c>
      <c r="G99" s="19">
        <v>28</v>
      </c>
      <c r="H99" s="19">
        <f t="shared" si="3"/>
        <v>64</v>
      </c>
      <c r="I99" s="19" t="str">
        <f t="shared" si="4"/>
        <v>PASS</v>
      </c>
      <c r="J99" s="19" t="str">
        <f t="shared" si="5"/>
        <v>1</v>
      </c>
    </row>
    <row r="100" ht="14.25" customHeight="1" spans="4:10">
      <c r="D100" s="19">
        <f>'SUB-1'!D99</f>
        <v>85</v>
      </c>
      <c r="E100" s="22" t="str">
        <f>'SUB-1'!E99</f>
        <v>BTMC24O1085</v>
      </c>
      <c r="F100" s="19">
        <v>25</v>
      </c>
      <c r="G100" s="19">
        <v>11</v>
      </c>
      <c r="H100" s="19">
        <f t="shared" si="3"/>
        <v>36</v>
      </c>
      <c r="I100" s="19" t="str">
        <f t="shared" si="4"/>
        <v>PASS</v>
      </c>
      <c r="J100" s="19" t="str">
        <f t="shared" si="5"/>
        <v>1</v>
      </c>
    </row>
    <row r="101" ht="14.25" customHeight="1" spans="4:10">
      <c r="D101" s="19">
        <f>'SUB-1'!D100</f>
        <v>86</v>
      </c>
      <c r="E101" s="22" t="str">
        <f>'SUB-1'!E100</f>
        <v>BTMC24O1086</v>
      </c>
      <c r="F101" s="19">
        <v>30</v>
      </c>
      <c r="G101" s="19">
        <v>17</v>
      </c>
      <c r="H101" s="19">
        <f t="shared" si="3"/>
        <v>47</v>
      </c>
      <c r="I101" s="19" t="str">
        <f t="shared" si="4"/>
        <v>PASS</v>
      </c>
      <c r="J101" s="19" t="str">
        <f t="shared" si="5"/>
        <v>1</v>
      </c>
    </row>
    <row r="102" ht="14.25" customHeight="1" spans="4:10">
      <c r="D102" s="19">
        <f>'SUB-1'!D101</f>
        <v>87</v>
      </c>
      <c r="E102" s="22" t="str">
        <f>'SUB-1'!E101</f>
        <v>BTMC24O1087</v>
      </c>
      <c r="F102" s="19">
        <v>70</v>
      </c>
      <c r="G102" s="19">
        <v>23</v>
      </c>
      <c r="H102" s="19">
        <f t="shared" si="3"/>
        <v>93</v>
      </c>
      <c r="I102" s="19" t="str">
        <f t="shared" si="4"/>
        <v>PASS</v>
      </c>
      <c r="J102" s="19" t="str">
        <f t="shared" si="5"/>
        <v>1</v>
      </c>
    </row>
    <row r="103" ht="14.25" customHeight="1" spans="4:10">
      <c r="D103" s="19">
        <f>'SUB-1'!D102</f>
        <v>88</v>
      </c>
      <c r="E103" s="22" t="str">
        <f>'SUB-1'!E102</f>
        <v>BTMC24O1088</v>
      </c>
      <c r="F103" s="19">
        <v>66</v>
      </c>
      <c r="G103" s="19">
        <v>21</v>
      </c>
      <c r="H103" s="19">
        <f t="shared" si="3"/>
        <v>87</v>
      </c>
      <c r="I103" s="19" t="str">
        <f t="shared" si="4"/>
        <v>PASS</v>
      </c>
      <c r="J103" s="19" t="str">
        <f t="shared" si="5"/>
        <v>1</v>
      </c>
    </row>
    <row r="104" ht="14.25" customHeight="1" spans="4:10">
      <c r="D104" s="19">
        <f>'SUB-1'!D103</f>
        <v>89</v>
      </c>
      <c r="E104" s="22" t="str">
        <f>'SUB-1'!E103</f>
        <v>BTMC24O1089</v>
      </c>
      <c r="F104" s="19">
        <v>42</v>
      </c>
      <c r="G104" s="19">
        <v>10</v>
      </c>
      <c r="H104" s="19">
        <f t="shared" si="3"/>
        <v>52</v>
      </c>
      <c r="I104" s="19" t="str">
        <f t="shared" si="4"/>
        <v>PASS</v>
      </c>
      <c r="J104" s="19" t="str">
        <f t="shared" si="5"/>
        <v>1</v>
      </c>
    </row>
    <row r="105" ht="14.25" customHeight="1" spans="4:10">
      <c r="D105" s="19">
        <f>'SUB-1'!D104</f>
        <v>90</v>
      </c>
      <c r="E105" s="22" t="str">
        <f>'SUB-1'!E104</f>
        <v>BTMC24O1090</v>
      </c>
      <c r="F105" s="19">
        <v>44</v>
      </c>
      <c r="G105" s="19">
        <v>23</v>
      </c>
      <c r="H105" s="19">
        <f t="shared" si="3"/>
        <v>67</v>
      </c>
      <c r="I105" s="19" t="str">
        <f t="shared" si="4"/>
        <v>PASS</v>
      </c>
      <c r="J105" s="19" t="str">
        <f t="shared" si="5"/>
        <v>1</v>
      </c>
    </row>
    <row r="106" ht="14.25" customHeight="1" spans="4:10">
      <c r="D106" s="19">
        <f>'SUB-1'!D105</f>
        <v>91</v>
      </c>
      <c r="E106" s="22" t="str">
        <f>'SUB-1'!E105</f>
        <v>BTMC24O1091</v>
      </c>
      <c r="F106" s="19">
        <v>43</v>
      </c>
      <c r="G106" s="19">
        <v>5</v>
      </c>
      <c r="H106" s="19">
        <f t="shared" si="3"/>
        <v>48</v>
      </c>
      <c r="I106" s="19" t="str">
        <f t="shared" si="4"/>
        <v>PASS</v>
      </c>
      <c r="J106" s="19" t="str">
        <f t="shared" si="5"/>
        <v>1</v>
      </c>
    </row>
    <row r="107" ht="14.25" customHeight="1" spans="4:10">
      <c r="D107" s="19">
        <f>'SUB-1'!D106</f>
        <v>92</v>
      </c>
      <c r="E107" s="22" t="str">
        <f>'SUB-1'!E106</f>
        <v>BTMC24O1092</v>
      </c>
      <c r="F107" s="19">
        <v>57</v>
      </c>
      <c r="G107" s="19">
        <v>0</v>
      </c>
      <c r="H107" s="19">
        <f t="shared" si="3"/>
        <v>57</v>
      </c>
      <c r="I107" s="19" t="str">
        <f t="shared" si="4"/>
        <v>PASS</v>
      </c>
      <c r="J107" s="19" t="str">
        <f t="shared" si="5"/>
        <v>1</v>
      </c>
    </row>
    <row r="108" ht="14.25" customHeight="1" spans="4:10">
      <c r="D108" s="19">
        <f>'SUB-1'!D107</f>
        <v>93</v>
      </c>
      <c r="E108" s="22" t="str">
        <f>'SUB-1'!E107</f>
        <v>BTMC24O1093</v>
      </c>
      <c r="F108" s="19">
        <v>52</v>
      </c>
      <c r="G108" s="19">
        <v>22</v>
      </c>
      <c r="H108" s="19">
        <f t="shared" si="3"/>
        <v>74</v>
      </c>
      <c r="I108" s="19" t="str">
        <f t="shared" si="4"/>
        <v>PASS</v>
      </c>
      <c r="J108" s="19" t="str">
        <f t="shared" si="5"/>
        <v>1</v>
      </c>
    </row>
    <row r="109" ht="14.25" customHeight="1" spans="4:10">
      <c r="D109" s="19">
        <f>'SUB-1'!D108</f>
        <v>94</v>
      </c>
      <c r="E109" s="22" t="str">
        <f>'SUB-1'!E108</f>
        <v>BTMC24O1094</v>
      </c>
      <c r="F109" s="19">
        <v>69</v>
      </c>
      <c r="G109" s="19">
        <v>14</v>
      </c>
      <c r="H109" s="19">
        <f t="shared" si="3"/>
        <v>83</v>
      </c>
      <c r="I109" s="19" t="str">
        <f t="shared" si="4"/>
        <v>PASS</v>
      </c>
      <c r="J109" s="19" t="str">
        <f t="shared" si="5"/>
        <v>1</v>
      </c>
    </row>
    <row r="110" ht="14.25" customHeight="1" spans="4:10">
      <c r="D110" s="19">
        <f>'SUB-1'!D109</f>
        <v>95</v>
      </c>
      <c r="E110" s="22" t="str">
        <f>'SUB-1'!E109</f>
        <v>BTMC24O1095</v>
      </c>
      <c r="F110" s="19">
        <v>51</v>
      </c>
      <c r="G110" s="19">
        <v>4</v>
      </c>
      <c r="H110" s="19">
        <f t="shared" si="3"/>
        <v>55</v>
      </c>
      <c r="I110" s="19" t="str">
        <f t="shared" si="4"/>
        <v>PASS</v>
      </c>
      <c r="J110" s="19" t="str">
        <f t="shared" si="5"/>
        <v>1</v>
      </c>
    </row>
    <row r="111" ht="14.25" customHeight="1" spans="4:10">
      <c r="D111" s="19">
        <f>'SUB-1'!D110</f>
        <v>96</v>
      </c>
      <c r="E111" s="22" t="str">
        <f>'SUB-1'!E110</f>
        <v>BTMC24O1096</v>
      </c>
      <c r="F111" s="19">
        <v>34</v>
      </c>
      <c r="G111" s="19">
        <v>1</v>
      </c>
      <c r="H111" s="19">
        <f t="shared" si="3"/>
        <v>35</v>
      </c>
      <c r="I111" s="19" t="str">
        <f t="shared" si="4"/>
        <v>PASS</v>
      </c>
      <c r="J111" s="19" t="str">
        <f t="shared" si="5"/>
        <v>1</v>
      </c>
    </row>
    <row r="112" ht="14.25" customHeight="1" spans="4:10">
      <c r="D112" s="19">
        <f>'SUB-1'!D111</f>
        <v>97</v>
      </c>
      <c r="E112" s="22" t="str">
        <f>'SUB-1'!E111</f>
        <v>BTMC24O1097</v>
      </c>
      <c r="F112" s="19">
        <v>39</v>
      </c>
      <c r="G112" s="19">
        <v>17</v>
      </c>
      <c r="H112" s="19">
        <f t="shared" si="3"/>
        <v>56</v>
      </c>
      <c r="I112" s="19" t="str">
        <f t="shared" si="4"/>
        <v>PASS</v>
      </c>
      <c r="J112" s="19" t="str">
        <f t="shared" si="5"/>
        <v>1</v>
      </c>
    </row>
    <row r="113" ht="14.25" customHeight="1" spans="4:10">
      <c r="D113" s="19">
        <f>'SUB-1'!D112</f>
        <v>98</v>
      </c>
      <c r="E113" s="22" t="str">
        <f>'SUB-1'!E112</f>
        <v>BTMC24O1098</v>
      </c>
      <c r="F113" s="19">
        <v>7</v>
      </c>
      <c r="G113" s="19">
        <v>6</v>
      </c>
      <c r="H113" s="19">
        <f t="shared" si="3"/>
        <v>13</v>
      </c>
      <c r="I113" s="19" t="str">
        <f t="shared" si="4"/>
        <v>FAIL</v>
      </c>
      <c r="J113" s="19" t="str">
        <f t="shared" si="5"/>
        <v>0</v>
      </c>
    </row>
    <row r="114" ht="14.25" customHeight="1" spans="4:10">
      <c r="D114" s="19">
        <f>'SUB-1'!D113</f>
        <v>99</v>
      </c>
      <c r="E114" s="22" t="str">
        <f>'SUB-1'!E113</f>
        <v>BTMC24O1099</v>
      </c>
      <c r="F114" s="19">
        <v>3</v>
      </c>
      <c r="G114" s="19">
        <v>9</v>
      </c>
      <c r="H114" s="19">
        <f t="shared" si="3"/>
        <v>12</v>
      </c>
      <c r="I114" s="19" t="str">
        <f t="shared" si="4"/>
        <v>FAIL</v>
      </c>
      <c r="J114" s="19" t="str">
        <f t="shared" si="5"/>
        <v>0</v>
      </c>
    </row>
    <row r="115" ht="14.25" customHeight="1" spans="4:10">
      <c r="D115" s="19">
        <f>'SUB-1'!D114</f>
        <v>100</v>
      </c>
      <c r="E115" s="22" t="str">
        <f>'SUB-1'!E114</f>
        <v>BTMC24O1100</v>
      </c>
      <c r="F115" s="19">
        <v>20</v>
      </c>
      <c r="G115" s="19">
        <v>19</v>
      </c>
      <c r="H115" s="19">
        <f t="shared" si="3"/>
        <v>39</v>
      </c>
      <c r="I115" s="19" t="str">
        <f t="shared" si="4"/>
        <v>PASS</v>
      </c>
      <c r="J115" s="19" t="str">
        <f t="shared" si="5"/>
        <v>1</v>
      </c>
    </row>
  </sheetData>
  <mergeCells count="8">
    <mergeCell ref="D4:Q4"/>
    <mergeCell ref="D5:Q5"/>
    <mergeCell ref="D6:Q6"/>
    <mergeCell ref="G7:L7"/>
    <mergeCell ref="D8:Q8"/>
    <mergeCell ref="D9:Q9"/>
    <mergeCell ref="L16:M16"/>
    <mergeCell ref="D2:Q3"/>
  </mergeCells>
  <conditionalFormatting sqref="E16:E115">
    <cfRule type="expression" dxfId="2" priority="5">
      <formula>COUNTIF($E$16:$E$115,E16)&gt;1</formula>
    </cfRule>
  </conditionalFormatting>
  <conditionalFormatting sqref="F16:F115">
    <cfRule type="expression" dxfId="2" priority="3">
      <formula>OR(F16&lt;0,F16&gt;70,NOT(ISNUMBER(F16)))</formula>
    </cfRule>
  </conditionalFormatting>
  <conditionalFormatting sqref="G16:G115">
    <cfRule type="expression" dxfId="2" priority="4">
      <formula>OR(G16&lt;0,G16&gt;30,NOT(ISNUMBER(G16)))</formula>
    </cfRule>
  </conditionalFormatting>
  <conditionalFormatting sqref="I16:I115">
    <cfRule type="containsText" dxfId="0" priority="2" operator="between" text="FAIL">
      <formula>NOT(ISERROR(SEARCH("FAIL",I16)))</formula>
    </cfRule>
  </conditionalFormatting>
  <dataValidations count="3">
    <dataValidation type="textLength" operator="equal" allowBlank="1" showErrorMessage="1" errorTitle="Invalid enrollment no." error="Enrollment number must be 11 characters (e.g. BTMC24O1001)" sqref="E16:E115">
      <formula1>11</formula1>
    </dataValidation>
    <dataValidation type="decimal" operator="between" allowBlank="1" showErrorMessage="1" errorTitle="Invalid mark" error="Enter a number between 0 and 70" sqref="F16:F115">
      <formula1>0</formula1>
      <formula2>70</formula2>
    </dataValidation>
    <dataValidation type="decimal" operator="between" allowBlank="1" showErrorMessage="1" errorTitle="Invalid mark" error="Enter a number between 0 and 30" sqref="G16:G115">
      <formula1>0</formula1>
      <formula2>30</formula2>
    </dataValidation>
  </dataValidation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C1:Q115"/>
  <sheetViews>
    <sheetView zoomScale="90" zoomScaleNormal="90" topLeftCell="E10" workbookViewId="0">
      <selection activeCell="K30" sqref="K30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21.5462962962963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674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675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="26" customFormat="1" ht="21" customHeight="1" spans="3:17">
      <c r="C5" s="15"/>
      <c r="D5" s="13" t="s">
        <v>666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9"/>
      <c r="E7" s="9"/>
      <c r="F7" s="9"/>
      <c r="G7" s="13" t="s">
        <v>676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677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678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25241107</v>
      </c>
      <c r="F11" s="17" t="s">
        <v>670</v>
      </c>
      <c r="G11" s="17" t="s">
        <v>679</v>
      </c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671</v>
      </c>
      <c r="G12" s="18" t="s">
        <v>627</v>
      </c>
      <c r="H12" s="18" t="s">
        <v>75</v>
      </c>
      <c r="I12" s="18" t="s">
        <v>77</v>
      </c>
      <c r="J12" s="18" t="s">
        <v>47</v>
      </c>
      <c r="L12" s="10"/>
      <c r="M12" s="10"/>
      <c r="N12" s="10"/>
    </row>
    <row r="13" ht="14.25" customHeight="1" spans="3:17">
      <c r="D13" s="19"/>
      <c r="E13" s="19"/>
      <c r="F13" s="18" t="s">
        <v>672</v>
      </c>
      <c r="G13" s="19"/>
      <c r="H13" s="19"/>
      <c r="I13" s="19"/>
      <c r="J13" s="19"/>
      <c r="L13" s="10"/>
      <c r="M13" s="10"/>
      <c r="N13" s="10"/>
    </row>
    <row r="14" ht="14.25" customHeight="1" spans="3:17">
      <c r="D14" s="19"/>
      <c r="E14" s="19"/>
      <c r="F14" s="20">
        <v>70</v>
      </c>
      <c r="G14" s="20">
        <v>30</v>
      </c>
      <c r="H14" s="20">
        <v>100</v>
      </c>
      <c r="I14" s="20" t="s">
        <v>79</v>
      </c>
      <c r="J14" s="20">
        <v>1</v>
      </c>
      <c r="L14" s="10"/>
      <c r="M14" s="10"/>
      <c r="N14" s="10"/>
    </row>
    <row r="15" ht="14.25" customHeight="1" spans="3:17">
      <c r="D15" s="19"/>
      <c r="E15" s="19"/>
      <c r="F15" s="19"/>
      <c r="G15" s="19"/>
      <c r="H15" s="19"/>
      <c r="I15" s="19"/>
      <c r="J15" s="19"/>
      <c r="L15" s="25" t="s">
        <v>628</v>
      </c>
      <c r="M15" s="25"/>
    </row>
    <row r="16" ht="14.25" customHeight="1" spans="3:17">
      <c r="D16" s="19">
        <v>1</v>
      </c>
      <c r="E16" s="22" t="s">
        <v>90</v>
      </c>
      <c r="F16" s="19">
        <v>58</v>
      </c>
      <c r="G16" s="19">
        <v>9</v>
      </c>
      <c r="H16" s="19">
        <f t="shared" ref="H16:H79" si="0">F16+G16</f>
        <v>67</v>
      </c>
      <c r="I16" s="19" t="str">
        <f t="shared" ref="I16:I79" si="1">IF(H16&lt;35,"FAIL","PASS")</f>
        <v>PASS</v>
      </c>
      <c r="J16" s="19" t="str">
        <f t="shared" ref="J16:J79" si="2">IF(H16&lt;35,"0","1")</f>
        <v>1</v>
      </c>
      <c r="L16" s="1" t="s">
        <v>673</v>
      </c>
      <c r="M16" s="1">
        <f>COUNTIF(I16:I115,"PASS")</f>
        <v>70</v>
      </c>
    </row>
    <row r="17" ht="14.25" customHeight="1" spans="4:14">
      <c r="D17" s="19">
        <v>2</v>
      </c>
      <c r="E17" s="22" t="s">
        <v>97</v>
      </c>
      <c r="F17" s="19">
        <v>69</v>
      </c>
      <c r="G17" s="19">
        <v>8</v>
      </c>
      <c r="H17" s="19">
        <f t="shared" si="0"/>
        <v>77</v>
      </c>
      <c r="I17" s="19" t="str">
        <f t="shared" si="1"/>
        <v>PASS</v>
      </c>
      <c r="J17" s="19" t="str">
        <f t="shared" si="2"/>
        <v>1</v>
      </c>
      <c r="L17" s="1" t="s">
        <v>655</v>
      </c>
      <c r="M17" s="1">
        <f>COUNTIF(I16:I115,"FAIL")</f>
        <v>30</v>
      </c>
    </row>
    <row r="18" ht="14.25" customHeight="1" spans="4:14">
      <c r="D18" s="19">
        <v>3</v>
      </c>
      <c r="E18" s="22" t="s">
        <v>102</v>
      </c>
      <c r="F18" s="19">
        <v>14</v>
      </c>
      <c r="G18" s="19">
        <v>20</v>
      </c>
      <c r="H18" s="19">
        <f t="shared" si="0"/>
        <v>34</v>
      </c>
      <c r="I18" s="19" t="str">
        <f t="shared" si="1"/>
        <v>FAIL</v>
      </c>
      <c r="J18" s="19" t="str">
        <f t="shared" si="2"/>
        <v>0</v>
      </c>
    </row>
    <row r="19" ht="14.25" customHeight="1" spans="4:14">
      <c r="D19" s="19">
        <v>4</v>
      </c>
      <c r="E19" s="22" t="s">
        <v>107</v>
      </c>
      <c r="F19" s="19">
        <v>18</v>
      </c>
      <c r="G19" s="19">
        <v>17</v>
      </c>
      <c r="H19" s="19">
        <f t="shared" si="0"/>
        <v>35</v>
      </c>
      <c r="I19" s="19" t="str">
        <f t="shared" si="1"/>
        <v>PASS</v>
      </c>
      <c r="J19" s="19" t="str">
        <f t="shared" si="2"/>
        <v>1</v>
      </c>
    </row>
    <row r="20" ht="14.25" customHeight="1" spans="4:14">
      <c r="D20" s="19">
        <v>5</v>
      </c>
      <c r="E20" s="22" t="s">
        <v>112</v>
      </c>
      <c r="F20" s="19">
        <v>27</v>
      </c>
      <c r="G20" s="19">
        <v>11</v>
      </c>
      <c r="H20" s="19">
        <f t="shared" si="0"/>
        <v>38</v>
      </c>
      <c r="I20" s="19" t="str">
        <f t="shared" si="1"/>
        <v>PASS</v>
      </c>
      <c r="J20" s="19" t="str">
        <f t="shared" si="2"/>
        <v>1</v>
      </c>
    </row>
    <row r="21" ht="14.25" customHeight="1" spans="4:14">
      <c r="D21" s="19">
        <v>6</v>
      </c>
      <c r="E21" s="22" t="s">
        <v>117</v>
      </c>
      <c r="F21" s="19">
        <v>58</v>
      </c>
      <c r="G21" s="19">
        <v>0</v>
      </c>
      <c r="H21" s="19">
        <f t="shared" si="0"/>
        <v>58</v>
      </c>
      <c r="I21" s="19" t="str">
        <f t="shared" si="1"/>
        <v>PASS</v>
      </c>
      <c r="J21" s="19" t="str">
        <f t="shared" si="2"/>
        <v>1</v>
      </c>
      <c r="L21" s="10"/>
      <c r="M21" s="10"/>
      <c r="N21" s="10"/>
    </row>
    <row r="22" ht="14.25" customHeight="1" spans="4:14">
      <c r="D22" s="19">
        <v>7</v>
      </c>
      <c r="E22" s="22" t="s">
        <v>122</v>
      </c>
      <c r="F22" s="19">
        <v>60</v>
      </c>
      <c r="G22" s="19">
        <v>17</v>
      </c>
      <c r="H22" s="19">
        <f t="shared" si="0"/>
        <v>77</v>
      </c>
      <c r="I22" s="19" t="str">
        <f t="shared" si="1"/>
        <v>PASS</v>
      </c>
      <c r="J22" s="19" t="str">
        <f t="shared" si="2"/>
        <v>1</v>
      </c>
      <c r="L22" s="10"/>
      <c r="M22" s="10"/>
      <c r="N22" s="10"/>
    </row>
    <row r="23" ht="14.25" customHeight="1" spans="4:14">
      <c r="D23" s="19">
        <v>8</v>
      </c>
      <c r="E23" s="22" t="s">
        <v>127</v>
      </c>
      <c r="F23" s="19">
        <v>5</v>
      </c>
      <c r="G23" s="19">
        <v>19</v>
      </c>
      <c r="H23" s="19">
        <f t="shared" si="0"/>
        <v>24</v>
      </c>
      <c r="I23" s="19" t="str">
        <f t="shared" si="1"/>
        <v>FAIL</v>
      </c>
      <c r="J23" s="19" t="str">
        <f t="shared" si="2"/>
        <v>0</v>
      </c>
      <c r="L23" s="10"/>
      <c r="M23" s="10"/>
      <c r="N23" s="10"/>
    </row>
    <row r="24" ht="14.25" customHeight="1" spans="4:14">
      <c r="D24" s="19">
        <v>9</v>
      </c>
      <c r="E24" s="22" t="s">
        <v>132</v>
      </c>
      <c r="F24" s="19">
        <v>25</v>
      </c>
      <c r="G24" s="19">
        <v>7</v>
      </c>
      <c r="H24" s="19">
        <f t="shared" si="0"/>
        <v>32</v>
      </c>
      <c r="I24" s="19" t="str">
        <f t="shared" si="1"/>
        <v>FAIL</v>
      </c>
      <c r="J24" s="19" t="str">
        <f t="shared" si="2"/>
        <v>0</v>
      </c>
      <c r="L24" s="10"/>
      <c r="M24" s="10"/>
      <c r="N24" s="10"/>
    </row>
    <row r="25" ht="14.25" customHeight="1" spans="4:14">
      <c r="D25" s="19">
        <v>10</v>
      </c>
      <c r="E25" s="22" t="s">
        <v>137</v>
      </c>
      <c r="F25" s="19">
        <v>67</v>
      </c>
      <c r="G25" s="19">
        <v>25</v>
      </c>
      <c r="H25" s="19">
        <f t="shared" si="0"/>
        <v>92</v>
      </c>
      <c r="I25" s="19" t="str">
        <f t="shared" si="1"/>
        <v>PASS</v>
      </c>
      <c r="J25" s="19" t="str">
        <f t="shared" si="2"/>
        <v>1</v>
      </c>
      <c r="L25" s="10"/>
      <c r="M25" s="10"/>
      <c r="N25" s="10"/>
    </row>
    <row r="26" ht="14.25" customHeight="1" spans="4:14">
      <c r="D26" s="19">
        <v>11</v>
      </c>
      <c r="E26" s="22" t="s">
        <v>141</v>
      </c>
      <c r="F26" s="19">
        <v>57</v>
      </c>
      <c r="G26" s="19">
        <v>28</v>
      </c>
      <c r="H26" s="19">
        <f t="shared" si="0"/>
        <v>85</v>
      </c>
      <c r="I26" s="19" t="str">
        <f t="shared" si="1"/>
        <v>PASS</v>
      </c>
      <c r="J26" s="19" t="str">
        <f t="shared" si="2"/>
        <v>1</v>
      </c>
      <c r="L26" s="10"/>
      <c r="M26" s="10"/>
      <c r="N26" s="10"/>
    </row>
    <row r="27" ht="14.25" customHeight="1" spans="4:14">
      <c r="D27" s="19">
        <v>12</v>
      </c>
      <c r="E27" s="22" t="s">
        <v>146</v>
      </c>
      <c r="F27" s="19">
        <v>1</v>
      </c>
      <c r="G27" s="19">
        <v>1</v>
      </c>
      <c r="H27" s="19">
        <f t="shared" si="0"/>
        <v>2</v>
      </c>
      <c r="I27" s="19" t="str">
        <f t="shared" si="1"/>
        <v>FAIL</v>
      </c>
      <c r="J27" s="19" t="str">
        <f t="shared" si="2"/>
        <v>0</v>
      </c>
      <c r="L27" s="10"/>
      <c r="M27" s="10"/>
      <c r="N27" s="10"/>
    </row>
    <row r="28" ht="14.25" customHeight="1" spans="4:14">
      <c r="D28" s="19">
        <v>13</v>
      </c>
      <c r="E28" s="22" t="s">
        <v>151</v>
      </c>
      <c r="F28" s="19">
        <v>34</v>
      </c>
      <c r="G28" s="19">
        <v>8</v>
      </c>
      <c r="H28" s="19">
        <f t="shared" si="0"/>
        <v>42</v>
      </c>
      <c r="I28" s="19" t="str">
        <f t="shared" si="1"/>
        <v>PASS</v>
      </c>
      <c r="J28" s="19" t="str">
        <f t="shared" si="2"/>
        <v>1</v>
      </c>
      <c r="L28" s="10"/>
      <c r="M28" s="10"/>
      <c r="N28" s="10"/>
    </row>
    <row r="29" ht="14.25" customHeight="1" spans="4:14">
      <c r="D29" s="19">
        <v>14</v>
      </c>
      <c r="E29" s="22" t="s">
        <v>156</v>
      </c>
      <c r="F29" s="19">
        <v>0</v>
      </c>
      <c r="G29" s="19">
        <v>6</v>
      </c>
      <c r="H29" s="19">
        <f t="shared" si="0"/>
        <v>6</v>
      </c>
      <c r="I29" s="19" t="str">
        <f t="shared" si="1"/>
        <v>FAIL</v>
      </c>
      <c r="J29" s="19" t="str">
        <f t="shared" si="2"/>
        <v>0</v>
      </c>
      <c r="L29" s="10"/>
      <c r="M29" s="10"/>
      <c r="N29" s="10"/>
    </row>
    <row r="30" ht="14.25" customHeight="1" spans="4:14">
      <c r="D30" s="19">
        <v>15</v>
      </c>
      <c r="E30" s="22" t="s">
        <v>161</v>
      </c>
      <c r="F30" s="19">
        <v>66</v>
      </c>
      <c r="G30" s="19">
        <v>18</v>
      </c>
      <c r="H30" s="19">
        <f t="shared" si="0"/>
        <v>84</v>
      </c>
      <c r="I30" s="19" t="str">
        <f t="shared" si="1"/>
        <v>PASS</v>
      </c>
      <c r="J30" s="19" t="str">
        <f t="shared" si="2"/>
        <v>1</v>
      </c>
      <c r="L30" s="10"/>
      <c r="M30" s="10"/>
      <c r="N30" s="10"/>
    </row>
    <row r="31" ht="14.25" customHeight="1" spans="4:14">
      <c r="D31" s="19">
        <v>16</v>
      </c>
      <c r="E31" s="22" t="s">
        <v>166</v>
      </c>
      <c r="F31" s="19">
        <v>30</v>
      </c>
      <c r="G31" s="19">
        <v>27</v>
      </c>
      <c r="H31" s="19">
        <f t="shared" si="0"/>
        <v>57</v>
      </c>
      <c r="I31" s="19" t="str">
        <f t="shared" si="1"/>
        <v>PASS</v>
      </c>
      <c r="J31" s="19" t="str">
        <f t="shared" si="2"/>
        <v>1</v>
      </c>
      <c r="L31" s="10"/>
      <c r="M31" s="10"/>
      <c r="N31" s="10"/>
    </row>
    <row r="32" ht="14.25" customHeight="1" spans="4:14">
      <c r="D32" s="19">
        <v>17</v>
      </c>
      <c r="E32" s="22" t="s">
        <v>171</v>
      </c>
      <c r="F32" s="19">
        <v>69</v>
      </c>
      <c r="G32" s="19">
        <v>5</v>
      </c>
      <c r="H32" s="19">
        <f t="shared" si="0"/>
        <v>74</v>
      </c>
      <c r="I32" s="19" t="str">
        <f t="shared" si="1"/>
        <v>PASS</v>
      </c>
      <c r="J32" s="19" t="str">
        <f t="shared" si="2"/>
        <v>1</v>
      </c>
      <c r="L32" s="10"/>
      <c r="M32" s="10"/>
      <c r="N32" s="10"/>
    </row>
    <row r="33" ht="14.25" customHeight="1" spans="4:14">
      <c r="D33" s="19">
        <v>18</v>
      </c>
      <c r="E33" s="22" t="s">
        <v>176</v>
      </c>
      <c r="F33" s="19">
        <v>53</v>
      </c>
      <c r="G33" s="19">
        <v>24</v>
      </c>
      <c r="H33" s="19">
        <f t="shared" si="0"/>
        <v>77</v>
      </c>
      <c r="I33" s="19" t="str">
        <f t="shared" si="1"/>
        <v>PASS</v>
      </c>
      <c r="J33" s="19" t="str">
        <f t="shared" si="2"/>
        <v>1</v>
      </c>
      <c r="L33" s="10"/>
      <c r="M33" s="10"/>
      <c r="N33" s="10"/>
    </row>
    <row r="34" ht="14.25" customHeight="1" spans="4:14">
      <c r="D34" s="19">
        <v>19</v>
      </c>
      <c r="E34" s="22" t="s">
        <v>181</v>
      </c>
      <c r="F34" s="19">
        <v>15</v>
      </c>
      <c r="G34" s="19">
        <v>0</v>
      </c>
      <c r="H34" s="19">
        <f t="shared" si="0"/>
        <v>15</v>
      </c>
      <c r="I34" s="19" t="str">
        <f t="shared" si="1"/>
        <v>FAIL</v>
      </c>
      <c r="J34" s="19" t="str">
        <f t="shared" si="2"/>
        <v>0</v>
      </c>
      <c r="L34" s="10"/>
      <c r="M34" s="10"/>
      <c r="N34" s="10"/>
    </row>
    <row r="35" ht="14.25" customHeight="1" spans="4:14">
      <c r="D35" s="19">
        <v>20</v>
      </c>
      <c r="E35" s="22" t="s">
        <v>186</v>
      </c>
      <c r="F35" s="19">
        <v>7</v>
      </c>
      <c r="G35" s="19">
        <v>18</v>
      </c>
      <c r="H35" s="19">
        <f t="shared" si="0"/>
        <v>25</v>
      </c>
      <c r="I35" s="19" t="str">
        <f t="shared" si="1"/>
        <v>FAIL</v>
      </c>
      <c r="J35" s="19" t="str">
        <f t="shared" si="2"/>
        <v>0</v>
      </c>
      <c r="L35" s="10"/>
      <c r="M35" s="10"/>
      <c r="N35" s="10"/>
    </row>
    <row r="36" ht="14.25" customHeight="1" spans="4:14">
      <c r="D36" s="19">
        <f>'SUB-1'!D35</f>
        <v>21</v>
      </c>
      <c r="E36" s="22" t="str">
        <f>'SUB-1'!E35</f>
        <v>BTMC24O1021</v>
      </c>
      <c r="F36" s="19">
        <v>67</v>
      </c>
      <c r="G36" s="19">
        <v>23</v>
      </c>
      <c r="H36" s="19">
        <f t="shared" si="0"/>
        <v>90</v>
      </c>
      <c r="I36" s="19" t="str">
        <f t="shared" si="1"/>
        <v>PASS</v>
      </c>
      <c r="J36" s="19" t="str">
        <f t="shared" si="2"/>
        <v>1</v>
      </c>
    </row>
    <row r="37" ht="14.25" customHeight="1" spans="4:14">
      <c r="D37" s="19">
        <f>'SUB-1'!D36</f>
        <v>22</v>
      </c>
      <c r="E37" s="22" t="str">
        <f>'SUB-1'!E36</f>
        <v>BTMC24O1022</v>
      </c>
      <c r="F37" s="19">
        <v>61</v>
      </c>
      <c r="G37" s="19">
        <v>26</v>
      </c>
      <c r="H37" s="19">
        <f t="shared" si="0"/>
        <v>87</v>
      </c>
      <c r="I37" s="19" t="str">
        <f t="shared" si="1"/>
        <v>PASS</v>
      </c>
      <c r="J37" s="19" t="str">
        <f t="shared" si="2"/>
        <v>1</v>
      </c>
    </row>
    <row r="38" ht="14.25" customHeight="1" spans="4:14">
      <c r="D38" s="19">
        <f>'SUB-1'!D37</f>
        <v>23</v>
      </c>
      <c r="E38" s="22" t="str">
        <f>'SUB-1'!E37</f>
        <v>BTMC24O1023</v>
      </c>
      <c r="F38" s="19">
        <v>56</v>
      </c>
      <c r="G38" s="19">
        <v>16</v>
      </c>
      <c r="H38" s="19">
        <f t="shared" si="0"/>
        <v>72</v>
      </c>
      <c r="I38" s="19" t="str">
        <f t="shared" si="1"/>
        <v>PASS</v>
      </c>
      <c r="J38" s="19" t="str">
        <f t="shared" si="2"/>
        <v>1</v>
      </c>
    </row>
    <row r="39" ht="14.25" customHeight="1" spans="4:14">
      <c r="D39" s="19">
        <f>'SUB-1'!D38</f>
        <v>24</v>
      </c>
      <c r="E39" s="22" t="str">
        <f>'SUB-1'!E38</f>
        <v>BTMC24O1024</v>
      </c>
      <c r="F39" s="19">
        <v>43</v>
      </c>
      <c r="G39" s="19">
        <v>12</v>
      </c>
      <c r="H39" s="19">
        <f t="shared" si="0"/>
        <v>55</v>
      </c>
      <c r="I39" s="19" t="str">
        <f t="shared" si="1"/>
        <v>PASS</v>
      </c>
      <c r="J39" s="19" t="str">
        <f t="shared" si="2"/>
        <v>1</v>
      </c>
    </row>
    <row r="40" ht="14.25" customHeight="1" spans="4:14">
      <c r="D40" s="19">
        <f>'SUB-1'!D39</f>
        <v>25</v>
      </c>
      <c r="E40" s="22" t="str">
        <f>'SUB-1'!E39</f>
        <v>BTMC24O1025</v>
      </c>
      <c r="F40" s="19">
        <v>54</v>
      </c>
      <c r="G40" s="19">
        <v>29</v>
      </c>
      <c r="H40" s="19">
        <f t="shared" si="0"/>
        <v>83</v>
      </c>
      <c r="I40" s="19" t="str">
        <f t="shared" si="1"/>
        <v>PASS</v>
      </c>
      <c r="J40" s="19" t="str">
        <f t="shared" si="2"/>
        <v>1</v>
      </c>
    </row>
    <row r="41" ht="14.25" customHeight="1" spans="4:14">
      <c r="D41" s="19">
        <f>'SUB-1'!D40</f>
        <v>26</v>
      </c>
      <c r="E41" s="22" t="str">
        <f>'SUB-1'!E40</f>
        <v>BTMC24O1026</v>
      </c>
      <c r="F41" s="19">
        <v>13</v>
      </c>
      <c r="G41" s="19">
        <v>26</v>
      </c>
      <c r="H41" s="19">
        <f t="shared" si="0"/>
        <v>39</v>
      </c>
      <c r="I41" s="19" t="str">
        <f t="shared" si="1"/>
        <v>PASS</v>
      </c>
      <c r="J41" s="19" t="str">
        <f t="shared" si="2"/>
        <v>1</v>
      </c>
    </row>
    <row r="42" ht="14.25" customHeight="1" spans="4:14">
      <c r="D42" s="19">
        <f>'SUB-1'!D41</f>
        <v>27</v>
      </c>
      <c r="E42" s="22" t="str">
        <f>'SUB-1'!E41</f>
        <v>BTMC24O1027</v>
      </c>
      <c r="F42" s="19">
        <v>2</v>
      </c>
      <c r="G42" s="19">
        <v>13</v>
      </c>
      <c r="H42" s="19">
        <f t="shared" si="0"/>
        <v>15</v>
      </c>
      <c r="I42" s="19" t="str">
        <f t="shared" si="1"/>
        <v>FAIL</v>
      </c>
      <c r="J42" s="19" t="str">
        <f t="shared" si="2"/>
        <v>0</v>
      </c>
    </row>
    <row r="43" ht="14.25" customHeight="1" spans="4:14">
      <c r="D43" s="19">
        <f>'SUB-1'!D42</f>
        <v>28</v>
      </c>
      <c r="E43" s="22" t="str">
        <f>'SUB-1'!E42</f>
        <v>BTMC24O1028</v>
      </c>
      <c r="F43" s="19">
        <v>20</v>
      </c>
      <c r="G43" s="19">
        <v>2</v>
      </c>
      <c r="H43" s="19">
        <f t="shared" si="0"/>
        <v>22</v>
      </c>
      <c r="I43" s="19" t="str">
        <f t="shared" si="1"/>
        <v>FAIL</v>
      </c>
      <c r="J43" s="19" t="str">
        <f t="shared" si="2"/>
        <v>0</v>
      </c>
    </row>
    <row r="44" ht="14.25" customHeight="1" spans="4:14">
      <c r="D44" s="19">
        <f>'SUB-1'!D43</f>
        <v>29</v>
      </c>
      <c r="E44" s="22" t="str">
        <f>'SUB-1'!E43</f>
        <v>BTMC24O1029</v>
      </c>
      <c r="F44" s="19">
        <v>49</v>
      </c>
      <c r="G44" s="19">
        <v>2</v>
      </c>
      <c r="H44" s="19">
        <f t="shared" si="0"/>
        <v>51</v>
      </c>
      <c r="I44" s="19" t="str">
        <f t="shared" si="1"/>
        <v>PASS</v>
      </c>
      <c r="J44" s="19" t="str">
        <f t="shared" si="2"/>
        <v>1</v>
      </c>
    </row>
    <row r="45" ht="14.25" customHeight="1" spans="4:14">
      <c r="D45" s="19">
        <f>'SUB-1'!D44</f>
        <v>30</v>
      </c>
      <c r="E45" s="22" t="str">
        <f>'SUB-1'!E44</f>
        <v>BTMC24O1030</v>
      </c>
      <c r="F45" s="19">
        <v>6</v>
      </c>
      <c r="G45" s="19">
        <v>0</v>
      </c>
      <c r="H45" s="19">
        <f t="shared" si="0"/>
        <v>6</v>
      </c>
      <c r="I45" s="19" t="str">
        <f t="shared" si="1"/>
        <v>FAIL</v>
      </c>
      <c r="J45" s="19" t="str">
        <f t="shared" si="2"/>
        <v>0</v>
      </c>
    </row>
    <row r="46" ht="14.25" customHeight="1" spans="4:14">
      <c r="D46" s="19">
        <f>'SUB-1'!D45</f>
        <v>31</v>
      </c>
      <c r="E46" s="22" t="str">
        <f>'SUB-1'!E45</f>
        <v>BTMC24O1031</v>
      </c>
      <c r="F46" s="19">
        <v>19</v>
      </c>
      <c r="G46" s="19">
        <v>6</v>
      </c>
      <c r="H46" s="19">
        <f t="shared" si="0"/>
        <v>25</v>
      </c>
      <c r="I46" s="19" t="str">
        <f t="shared" si="1"/>
        <v>FAIL</v>
      </c>
      <c r="J46" s="19" t="str">
        <f t="shared" si="2"/>
        <v>0</v>
      </c>
    </row>
    <row r="47" ht="14.25" customHeight="1" spans="4:14">
      <c r="D47" s="19">
        <f>'SUB-1'!D46</f>
        <v>32</v>
      </c>
      <c r="E47" s="22" t="str">
        <f>'SUB-1'!E46</f>
        <v>BTMC24O1032</v>
      </c>
      <c r="F47" s="19">
        <v>70</v>
      </c>
      <c r="G47" s="19">
        <v>17</v>
      </c>
      <c r="H47" s="19">
        <f t="shared" si="0"/>
        <v>87</v>
      </c>
      <c r="I47" s="19" t="str">
        <f t="shared" si="1"/>
        <v>PASS</v>
      </c>
      <c r="J47" s="19" t="str">
        <f t="shared" si="2"/>
        <v>1</v>
      </c>
    </row>
    <row r="48" ht="14.25" customHeight="1" spans="4:14">
      <c r="D48" s="19">
        <f>'SUB-1'!D47</f>
        <v>33</v>
      </c>
      <c r="E48" s="22" t="str">
        <f>'SUB-1'!E47</f>
        <v>BTMC24O1033</v>
      </c>
      <c r="F48" s="19">
        <v>51</v>
      </c>
      <c r="G48" s="19">
        <v>28</v>
      </c>
      <c r="H48" s="19">
        <f t="shared" si="0"/>
        <v>79</v>
      </c>
      <c r="I48" s="19" t="str">
        <f t="shared" si="1"/>
        <v>PASS</v>
      </c>
      <c r="J48" s="19" t="str">
        <f t="shared" si="2"/>
        <v>1</v>
      </c>
    </row>
    <row r="49" ht="14.25" customHeight="1" spans="4:10">
      <c r="D49" s="19">
        <f>'SUB-1'!D48</f>
        <v>34</v>
      </c>
      <c r="E49" s="22" t="str">
        <f>'SUB-1'!E48</f>
        <v>BTMC24O1034</v>
      </c>
      <c r="F49" s="19">
        <v>42</v>
      </c>
      <c r="G49" s="19">
        <v>1</v>
      </c>
      <c r="H49" s="19">
        <f t="shared" si="0"/>
        <v>43</v>
      </c>
      <c r="I49" s="19" t="str">
        <f t="shared" si="1"/>
        <v>PASS</v>
      </c>
      <c r="J49" s="19" t="str">
        <f t="shared" si="2"/>
        <v>1</v>
      </c>
    </row>
    <row r="50" ht="14.25" customHeight="1" spans="4:10">
      <c r="D50" s="19">
        <f>'SUB-1'!D49</f>
        <v>35</v>
      </c>
      <c r="E50" s="22" t="str">
        <f>'SUB-1'!E49</f>
        <v>BTMC24O1035</v>
      </c>
      <c r="F50" s="19">
        <v>29</v>
      </c>
      <c r="G50" s="19">
        <v>13</v>
      </c>
      <c r="H50" s="19">
        <f t="shared" si="0"/>
        <v>42</v>
      </c>
      <c r="I50" s="19" t="str">
        <f t="shared" si="1"/>
        <v>PASS</v>
      </c>
      <c r="J50" s="19" t="str">
        <f t="shared" si="2"/>
        <v>1</v>
      </c>
    </row>
    <row r="51" ht="14.25" customHeight="1" spans="4:10">
      <c r="D51" s="19">
        <f>'SUB-1'!D50</f>
        <v>36</v>
      </c>
      <c r="E51" s="22" t="str">
        <f>'SUB-1'!E50</f>
        <v>BTMC24O1036</v>
      </c>
      <c r="F51" s="19">
        <v>45</v>
      </c>
      <c r="G51" s="19">
        <v>20</v>
      </c>
      <c r="H51" s="19">
        <f t="shared" si="0"/>
        <v>65</v>
      </c>
      <c r="I51" s="19" t="str">
        <f t="shared" si="1"/>
        <v>PASS</v>
      </c>
      <c r="J51" s="19" t="str">
        <f t="shared" si="2"/>
        <v>1</v>
      </c>
    </row>
    <row r="52" ht="14.25" customHeight="1" spans="4:10">
      <c r="D52" s="19">
        <f>'SUB-1'!D51</f>
        <v>37</v>
      </c>
      <c r="E52" s="22" t="str">
        <f>'SUB-1'!E51</f>
        <v>BTMC24O1037</v>
      </c>
      <c r="F52" s="19">
        <v>9</v>
      </c>
      <c r="G52" s="19">
        <v>16</v>
      </c>
      <c r="H52" s="19">
        <f t="shared" si="0"/>
        <v>25</v>
      </c>
      <c r="I52" s="19" t="str">
        <f t="shared" si="1"/>
        <v>FAIL</v>
      </c>
      <c r="J52" s="19" t="str">
        <f t="shared" si="2"/>
        <v>0</v>
      </c>
    </row>
    <row r="53" ht="14.25" customHeight="1" spans="4:10">
      <c r="D53" s="19">
        <f>'SUB-1'!D52</f>
        <v>38</v>
      </c>
      <c r="E53" s="22" t="str">
        <f>'SUB-1'!E52</f>
        <v>BTMC24O1038</v>
      </c>
      <c r="F53" s="19">
        <v>8</v>
      </c>
      <c r="G53" s="19">
        <v>0</v>
      </c>
      <c r="H53" s="19">
        <f t="shared" si="0"/>
        <v>8</v>
      </c>
      <c r="I53" s="19" t="str">
        <f t="shared" si="1"/>
        <v>FAIL</v>
      </c>
      <c r="J53" s="19" t="str">
        <f t="shared" si="2"/>
        <v>0</v>
      </c>
    </row>
    <row r="54" ht="14.25" customHeight="1" spans="4:10">
      <c r="D54" s="19">
        <f>'SUB-1'!D53</f>
        <v>39</v>
      </c>
      <c r="E54" s="22" t="str">
        <f>'SUB-1'!E53</f>
        <v>BTMC24O1039</v>
      </c>
      <c r="F54" s="19">
        <v>16</v>
      </c>
      <c r="G54" s="19">
        <v>8</v>
      </c>
      <c r="H54" s="19">
        <f t="shared" si="0"/>
        <v>24</v>
      </c>
      <c r="I54" s="19" t="str">
        <f t="shared" si="1"/>
        <v>FAIL</v>
      </c>
      <c r="J54" s="19" t="str">
        <f t="shared" si="2"/>
        <v>0</v>
      </c>
    </row>
    <row r="55" ht="14.25" customHeight="1" spans="4:10">
      <c r="D55" s="19">
        <f>'SUB-1'!D54</f>
        <v>40</v>
      </c>
      <c r="E55" s="22" t="str">
        <f>'SUB-1'!E54</f>
        <v>BTMC24O1040</v>
      </c>
      <c r="F55" s="19">
        <v>55</v>
      </c>
      <c r="G55" s="19">
        <v>22</v>
      </c>
      <c r="H55" s="19">
        <f t="shared" si="0"/>
        <v>77</v>
      </c>
      <c r="I55" s="19" t="str">
        <f t="shared" si="1"/>
        <v>PASS</v>
      </c>
      <c r="J55" s="19" t="str">
        <f t="shared" si="2"/>
        <v>1</v>
      </c>
    </row>
    <row r="56" ht="14.25" customHeight="1" spans="4:10">
      <c r="D56" s="19">
        <f>'SUB-1'!D55</f>
        <v>41</v>
      </c>
      <c r="E56" s="22" t="str">
        <f>'SUB-1'!E55</f>
        <v>BTMC24O1041</v>
      </c>
      <c r="F56" s="19">
        <v>3</v>
      </c>
      <c r="G56" s="19">
        <v>16</v>
      </c>
      <c r="H56" s="19">
        <f t="shared" si="0"/>
        <v>19</v>
      </c>
      <c r="I56" s="19" t="str">
        <f t="shared" si="1"/>
        <v>FAIL</v>
      </c>
      <c r="J56" s="19" t="str">
        <f t="shared" si="2"/>
        <v>0</v>
      </c>
    </row>
    <row r="57" ht="14.25" customHeight="1" spans="4:10">
      <c r="D57" s="19">
        <f>'SUB-1'!D56</f>
        <v>42</v>
      </c>
      <c r="E57" s="22" t="str">
        <f>'SUB-1'!E56</f>
        <v>BTMC24O1042</v>
      </c>
      <c r="F57" s="19">
        <v>33</v>
      </c>
      <c r="G57" s="19">
        <v>17</v>
      </c>
      <c r="H57" s="19">
        <f t="shared" si="0"/>
        <v>50</v>
      </c>
      <c r="I57" s="19" t="str">
        <f t="shared" si="1"/>
        <v>PASS</v>
      </c>
      <c r="J57" s="19" t="str">
        <f t="shared" si="2"/>
        <v>1</v>
      </c>
    </row>
    <row r="58" ht="14.25" customHeight="1" spans="4:10">
      <c r="D58" s="19">
        <f>'SUB-1'!D57</f>
        <v>43</v>
      </c>
      <c r="E58" s="22" t="str">
        <f>'SUB-1'!E57</f>
        <v>BTMC24O1043</v>
      </c>
      <c r="F58" s="19">
        <v>22</v>
      </c>
      <c r="G58" s="19">
        <v>30</v>
      </c>
      <c r="H58" s="19">
        <f t="shared" si="0"/>
        <v>52</v>
      </c>
      <c r="I58" s="19" t="str">
        <f t="shared" si="1"/>
        <v>PASS</v>
      </c>
      <c r="J58" s="19" t="str">
        <f t="shared" si="2"/>
        <v>1</v>
      </c>
    </row>
    <row r="59" ht="14.25" customHeight="1" spans="4:10">
      <c r="D59" s="19">
        <f>'SUB-1'!D58</f>
        <v>44</v>
      </c>
      <c r="E59" s="22" t="str">
        <f>'SUB-1'!E58</f>
        <v>BTMC24O1044</v>
      </c>
      <c r="F59" s="19">
        <v>67</v>
      </c>
      <c r="G59" s="19">
        <v>13</v>
      </c>
      <c r="H59" s="19">
        <f t="shared" si="0"/>
        <v>80</v>
      </c>
      <c r="I59" s="19" t="str">
        <f t="shared" si="1"/>
        <v>PASS</v>
      </c>
      <c r="J59" s="19" t="str">
        <f t="shared" si="2"/>
        <v>1</v>
      </c>
    </row>
    <row r="60" ht="14.25" customHeight="1" spans="4:10">
      <c r="D60" s="19">
        <f>'SUB-1'!D59</f>
        <v>45</v>
      </c>
      <c r="E60" s="22" t="str">
        <f>'SUB-1'!E59</f>
        <v>BTMC24O1045</v>
      </c>
      <c r="F60" s="19">
        <v>13</v>
      </c>
      <c r="G60" s="19">
        <v>20</v>
      </c>
      <c r="H60" s="19">
        <f t="shared" si="0"/>
        <v>33</v>
      </c>
      <c r="I60" s="19" t="str">
        <f t="shared" si="1"/>
        <v>FAIL</v>
      </c>
      <c r="J60" s="19" t="str">
        <f t="shared" si="2"/>
        <v>0</v>
      </c>
    </row>
    <row r="61" ht="14.25" customHeight="1" spans="4:10">
      <c r="D61" s="19">
        <f>'SUB-1'!D60</f>
        <v>46</v>
      </c>
      <c r="E61" s="22" t="str">
        <f>'SUB-1'!E60</f>
        <v>BTMC24O1046</v>
      </c>
      <c r="F61" s="19">
        <v>61</v>
      </c>
      <c r="G61" s="19">
        <v>19</v>
      </c>
      <c r="H61" s="19">
        <f t="shared" si="0"/>
        <v>80</v>
      </c>
      <c r="I61" s="19" t="str">
        <f t="shared" si="1"/>
        <v>PASS</v>
      </c>
      <c r="J61" s="19" t="str">
        <f t="shared" si="2"/>
        <v>1</v>
      </c>
    </row>
    <row r="62" ht="14.25" customHeight="1" spans="4:10">
      <c r="D62" s="19">
        <f>'SUB-1'!D61</f>
        <v>47</v>
      </c>
      <c r="E62" s="22" t="str">
        <f>'SUB-1'!E61</f>
        <v>BTMC24O1047</v>
      </c>
      <c r="F62" s="19">
        <v>16</v>
      </c>
      <c r="G62" s="19">
        <v>5</v>
      </c>
      <c r="H62" s="19">
        <f t="shared" si="0"/>
        <v>21</v>
      </c>
      <c r="I62" s="19" t="str">
        <f t="shared" si="1"/>
        <v>FAIL</v>
      </c>
      <c r="J62" s="19" t="str">
        <f t="shared" si="2"/>
        <v>0</v>
      </c>
    </row>
    <row r="63" ht="14.25" customHeight="1" spans="4:10">
      <c r="D63" s="19">
        <f>'SUB-1'!D62</f>
        <v>48</v>
      </c>
      <c r="E63" s="22" t="str">
        <f>'SUB-1'!E62</f>
        <v>BTMC24O1048</v>
      </c>
      <c r="F63" s="19">
        <v>40</v>
      </c>
      <c r="G63" s="19">
        <v>3</v>
      </c>
      <c r="H63" s="19">
        <f t="shared" si="0"/>
        <v>43</v>
      </c>
      <c r="I63" s="19" t="str">
        <f t="shared" si="1"/>
        <v>PASS</v>
      </c>
      <c r="J63" s="19" t="str">
        <f t="shared" si="2"/>
        <v>1</v>
      </c>
    </row>
    <row r="64" ht="14.25" customHeight="1" spans="4:10">
      <c r="D64" s="19">
        <f>'SUB-1'!D63</f>
        <v>49</v>
      </c>
      <c r="E64" s="22" t="str">
        <f>'SUB-1'!E63</f>
        <v>BTMC24O1049</v>
      </c>
      <c r="F64" s="19">
        <v>16</v>
      </c>
      <c r="G64" s="19">
        <v>30</v>
      </c>
      <c r="H64" s="19">
        <f t="shared" si="0"/>
        <v>46</v>
      </c>
      <c r="I64" s="19" t="str">
        <f t="shared" si="1"/>
        <v>PASS</v>
      </c>
      <c r="J64" s="19" t="str">
        <f t="shared" si="2"/>
        <v>1</v>
      </c>
    </row>
    <row r="65" ht="14.25" customHeight="1" spans="4:10">
      <c r="D65" s="19">
        <f>'SUB-1'!D64</f>
        <v>50</v>
      </c>
      <c r="E65" s="22" t="str">
        <f>'SUB-1'!E64</f>
        <v>BTMC24O1050</v>
      </c>
      <c r="F65" s="19">
        <v>8</v>
      </c>
      <c r="G65" s="19">
        <v>12</v>
      </c>
      <c r="H65" s="19">
        <f t="shared" si="0"/>
        <v>20</v>
      </c>
      <c r="I65" s="19" t="str">
        <f t="shared" si="1"/>
        <v>FAIL</v>
      </c>
      <c r="J65" s="19" t="str">
        <f t="shared" si="2"/>
        <v>0</v>
      </c>
    </row>
    <row r="66" ht="14.25" customHeight="1" spans="4:10">
      <c r="D66" s="19">
        <f>'SUB-1'!D65</f>
        <v>51</v>
      </c>
      <c r="E66" s="22" t="str">
        <f>'SUB-1'!E65</f>
        <v>BTMC24O1051</v>
      </c>
      <c r="F66" s="19">
        <v>67</v>
      </c>
      <c r="G66" s="19">
        <v>6</v>
      </c>
      <c r="H66" s="19">
        <f t="shared" si="0"/>
        <v>73</v>
      </c>
      <c r="I66" s="19" t="str">
        <f t="shared" si="1"/>
        <v>PASS</v>
      </c>
      <c r="J66" s="19" t="str">
        <f t="shared" si="2"/>
        <v>1</v>
      </c>
    </row>
    <row r="67" ht="14.25" customHeight="1" spans="4:10">
      <c r="D67" s="19">
        <f>'SUB-1'!D66</f>
        <v>52</v>
      </c>
      <c r="E67" s="22" t="str">
        <f>'SUB-1'!E66</f>
        <v>BTMC24O1052</v>
      </c>
      <c r="F67" s="19">
        <v>35</v>
      </c>
      <c r="G67" s="19">
        <v>22</v>
      </c>
      <c r="H67" s="19">
        <f t="shared" si="0"/>
        <v>57</v>
      </c>
      <c r="I67" s="19" t="str">
        <f t="shared" si="1"/>
        <v>PASS</v>
      </c>
      <c r="J67" s="19" t="str">
        <f t="shared" si="2"/>
        <v>1</v>
      </c>
    </row>
    <row r="68" ht="14.25" customHeight="1" spans="4:10">
      <c r="D68" s="19">
        <f>'SUB-1'!D67</f>
        <v>53</v>
      </c>
      <c r="E68" s="22" t="str">
        <f>'SUB-1'!E67</f>
        <v>BTMC24O1053</v>
      </c>
      <c r="F68" s="19">
        <v>18</v>
      </c>
      <c r="G68" s="19">
        <v>2</v>
      </c>
      <c r="H68" s="19">
        <f t="shared" si="0"/>
        <v>20</v>
      </c>
      <c r="I68" s="19" t="str">
        <f t="shared" si="1"/>
        <v>FAIL</v>
      </c>
      <c r="J68" s="19" t="str">
        <f t="shared" si="2"/>
        <v>0</v>
      </c>
    </row>
    <row r="69" ht="14.25" customHeight="1" spans="4:10">
      <c r="D69" s="19">
        <f>'SUB-1'!D68</f>
        <v>54</v>
      </c>
      <c r="E69" s="22" t="str">
        <f>'SUB-1'!E68</f>
        <v>BTMC24O1054</v>
      </c>
      <c r="F69" s="19">
        <v>62</v>
      </c>
      <c r="G69" s="19">
        <v>4</v>
      </c>
      <c r="H69" s="19">
        <f t="shared" si="0"/>
        <v>66</v>
      </c>
      <c r="I69" s="19" t="str">
        <f t="shared" si="1"/>
        <v>PASS</v>
      </c>
      <c r="J69" s="19" t="str">
        <f t="shared" si="2"/>
        <v>1</v>
      </c>
    </row>
    <row r="70" ht="14.25" customHeight="1" spans="4:10">
      <c r="D70" s="19">
        <f>'SUB-1'!D69</f>
        <v>55</v>
      </c>
      <c r="E70" s="22" t="str">
        <f>'SUB-1'!E69</f>
        <v>BTMC24O1055</v>
      </c>
      <c r="F70" s="19">
        <v>3</v>
      </c>
      <c r="G70" s="19">
        <v>12</v>
      </c>
      <c r="H70" s="19">
        <f t="shared" si="0"/>
        <v>15</v>
      </c>
      <c r="I70" s="19" t="str">
        <f t="shared" si="1"/>
        <v>FAIL</v>
      </c>
      <c r="J70" s="19" t="str">
        <f t="shared" si="2"/>
        <v>0</v>
      </c>
    </row>
    <row r="71" ht="14.25" customHeight="1" spans="4:10">
      <c r="D71" s="19">
        <f>'SUB-1'!D70</f>
        <v>56</v>
      </c>
      <c r="E71" s="22" t="str">
        <f>'SUB-1'!E70</f>
        <v>BTMC24O1056</v>
      </c>
      <c r="F71" s="19">
        <v>45</v>
      </c>
      <c r="G71" s="19">
        <v>26</v>
      </c>
      <c r="H71" s="19">
        <f t="shared" si="0"/>
        <v>71</v>
      </c>
      <c r="I71" s="19" t="str">
        <f t="shared" si="1"/>
        <v>PASS</v>
      </c>
      <c r="J71" s="19" t="str">
        <f t="shared" si="2"/>
        <v>1</v>
      </c>
    </row>
    <row r="72" ht="14.25" customHeight="1" spans="4:10">
      <c r="D72" s="19">
        <f>'SUB-1'!D71</f>
        <v>57</v>
      </c>
      <c r="E72" s="22" t="str">
        <f>'SUB-1'!E71</f>
        <v>BTMC24O1057</v>
      </c>
      <c r="F72" s="19">
        <v>58</v>
      </c>
      <c r="G72" s="19">
        <v>21</v>
      </c>
      <c r="H72" s="19">
        <f t="shared" si="0"/>
        <v>79</v>
      </c>
      <c r="I72" s="19" t="str">
        <f t="shared" si="1"/>
        <v>PASS</v>
      </c>
      <c r="J72" s="19" t="str">
        <f t="shared" si="2"/>
        <v>1</v>
      </c>
    </row>
    <row r="73" ht="14.25" customHeight="1" spans="4:10">
      <c r="D73" s="19">
        <f>'SUB-1'!D72</f>
        <v>58</v>
      </c>
      <c r="E73" s="22" t="str">
        <f>'SUB-1'!E72</f>
        <v>BTMC24O1058</v>
      </c>
      <c r="F73" s="19">
        <v>12</v>
      </c>
      <c r="G73" s="19">
        <v>1</v>
      </c>
      <c r="H73" s="19">
        <f t="shared" si="0"/>
        <v>13</v>
      </c>
      <c r="I73" s="19" t="str">
        <f t="shared" si="1"/>
        <v>FAIL</v>
      </c>
      <c r="J73" s="19" t="str">
        <f t="shared" si="2"/>
        <v>0</v>
      </c>
    </row>
    <row r="74" ht="14.25" customHeight="1" spans="4:10">
      <c r="D74" s="19">
        <f>'SUB-1'!D73</f>
        <v>59</v>
      </c>
      <c r="E74" s="22" t="str">
        <f>'SUB-1'!E73</f>
        <v>BTMC24O1059</v>
      </c>
      <c r="F74" s="19">
        <v>69</v>
      </c>
      <c r="G74" s="19">
        <v>0</v>
      </c>
      <c r="H74" s="19">
        <f t="shared" si="0"/>
        <v>69</v>
      </c>
      <c r="I74" s="19" t="str">
        <f t="shared" si="1"/>
        <v>PASS</v>
      </c>
      <c r="J74" s="19" t="str">
        <f t="shared" si="2"/>
        <v>1</v>
      </c>
    </row>
    <row r="75" ht="14.25" customHeight="1" spans="4:10">
      <c r="D75" s="19">
        <f>'SUB-1'!D74</f>
        <v>60</v>
      </c>
      <c r="E75" s="22" t="str">
        <f>'SUB-1'!E74</f>
        <v>BTMC24O1060</v>
      </c>
      <c r="F75" s="19">
        <v>47</v>
      </c>
      <c r="G75" s="19">
        <v>8</v>
      </c>
      <c r="H75" s="19">
        <f t="shared" si="0"/>
        <v>55</v>
      </c>
      <c r="I75" s="19" t="str">
        <f t="shared" si="1"/>
        <v>PASS</v>
      </c>
      <c r="J75" s="19" t="str">
        <f t="shared" si="2"/>
        <v>1</v>
      </c>
    </row>
    <row r="76" ht="14.25" customHeight="1" spans="4:10">
      <c r="D76" s="19">
        <f>'SUB-1'!D75</f>
        <v>61</v>
      </c>
      <c r="E76" s="22" t="str">
        <f>'SUB-1'!E75</f>
        <v>BTMC24O1061</v>
      </c>
      <c r="F76" s="19">
        <v>34</v>
      </c>
      <c r="G76" s="19">
        <v>17</v>
      </c>
      <c r="H76" s="19">
        <f t="shared" si="0"/>
        <v>51</v>
      </c>
      <c r="I76" s="19" t="str">
        <f t="shared" si="1"/>
        <v>PASS</v>
      </c>
      <c r="J76" s="19" t="str">
        <f t="shared" si="2"/>
        <v>1</v>
      </c>
    </row>
    <row r="77" ht="14.25" customHeight="1" spans="4:10">
      <c r="D77" s="19">
        <f>'SUB-1'!D76</f>
        <v>62</v>
      </c>
      <c r="E77" s="22" t="str">
        <f>'SUB-1'!E76</f>
        <v>BTMC24O1062</v>
      </c>
      <c r="F77" s="19">
        <v>29</v>
      </c>
      <c r="G77" s="19">
        <v>13</v>
      </c>
      <c r="H77" s="19">
        <f t="shared" si="0"/>
        <v>42</v>
      </c>
      <c r="I77" s="19" t="str">
        <f t="shared" si="1"/>
        <v>PASS</v>
      </c>
      <c r="J77" s="19" t="str">
        <f t="shared" si="2"/>
        <v>1</v>
      </c>
    </row>
    <row r="78" ht="14.25" customHeight="1" spans="4:10">
      <c r="D78" s="19">
        <f>'SUB-1'!D77</f>
        <v>63</v>
      </c>
      <c r="E78" s="22" t="str">
        <f>'SUB-1'!E77</f>
        <v>BTMC24O1063</v>
      </c>
      <c r="F78" s="19">
        <v>53</v>
      </c>
      <c r="G78" s="19">
        <v>20</v>
      </c>
      <c r="H78" s="19">
        <f t="shared" si="0"/>
        <v>73</v>
      </c>
      <c r="I78" s="19" t="str">
        <f t="shared" si="1"/>
        <v>PASS</v>
      </c>
      <c r="J78" s="19" t="str">
        <f t="shared" si="2"/>
        <v>1</v>
      </c>
    </row>
    <row r="79" ht="14.25" customHeight="1" spans="4:10">
      <c r="D79" s="19">
        <f>'SUB-1'!D78</f>
        <v>64</v>
      </c>
      <c r="E79" s="22" t="str">
        <f>'SUB-1'!E78</f>
        <v>BTMC24O1064</v>
      </c>
      <c r="F79" s="19">
        <v>66</v>
      </c>
      <c r="G79" s="19">
        <v>11</v>
      </c>
      <c r="H79" s="19">
        <f t="shared" si="0"/>
        <v>77</v>
      </c>
      <c r="I79" s="19" t="str">
        <f t="shared" si="1"/>
        <v>PASS</v>
      </c>
      <c r="J79" s="19" t="str">
        <f t="shared" si="2"/>
        <v>1</v>
      </c>
    </row>
    <row r="80" ht="14.25" customHeight="1" spans="4:10">
      <c r="D80" s="19">
        <f>'SUB-1'!D79</f>
        <v>65</v>
      </c>
      <c r="E80" s="22" t="str">
        <f>'SUB-1'!E79</f>
        <v>BTMC24O1065</v>
      </c>
      <c r="F80" s="19">
        <v>59</v>
      </c>
      <c r="G80" s="19">
        <v>21</v>
      </c>
      <c r="H80" s="19">
        <f t="shared" ref="H80:H115" si="3">F80+G80</f>
        <v>80</v>
      </c>
      <c r="I80" s="19" t="str">
        <f t="shared" ref="I80:I115" si="4">IF(H80&lt;35,"FAIL","PASS")</f>
        <v>PASS</v>
      </c>
      <c r="J80" s="19" t="str">
        <f t="shared" ref="J80:J115" si="5">IF(H80&lt;35,"0","1")</f>
        <v>1</v>
      </c>
    </row>
    <row r="81" ht="14.25" customHeight="1" spans="4:10">
      <c r="D81" s="19">
        <f>'SUB-1'!D80</f>
        <v>66</v>
      </c>
      <c r="E81" s="22" t="str">
        <f>'SUB-1'!E80</f>
        <v>BTMC24O1066</v>
      </c>
      <c r="F81" s="19">
        <v>23</v>
      </c>
      <c r="G81" s="19">
        <v>6</v>
      </c>
      <c r="H81" s="19">
        <f t="shared" si="3"/>
        <v>29</v>
      </c>
      <c r="I81" s="19" t="str">
        <f t="shared" si="4"/>
        <v>FAIL</v>
      </c>
      <c r="J81" s="19" t="str">
        <f t="shared" si="5"/>
        <v>0</v>
      </c>
    </row>
    <row r="82" ht="14.25" customHeight="1" spans="4:10">
      <c r="D82" s="19">
        <f>'SUB-1'!D81</f>
        <v>67</v>
      </c>
      <c r="E82" s="22" t="str">
        <f>'SUB-1'!E81</f>
        <v>BTMC24O1067</v>
      </c>
      <c r="F82" s="19">
        <v>68</v>
      </c>
      <c r="G82" s="19">
        <v>9</v>
      </c>
      <c r="H82" s="19">
        <f t="shared" si="3"/>
        <v>77</v>
      </c>
      <c r="I82" s="19" t="str">
        <f t="shared" si="4"/>
        <v>PASS</v>
      </c>
      <c r="J82" s="19" t="str">
        <f t="shared" si="5"/>
        <v>1</v>
      </c>
    </row>
    <row r="83" ht="14.25" customHeight="1" spans="4:10">
      <c r="D83" s="19">
        <f>'SUB-1'!D82</f>
        <v>68</v>
      </c>
      <c r="E83" s="22" t="str">
        <f>'SUB-1'!E82</f>
        <v>BTMC24O1068</v>
      </c>
      <c r="F83" s="19">
        <v>59</v>
      </c>
      <c r="G83" s="19">
        <v>11</v>
      </c>
      <c r="H83" s="19">
        <f t="shared" si="3"/>
        <v>70</v>
      </c>
      <c r="I83" s="19" t="str">
        <f t="shared" si="4"/>
        <v>PASS</v>
      </c>
      <c r="J83" s="19" t="str">
        <f t="shared" si="5"/>
        <v>1</v>
      </c>
    </row>
    <row r="84" ht="14.25" customHeight="1" spans="4:10">
      <c r="D84" s="19">
        <f>'SUB-1'!D83</f>
        <v>69</v>
      </c>
      <c r="E84" s="22" t="str">
        <f>'SUB-1'!E83</f>
        <v>BTMC24O1069</v>
      </c>
      <c r="F84" s="19">
        <v>32</v>
      </c>
      <c r="G84" s="19">
        <v>16</v>
      </c>
      <c r="H84" s="19">
        <f t="shared" si="3"/>
        <v>48</v>
      </c>
      <c r="I84" s="19" t="str">
        <f t="shared" si="4"/>
        <v>PASS</v>
      </c>
      <c r="J84" s="19" t="str">
        <f t="shared" si="5"/>
        <v>1</v>
      </c>
    </row>
    <row r="85" ht="14.25" customHeight="1" spans="4:10">
      <c r="D85" s="19">
        <f>'SUB-1'!D84</f>
        <v>70</v>
      </c>
      <c r="E85" s="22" t="str">
        <f>'SUB-1'!E84</f>
        <v>BTMC24O1070</v>
      </c>
      <c r="F85" s="19">
        <v>68</v>
      </c>
      <c r="G85" s="19">
        <v>22</v>
      </c>
      <c r="H85" s="19">
        <f t="shared" si="3"/>
        <v>90</v>
      </c>
      <c r="I85" s="19" t="str">
        <f t="shared" si="4"/>
        <v>PASS</v>
      </c>
      <c r="J85" s="19" t="str">
        <f t="shared" si="5"/>
        <v>1</v>
      </c>
    </row>
    <row r="86" ht="14.25" customHeight="1" spans="4:10">
      <c r="D86" s="19">
        <f>'SUB-1'!D85</f>
        <v>71</v>
      </c>
      <c r="E86" s="22" t="str">
        <f>'SUB-1'!E85</f>
        <v>BTMC24O1071</v>
      </c>
      <c r="F86" s="19">
        <v>46</v>
      </c>
      <c r="G86" s="19">
        <v>0</v>
      </c>
      <c r="H86" s="19">
        <f t="shared" si="3"/>
        <v>46</v>
      </c>
      <c r="I86" s="19" t="str">
        <f t="shared" si="4"/>
        <v>PASS</v>
      </c>
      <c r="J86" s="19" t="str">
        <f t="shared" si="5"/>
        <v>1</v>
      </c>
    </row>
    <row r="87" ht="14.25" customHeight="1" spans="4:10">
      <c r="D87" s="19">
        <f>'SUB-1'!D86</f>
        <v>72</v>
      </c>
      <c r="E87" s="22" t="str">
        <f>'SUB-1'!E86</f>
        <v>BTMC24O1072</v>
      </c>
      <c r="F87" s="19">
        <v>11</v>
      </c>
      <c r="G87" s="19">
        <v>18</v>
      </c>
      <c r="H87" s="19">
        <f t="shared" si="3"/>
        <v>29</v>
      </c>
      <c r="I87" s="19" t="str">
        <f t="shared" si="4"/>
        <v>FAIL</v>
      </c>
      <c r="J87" s="19" t="str">
        <f t="shared" si="5"/>
        <v>0</v>
      </c>
    </row>
    <row r="88" ht="14.25" customHeight="1" spans="4:10">
      <c r="D88" s="19">
        <f>'SUB-1'!D87</f>
        <v>73</v>
      </c>
      <c r="E88" s="22" t="str">
        <f>'SUB-1'!E87</f>
        <v>BTMC24O1073</v>
      </c>
      <c r="F88" s="19">
        <v>65</v>
      </c>
      <c r="G88" s="19">
        <v>24</v>
      </c>
      <c r="H88" s="19">
        <f t="shared" si="3"/>
        <v>89</v>
      </c>
      <c r="I88" s="19" t="str">
        <f t="shared" si="4"/>
        <v>PASS</v>
      </c>
      <c r="J88" s="19" t="str">
        <f t="shared" si="5"/>
        <v>1</v>
      </c>
    </row>
    <row r="89" ht="14.25" customHeight="1" spans="4:10">
      <c r="D89" s="19">
        <f>'SUB-1'!D88</f>
        <v>74</v>
      </c>
      <c r="E89" s="22" t="str">
        <f>'SUB-1'!E88</f>
        <v>BTMC24O1074</v>
      </c>
      <c r="F89" s="19">
        <v>43</v>
      </c>
      <c r="G89" s="19">
        <v>3</v>
      </c>
      <c r="H89" s="19">
        <f t="shared" si="3"/>
        <v>46</v>
      </c>
      <c r="I89" s="19" t="str">
        <f t="shared" si="4"/>
        <v>PASS</v>
      </c>
      <c r="J89" s="19" t="str">
        <f t="shared" si="5"/>
        <v>1</v>
      </c>
    </row>
    <row r="90" ht="14.25" customHeight="1" spans="4:10">
      <c r="D90" s="19">
        <f>'SUB-1'!D89</f>
        <v>75</v>
      </c>
      <c r="E90" s="22" t="str">
        <f>'SUB-1'!E89</f>
        <v>BTMC24O1075</v>
      </c>
      <c r="F90" s="19">
        <v>35</v>
      </c>
      <c r="G90" s="19">
        <v>21</v>
      </c>
      <c r="H90" s="19">
        <f t="shared" si="3"/>
        <v>56</v>
      </c>
      <c r="I90" s="19" t="str">
        <f t="shared" si="4"/>
        <v>PASS</v>
      </c>
      <c r="J90" s="19" t="str">
        <f t="shared" si="5"/>
        <v>1</v>
      </c>
    </row>
    <row r="91" ht="14.25" customHeight="1" spans="4:10">
      <c r="D91" s="19">
        <f>'SUB-1'!D90</f>
        <v>76</v>
      </c>
      <c r="E91" s="22" t="str">
        <f>'SUB-1'!E90</f>
        <v>BTMC24O1076</v>
      </c>
      <c r="F91" s="19">
        <v>66</v>
      </c>
      <c r="G91" s="19">
        <v>18</v>
      </c>
      <c r="H91" s="19">
        <f t="shared" si="3"/>
        <v>84</v>
      </c>
      <c r="I91" s="19" t="str">
        <f t="shared" si="4"/>
        <v>PASS</v>
      </c>
      <c r="J91" s="19" t="str">
        <f t="shared" si="5"/>
        <v>1</v>
      </c>
    </row>
    <row r="92" ht="14.25" customHeight="1" spans="4:10">
      <c r="D92" s="19">
        <f>'SUB-1'!D91</f>
        <v>77</v>
      </c>
      <c r="E92" s="22" t="str">
        <f>'SUB-1'!E91</f>
        <v>BTMC24O1077</v>
      </c>
      <c r="F92" s="19">
        <v>44</v>
      </c>
      <c r="G92" s="19">
        <v>21</v>
      </c>
      <c r="H92" s="19">
        <f t="shared" si="3"/>
        <v>65</v>
      </c>
      <c r="I92" s="19" t="str">
        <f t="shared" si="4"/>
        <v>PASS</v>
      </c>
      <c r="J92" s="19" t="str">
        <f t="shared" si="5"/>
        <v>1</v>
      </c>
    </row>
    <row r="93" ht="14.25" customHeight="1" spans="4:10">
      <c r="D93" s="19">
        <f>'SUB-1'!D92</f>
        <v>78</v>
      </c>
      <c r="E93" s="22" t="str">
        <f>'SUB-1'!E92</f>
        <v>BTMC24O1078</v>
      </c>
      <c r="F93" s="19">
        <v>35</v>
      </c>
      <c r="G93" s="19">
        <v>18</v>
      </c>
      <c r="H93" s="19">
        <f t="shared" si="3"/>
        <v>53</v>
      </c>
      <c r="I93" s="19" t="str">
        <f t="shared" si="4"/>
        <v>PASS</v>
      </c>
      <c r="J93" s="19" t="str">
        <f t="shared" si="5"/>
        <v>1</v>
      </c>
    </row>
    <row r="94" ht="14.25" customHeight="1" spans="4:10">
      <c r="D94" s="19">
        <f>'SUB-1'!D93</f>
        <v>79</v>
      </c>
      <c r="E94" s="22" t="str">
        <f>'SUB-1'!E93</f>
        <v>BTMC24O1079</v>
      </c>
      <c r="F94" s="19">
        <v>17</v>
      </c>
      <c r="G94" s="19">
        <v>20</v>
      </c>
      <c r="H94" s="19">
        <f t="shared" si="3"/>
        <v>37</v>
      </c>
      <c r="I94" s="19" t="str">
        <f t="shared" si="4"/>
        <v>PASS</v>
      </c>
      <c r="J94" s="19" t="str">
        <f t="shared" si="5"/>
        <v>1</v>
      </c>
    </row>
    <row r="95" ht="14.25" customHeight="1" spans="4:10">
      <c r="D95" s="19">
        <f>'SUB-1'!D94</f>
        <v>80</v>
      </c>
      <c r="E95" s="22" t="str">
        <f>'SUB-1'!E94</f>
        <v>BTMC24O1080</v>
      </c>
      <c r="F95" s="19">
        <v>10</v>
      </c>
      <c r="G95" s="19">
        <v>21</v>
      </c>
      <c r="H95" s="19">
        <f t="shared" si="3"/>
        <v>31</v>
      </c>
      <c r="I95" s="19" t="str">
        <f t="shared" si="4"/>
        <v>FAIL</v>
      </c>
      <c r="J95" s="19" t="str">
        <f t="shared" si="5"/>
        <v>0</v>
      </c>
    </row>
    <row r="96" ht="14.25" customHeight="1" spans="4:10">
      <c r="D96" s="19">
        <f>'SUB-1'!D95</f>
        <v>81</v>
      </c>
      <c r="E96" s="22" t="str">
        <f>'SUB-1'!E95</f>
        <v>BTMC24O1081</v>
      </c>
      <c r="F96" s="19">
        <v>43</v>
      </c>
      <c r="G96" s="19">
        <v>27</v>
      </c>
      <c r="H96" s="19">
        <f t="shared" si="3"/>
        <v>70</v>
      </c>
      <c r="I96" s="19" t="str">
        <f t="shared" si="4"/>
        <v>PASS</v>
      </c>
      <c r="J96" s="19" t="str">
        <f t="shared" si="5"/>
        <v>1</v>
      </c>
    </row>
    <row r="97" ht="14.25" customHeight="1" spans="4:10">
      <c r="D97" s="19">
        <f>'SUB-1'!D96</f>
        <v>82</v>
      </c>
      <c r="E97" s="22" t="str">
        <f>'SUB-1'!E96</f>
        <v>BTMC24O1082</v>
      </c>
      <c r="F97" s="19">
        <v>49</v>
      </c>
      <c r="G97" s="19">
        <v>17</v>
      </c>
      <c r="H97" s="19">
        <f t="shared" si="3"/>
        <v>66</v>
      </c>
      <c r="I97" s="19" t="str">
        <f t="shared" si="4"/>
        <v>PASS</v>
      </c>
      <c r="J97" s="19" t="str">
        <f t="shared" si="5"/>
        <v>1</v>
      </c>
    </row>
    <row r="98" ht="14.25" customHeight="1" spans="4:10">
      <c r="D98" s="19">
        <f>'SUB-1'!D97</f>
        <v>83</v>
      </c>
      <c r="E98" s="22" t="str">
        <f>'SUB-1'!E97</f>
        <v>BTMC24O1083</v>
      </c>
      <c r="F98" s="19">
        <v>61</v>
      </c>
      <c r="G98" s="19">
        <v>1</v>
      </c>
      <c r="H98" s="19">
        <f t="shared" si="3"/>
        <v>62</v>
      </c>
      <c r="I98" s="19" t="str">
        <f t="shared" si="4"/>
        <v>PASS</v>
      </c>
      <c r="J98" s="19" t="str">
        <f t="shared" si="5"/>
        <v>1</v>
      </c>
    </row>
    <row r="99" ht="14.25" customHeight="1" spans="4:10">
      <c r="D99" s="19">
        <f>'SUB-1'!D98</f>
        <v>84</v>
      </c>
      <c r="E99" s="22" t="str">
        <f>'SUB-1'!E98</f>
        <v>BTMC24O1084</v>
      </c>
      <c r="F99" s="19">
        <v>7</v>
      </c>
      <c r="G99" s="19">
        <v>1</v>
      </c>
      <c r="H99" s="19">
        <f t="shared" si="3"/>
        <v>8</v>
      </c>
      <c r="I99" s="19" t="str">
        <f t="shared" si="4"/>
        <v>FAIL</v>
      </c>
      <c r="J99" s="19" t="str">
        <f t="shared" si="5"/>
        <v>0</v>
      </c>
    </row>
    <row r="100" ht="14.25" customHeight="1" spans="4:10">
      <c r="D100" s="19">
        <f>'SUB-1'!D99</f>
        <v>85</v>
      </c>
      <c r="E100" s="22" t="str">
        <f>'SUB-1'!E99</f>
        <v>BTMC24O1085</v>
      </c>
      <c r="F100" s="19">
        <v>47</v>
      </c>
      <c r="G100" s="19">
        <v>23</v>
      </c>
      <c r="H100" s="19">
        <f t="shared" si="3"/>
        <v>70</v>
      </c>
      <c r="I100" s="19" t="str">
        <f t="shared" si="4"/>
        <v>PASS</v>
      </c>
      <c r="J100" s="19" t="str">
        <f t="shared" si="5"/>
        <v>1</v>
      </c>
    </row>
    <row r="101" ht="14.25" customHeight="1" spans="4:10">
      <c r="D101" s="19">
        <f>'SUB-1'!D100</f>
        <v>86</v>
      </c>
      <c r="E101" s="22" t="str">
        <f>'SUB-1'!E100</f>
        <v>BTMC24O1086</v>
      </c>
      <c r="F101" s="19">
        <v>36</v>
      </c>
      <c r="G101" s="19">
        <v>17</v>
      </c>
      <c r="H101" s="19">
        <f t="shared" si="3"/>
        <v>53</v>
      </c>
      <c r="I101" s="19" t="str">
        <f t="shared" si="4"/>
        <v>PASS</v>
      </c>
      <c r="J101" s="19" t="str">
        <f t="shared" si="5"/>
        <v>1</v>
      </c>
    </row>
    <row r="102" ht="14.25" customHeight="1" spans="4:10">
      <c r="D102" s="19">
        <f>'SUB-1'!D101</f>
        <v>87</v>
      </c>
      <c r="E102" s="22" t="str">
        <f>'SUB-1'!E101</f>
        <v>BTMC24O1087</v>
      </c>
      <c r="F102" s="19">
        <v>64</v>
      </c>
      <c r="G102" s="19">
        <v>25</v>
      </c>
      <c r="H102" s="19">
        <f t="shared" si="3"/>
        <v>89</v>
      </c>
      <c r="I102" s="19" t="str">
        <f t="shared" si="4"/>
        <v>PASS</v>
      </c>
      <c r="J102" s="19" t="str">
        <f t="shared" si="5"/>
        <v>1</v>
      </c>
    </row>
    <row r="103" ht="14.25" customHeight="1" spans="4:10">
      <c r="D103" s="19">
        <f>'SUB-1'!D102</f>
        <v>88</v>
      </c>
      <c r="E103" s="22" t="str">
        <f>'SUB-1'!E102</f>
        <v>BTMC24O1088</v>
      </c>
      <c r="F103" s="19">
        <v>68</v>
      </c>
      <c r="G103" s="19">
        <v>28</v>
      </c>
      <c r="H103" s="19">
        <f t="shared" si="3"/>
        <v>96</v>
      </c>
      <c r="I103" s="19" t="str">
        <f t="shared" si="4"/>
        <v>PASS</v>
      </c>
      <c r="J103" s="19" t="str">
        <f t="shared" si="5"/>
        <v>1</v>
      </c>
    </row>
    <row r="104" ht="14.25" customHeight="1" spans="4:10">
      <c r="D104" s="19">
        <f>'SUB-1'!D103</f>
        <v>89</v>
      </c>
      <c r="E104" s="22" t="str">
        <f>'SUB-1'!E103</f>
        <v>BTMC24O1089</v>
      </c>
      <c r="F104" s="19">
        <v>56</v>
      </c>
      <c r="G104" s="19">
        <v>29</v>
      </c>
      <c r="H104" s="19">
        <f t="shared" si="3"/>
        <v>85</v>
      </c>
      <c r="I104" s="19" t="str">
        <f t="shared" si="4"/>
        <v>PASS</v>
      </c>
      <c r="J104" s="19" t="str">
        <f t="shared" si="5"/>
        <v>1</v>
      </c>
    </row>
    <row r="105" ht="14.25" customHeight="1" spans="4:10">
      <c r="D105" s="19">
        <f>'SUB-1'!D104</f>
        <v>90</v>
      </c>
      <c r="E105" s="22" t="str">
        <f>'SUB-1'!E104</f>
        <v>BTMC24O1090</v>
      </c>
      <c r="F105" s="19">
        <v>17</v>
      </c>
      <c r="G105" s="19">
        <v>2</v>
      </c>
      <c r="H105" s="19">
        <f t="shared" si="3"/>
        <v>19</v>
      </c>
      <c r="I105" s="19" t="str">
        <f t="shared" si="4"/>
        <v>FAIL</v>
      </c>
      <c r="J105" s="19" t="str">
        <f t="shared" si="5"/>
        <v>0</v>
      </c>
    </row>
    <row r="106" ht="14.25" customHeight="1" spans="4:10">
      <c r="D106" s="19">
        <f>'SUB-1'!D105</f>
        <v>91</v>
      </c>
      <c r="E106" s="22" t="str">
        <f>'SUB-1'!E105</f>
        <v>BTMC24O1091</v>
      </c>
      <c r="F106" s="19">
        <v>33</v>
      </c>
      <c r="G106" s="19">
        <v>14</v>
      </c>
      <c r="H106" s="19">
        <f t="shared" si="3"/>
        <v>47</v>
      </c>
      <c r="I106" s="19" t="str">
        <f t="shared" si="4"/>
        <v>PASS</v>
      </c>
      <c r="J106" s="19" t="str">
        <f t="shared" si="5"/>
        <v>1</v>
      </c>
    </row>
    <row r="107" ht="14.25" customHeight="1" spans="4:10">
      <c r="D107" s="19">
        <f>'SUB-1'!D106</f>
        <v>92</v>
      </c>
      <c r="E107" s="22" t="str">
        <f>'SUB-1'!E106</f>
        <v>BTMC24O1092</v>
      </c>
      <c r="F107" s="19">
        <v>9</v>
      </c>
      <c r="G107" s="19">
        <v>9</v>
      </c>
      <c r="H107" s="19">
        <f t="shared" si="3"/>
        <v>18</v>
      </c>
      <c r="I107" s="19" t="str">
        <f t="shared" si="4"/>
        <v>FAIL</v>
      </c>
      <c r="J107" s="19" t="str">
        <f t="shared" si="5"/>
        <v>0</v>
      </c>
    </row>
    <row r="108" ht="14.25" customHeight="1" spans="4:10">
      <c r="D108" s="19">
        <f>'SUB-1'!D107</f>
        <v>93</v>
      </c>
      <c r="E108" s="22" t="str">
        <f>'SUB-1'!E107</f>
        <v>BTMC24O1093</v>
      </c>
      <c r="F108" s="19">
        <v>69</v>
      </c>
      <c r="G108" s="19">
        <v>27</v>
      </c>
      <c r="H108" s="19">
        <f t="shared" si="3"/>
        <v>96</v>
      </c>
      <c r="I108" s="19" t="str">
        <f t="shared" si="4"/>
        <v>PASS</v>
      </c>
      <c r="J108" s="19" t="str">
        <f t="shared" si="5"/>
        <v>1</v>
      </c>
    </row>
    <row r="109" ht="14.25" customHeight="1" spans="4:10">
      <c r="D109" s="19">
        <f>'SUB-1'!D108</f>
        <v>94</v>
      </c>
      <c r="E109" s="22" t="str">
        <f>'SUB-1'!E108</f>
        <v>BTMC24O1094</v>
      </c>
      <c r="F109" s="19">
        <v>17</v>
      </c>
      <c r="G109" s="19">
        <v>1</v>
      </c>
      <c r="H109" s="19">
        <f t="shared" si="3"/>
        <v>18</v>
      </c>
      <c r="I109" s="19" t="str">
        <f t="shared" si="4"/>
        <v>FAIL</v>
      </c>
      <c r="J109" s="19" t="str">
        <f t="shared" si="5"/>
        <v>0</v>
      </c>
    </row>
    <row r="110" ht="14.25" customHeight="1" spans="4:10">
      <c r="D110" s="19">
        <f>'SUB-1'!D109</f>
        <v>95</v>
      </c>
      <c r="E110" s="22" t="str">
        <f>'SUB-1'!E109</f>
        <v>BTMC24O1095</v>
      </c>
      <c r="F110" s="19">
        <v>68</v>
      </c>
      <c r="G110" s="19">
        <v>1</v>
      </c>
      <c r="H110" s="19">
        <f t="shared" si="3"/>
        <v>69</v>
      </c>
      <c r="I110" s="19" t="str">
        <f t="shared" si="4"/>
        <v>PASS</v>
      </c>
      <c r="J110" s="19" t="str">
        <f t="shared" si="5"/>
        <v>1</v>
      </c>
    </row>
    <row r="111" ht="14.25" customHeight="1" spans="4:10">
      <c r="D111" s="19">
        <f>'SUB-1'!D110</f>
        <v>96</v>
      </c>
      <c r="E111" s="22" t="str">
        <f>'SUB-1'!E110</f>
        <v>BTMC24O1096</v>
      </c>
      <c r="F111" s="19">
        <v>43</v>
      </c>
      <c r="G111" s="19">
        <v>15</v>
      </c>
      <c r="H111" s="19">
        <f t="shared" si="3"/>
        <v>58</v>
      </c>
      <c r="I111" s="19" t="str">
        <f t="shared" si="4"/>
        <v>PASS</v>
      </c>
      <c r="J111" s="19" t="str">
        <f t="shared" si="5"/>
        <v>1</v>
      </c>
    </row>
    <row r="112" ht="14.25" customHeight="1" spans="4:10">
      <c r="D112" s="19">
        <f>'SUB-1'!D111</f>
        <v>97</v>
      </c>
      <c r="E112" s="22" t="str">
        <f>'SUB-1'!E111</f>
        <v>BTMC24O1097</v>
      </c>
      <c r="F112" s="19">
        <v>26</v>
      </c>
      <c r="G112" s="19">
        <v>8</v>
      </c>
      <c r="H112" s="19">
        <f t="shared" si="3"/>
        <v>34</v>
      </c>
      <c r="I112" s="19" t="str">
        <f t="shared" si="4"/>
        <v>FAIL</v>
      </c>
      <c r="J112" s="19" t="str">
        <f t="shared" si="5"/>
        <v>0</v>
      </c>
    </row>
    <row r="113" ht="14.25" customHeight="1" spans="4:10">
      <c r="D113" s="19">
        <f>'SUB-1'!D112</f>
        <v>98</v>
      </c>
      <c r="E113" s="22" t="str">
        <f>'SUB-1'!E112</f>
        <v>BTMC24O1098</v>
      </c>
      <c r="F113" s="19">
        <v>3</v>
      </c>
      <c r="G113" s="19">
        <v>5</v>
      </c>
      <c r="H113" s="19">
        <f t="shared" si="3"/>
        <v>8</v>
      </c>
      <c r="I113" s="19" t="str">
        <f t="shared" si="4"/>
        <v>FAIL</v>
      </c>
      <c r="J113" s="19" t="str">
        <f t="shared" si="5"/>
        <v>0</v>
      </c>
    </row>
    <row r="114" ht="14.25" customHeight="1" spans="4:10">
      <c r="D114" s="19">
        <f>'SUB-1'!D113</f>
        <v>99</v>
      </c>
      <c r="E114" s="22" t="str">
        <f>'SUB-1'!E113</f>
        <v>BTMC24O1099</v>
      </c>
      <c r="F114" s="19">
        <v>43</v>
      </c>
      <c r="G114" s="19">
        <v>0</v>
      </c>
      <c r="H114" s="19">
        <f t="shared" si="3"/>
        <v>43</v>
      </c>
      <c r="I114" s="19" t="str">
        <f t="shared" si="4"/>
        <v>PASS</v>
      </c>
      <c r="J114" s="19" t="str">
        <f t="shared" si="5"/>
        <v>1</v>
      </c>
    </row>
    <row r="115" ht="14.25" customHeight="1" spans="4:10">
      <c r="D115" s="19">
        <f>'SUB-1'!D114</f>
        <v>100</v>
      </c>
      <c r="E115" s="22" t="str">
        <f>'SUB-1'!E114</f>
        <v>BTMC24O1100</v>
      </c>
      <c r="F115" s="19">
        <v>70</v>
      </c>
      <c r="G115" s="19">
        <v>25</v>
      </c>
      <c r="H115" s="19">
        <f t="shared" si="3"/>
        <v>95</v>
      </c>
      <c r="I115" s="19" t="str">
        <f t="shared" si="4"/>
        <v>PASS</v>
      </c>
      <c r="J115" s="19" t="str">
        <f t="shared" si="5"/>
        <v>1</v>
      </c>
    </row>
  </sheetData>
  <mergeCells count="8">
    <mergeCell ref="D4:Q4"/>
    <mergeCell ref="D5:Q5"/>
    <mergeCell ref="D6:Q6"/>
    <mergeCell ref="G7:L7"/>
    <mergeCell ref="D8:Q8"/>
    <mergeCell ref="D9:Q9"/>
    <mergeCell ref="L15:M15"/>
    <mergeCell ref="D2:Q3"/>
  </mergeCells>
  <conditionalFormatting sqref="E16:E115">
    <cfRule type="expression" dxfId="2" priority="5">
      <formula>COUNTIF($E$16:$E$115,E16)&gt;1</formula>
    </cfRule>
  </conditionalFormatting>
  <conditionalFormatting sqref="F16:F115">
    <cfRule type="expression" dxfId="2" priority="3">
      <formula>OR(F16&lt;0,F16&gt;70,NOT(ISNUMBER(F16)))</formula>
    </cfRule>
  </conditionalFormatting>
  <conditionalFormatting sqref="G16:G115">
    <cfRule type="expression" dxfId="2" priority="4">
      <formula>OR(G16&lt;0,G16&gt;30,NOT(ISNUMBER(G16)))</formula>
    </cfRule>
  </conditionalFormatting>
  <conditionalFormatting sqref="I16:I115">
    <cfRule type="containsText" dxfId="0" priority="2" operator="between" text="FAIL">
      <formula>NOT(ISERROR(SEARCH("FAIL",I16)))</formula>
    </cfRule>
  </conditionalFormatting>
  <dataValidations count="3">
    <dataValidation type="textLength" operator="equal" allowBlank="1" showErrorMessage="1" errorTitle="Invalid enrollment no." error="Enrollment number must be 11 characters (e.g. BTMC24O1001)" sqref="E16:E115">
      <formula1>11</formula1>
    </dataValidation>
    <dataValidation type="decimal" operator="between" allowBlank="1" showErrorMessage="1" errorTitle="Invalid mark" error="Enter a number between 0 and 70" sqref="F16:F115">
      <formula1>0</formula1>
      <formula2>70</formula2>
    </dataValidation>
    <dataValidation type="decimal" operator="between" allowBlank="1" showErrorMessage="1" errorTitle="Invalid mark" error="Enter a number between 0 and 30" sqref="G16:G115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1:Q115"/>
  <sheetViews>
    <sheetView zoomScale="80" zoomScaleNormal="80" topLeftCell="C4" workbookViewId="0">
      <selection activeCell="L16" sqref="L16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21.1759259259259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656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665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680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="26" customFormat="1" ht="21" customHeight="1" spans="3:17">
      <c r="C6" s="15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="26" customFormat="1" ht="21" customHeight="1" spans="3:17">
      <c r="C7" s="15"/>
      <c r="D7" s="15"/>
      <c r="E7" s="15"/>
      <c r="F7" s="15"/>
      <c r="G7" s="13" t="s">
        <v>681</v>
      </c>
      <c r="H7" s="13"/>
      <c r="I7" s="13"/>
      <c r="J7" s="13"/>
      <c r="K7" s="13"/>
      <c r="L7" s="13"/>
      <c r="M7" s="15"/>
      <c r="N7" s="15"/>
      <c r="O7" s="15"/>
      <c r="P7" s="15"/>
      <c r="Q7" s="27"/>
    </row>
    <row r="8" s="26" customFormat="1" ht="21" customHeight="1" spans="3:17">
      <c r="C8" s="15"/>
      <c r="D8" s="16" t="s">
        <v>682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="26" customFormat="1" ht="21" customHeight="1" spans="3:17">
      <c r="C9" s="27"/>
      <c r="D9" s="16" t="s">
        <v>669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25241108</v>
      </c>
      <c r="F11" s="17" t="s">
        <v>683</v>
      </c>
      <c r="G11" s="17" t="s">
        <v>607</v>
      </c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671</v>
      </c>
      <c r="G12" s="18" t="s">
        <v>627</v>
      </c>
      <c r="H12" s="18" t="s">
        <v>75</v>
      </c>
      <c r="I12" s="18" t="s">
        <v>77</v>
      </c>
      <c r="J12" s="18" t="s">
        <v>47</v>
      </c>
      <c r="L12" s="10"/>
      <c r="M12" s="10"/>
      <c r="N12" s="10"/>
    </row>
    <row r="13" ht="14.25" customHeight="1" spans="3:17">
      <c r="D13" s="19"/>
      <c r="E13" s="19"/>
      <c r="F13" s="18" t="s">
        <v>672</v>
      </c>
      <c r="G13" s="19"/>
      <c r="H13" s="19"/>
      <c r="I13" s="19"/>
      <c r="J13" s="19"/>
      <c r="L13" s="10"/>
      <c r="M13" s="10"/>
      <c r="N13" s="10"/>
    </row>
    <row r="14" ht="14.25" customHeight="1" spans="3:17">
      <c r="D14" s="19"/>
      <c r="E14" s="19"/>
      <c r="F14" s="20">
        <v>50</v>
      </c>
      <c r="G14" s="20" t="s">
        <v>600</v>
      </c>
      <c r="H14" s="20">
        <v>50</v>
      </c>
      <c r="I14" s="20" t="s">
        <v>79</v>
      </c>
      <c r="J14" s="20">
        <v>1</v>
      </c>
      <c r="L14" s="10"/>
      <c r="M14" s="10"/>
      <c r="N14" s="10"/>
    </row>
    <row r="15" ht="14.25" customHeight="1" spans="3:17">
      <c r="D15" s="19"/>
      <c r="E15" s="19"/>
      <c r="F15" s="19"/>
      <c r="G15" s="19"/>
      <c r="H15" s="19"/>
      <c r="I15" s="19"/>
      <c r="J15" s="19"/>
      <c r="L15" s="25" t="s">
        <v>684</v>
      </c>
      <c r="M15" s="25"/>
    </row>
    <row r="16" ht="14.25" customHeight="1" spans="3:17">
      <c r="D16" s="19">
        <v>1</v>
      </c>
      <c r="E16" s="22" t="s">
        <v>90</v>
      </c>
      <c r="F16" s="19">
        <v>32</v>
      </c>
      <c r="G16" s="19" t="s">
        <v>600</v>
      </c>
      <c r="H16" s="19">
        <f t="shared" ref="H16:H79" si="0">F16</f>
        <v>32</v>
      </c>
      <c r="I16" s="19" t="str">
        <f t="shared" ref="I16:I79" si="1">IF(H16&lt;16,"FAIL","PASS")</f>
        <v>PASS</v>
      </c>
      <c r="J16" s="19" t="str">
        <f t="shared" ref="J16:J79" si="2">IF(H16&lt;16,"0","1")</f>
        <v>1</v>
      </c>
      <c r="L16" s="1" t="s">
        <v>649</v>
      </c>
      <c r="M16" s="1">
        <f>COUNTIF(I16:I115,"PASS")</f>
        <v>67</v>
      </c>
    </row>
    <row r="17" ht="14.25" customHeight="1" spans="4:14">
      <c r="D17" s="19">
        <v>2</v>
      </c>
      <c r="E17" s="22" t="s">
        <v>97</v>
      </c>
      <c r="F17" s="19">
        <v>48</v>
      </c>
      <c r="G17" s="19" t="s">
        <v>600</v>
      </c>
      <c r="H17" s="19">
        <f t="shared" si="0"/>
        <v>48</v>
      </c>
      <c r="I17" s="19" t="str">
        <f t="shared" si="1"/>
        <v>PASS</v>
      </c>
      <c r="J17" s="19" t="str">
        <f t="shared" si="2"/>
        <v>1</v>
      </c>
      <c r="L17" s="1" t="s">
        <v>655</v>
      </c>
      <c r="M17" s="1">
        <f>COUNTIF(I16:I115,"FAIL")</f>
        <v>33</v>
      </c>
    </row>
    <row r="18" ht="14.25" customHeight="1" spans="4:14">
      <c r="D18" s="19">
        <v>3</v>
      </c>
      <c r="E18" s="22" t="s">
        <v>102</v>
      </c>
      <c r="F18" s="19">
        <v>22</v>
      </c>
      <c r="G18" s="19" t="s">
        <v>600</v>
      </c>
      <c r="H18" s="19">
        <f t="shared" si="0"/>
        <v>22</v>
      </c>
      <c r="I18" s="19" t="str">
        <f t="shared" si="1"/>
        <v>PASS</v>
      </c>
      <c r="J18" s="19" t="str">
        <f t="shared" si="2"/>
        <v>1</v>
      </c>
    </row>
    <row r="19" ht="14.25" customHeight="1" spans="4:14">
      <c r="D19" s="19">
        <v>4</v>
      </c>
      <c r="E19" s="22" t="s">
        <v>107</v>
      </c>
      <c r="F19" s="19">
        <v>6</v>
      </c>
      <c r="G19" s="19" t="s">
        <v>600</v>
      </c>
      <c r="H19" s="19">
        <f t="shared" si="0"/>
        <v>6</v>
      </c>
      <c r="I19" s="19" t="str">
        <f t="shared" si="1"/>
        <v>FAIL</v>
      </c>
      <c r="J19" s="19" t="str">
        <f t="shared" si="2"/>
        <v>0</v>
      </c>
    </row>
    <row r="20" ht="14.25" customHeight="1" spans="4:14">
      <c r="D20" s="19">
        <v>5</v>
      </c>
      <c r="E20" s="22" t="s">
        <v>112</v>
      </c>
      <c r="F20" s="19">
        <v>42</v>
      </c>
      <c r="G20" s="19" t="s">
        <v>600</v>
      </c>
      <c r="H20" s="19">
        <f t="shared" si="0"/>
        <v>42</v>
      </c>
      <c r="I20" s="19" t="str">
        <f t="shared" si="1"/>
        <v>PASS</v>
      </c>
      <c r="J20" s="19" t="str">
        <f t="shared" si="2"/>
        <v>1</v>
      </c>
    </row>
    <row r="21" ht="14.25" customHeight="1" spans="4:14">
      <c r="D21" s="19">
        <v>6</v>
      </c>
      <c r="E21" s="22" t="s">
        <v>117</v>
      </c>
      <c r="F21" s="19">
        <v>31</v>
      </c>
      <c r="G21" s="19" t="s">
        <v>600</v>
      </c>
      <c r="H21" s="19">
        <f t="shared" si="0"/>
        <v>31</v>
      </c>
      <c r="I21" s="19" t="str">
        <f t="shared" si="1"/>
        <v>PASS</v>
      </c>
      <c r="J21" s="19" t="str">
        <f t="shared" si="2"/>
        <v>1</v>
      </c>
      <c r="L21" s="10"/>
      <c r="M21" s="10"/>
      <c r="N21" s="10"/>
    </row>
    <row r="22" ht="14.25" customHeight="1" spans="4:14">
      <c r="D22" s="19">
        <v>7</v>
      </c>
      <c r="E22" s="22" t="s">
        <v>122</v>
      </c>
      <c r="F22" s="19">
        <v>1</v>
      </c>
      <c r="G22" s="19" t="s">
        <v>600</v>
      </c>
      <c r="H22" s="19">
        <f t="shared" si="0"/>
        <v>1</v>
      </c>
      <c r="I22" s="19" t="str">
        <f t="shared" si="1"/>
        <v>FAIL</v>
      </c>
      <c r="J22" s="19" t="str">
        <f t="shared" si="2"/>
        <v>0</v>
      </c>
      <c r="L22" s="10"/>
      <c r="M22" s="10"/>
      <c r="N22" s="10"/>
    </row>
    <row r="23" ht="14.25" customHeight="1" spans="4:14">
      <c r="D23" s="19">
        <v>8</v>
      </c>
      <c r="E23" s="22" t="s">
        <v>127</v>
      </c>
      <c r="F23" s="19">
        <v>28</v>
      </c>
      <c r="G23" s="19" t="s">
        <v>600</v>
      </c>
      <c r="H23" s="19">
        <f t="shared" si="0"/>
        <v>28</v>
      </c>
      <c r="I23" s="19" t="str">
        <f t="shared" si="1"/>
        <v>PASS</v>
      </c>
      <c r="J23" s="19" t="str">
        <f t="shared" si="2"/>
        <v>1</v>
      </c>
      <c r="L23" s="10"/>
      <c r="M23" s="10"/>
      <c r="N23" s="10"/>
    </row>
    <row r="24" ht="14.25" customHeight="1" spans="4:14">
      <c r="D24" s="19">
        <v>9</v>
      </c>
      <c r="E24" s="22" t="s">
        <v>132</v>
      </c>
      <c r="F24" s="19">
        <v>19</v>
      </c>
      <c r="G24" s="19" t="s">
        <v>600</v>
      </c>
      <c r="H24" s="19">
        <f t="shared" si="0"/>
        <v>19</v>
      </c>
      <c r="I24" s="19" t="str">
        <f t="shared" si="1"/>
        <v>PASS</v>
      </c>
      <c r="J24" s="19" t="str">
        <f t="shared" si="2"/>
        <v>1</v>
      </c>
      <c r="L24" s="10"/>
      <c r="M24" s="10"/>
      <c r="N24" s="10"/>
    </row>
    <row r="25" ht="14.25" customHeight="1" spans="4:14">
      <c r="D25" s="19">
        <v>10</v>
      </c>
      <c r="E25" s="22" t="s">
        <v>137</v>
      </c>
      <c r="F25" s="19">
        <v>23</v>
      </c>
      <c r="G25" s="19" t="s">
        <v>600</v>
      </c>
      <c r="H25" s="19">
        <f t="shared" si="0"/>
        <v>23</v>
      </c>
      <c r="I25" s="19" t="str">
        <f t="shared" si="1"/>
        <v>PASS</v>
      </c>
      <c r="J25" s="19" t="str">
        <f t="shared" si="2"/>
        <v>1</v>
      </c>
      <c r="L25" s="10"/>
      <c r="M25" s="10"/>
      <c r="N25" s="10"/>
    </row>
    <row r="26" ht="14.25" customHeight="1" spans="4:14">
      <c r="D26" s="19">
        <v>11</v>
      </c>
      <c r="E26" s="22" t="s">
        <v>141</v>
      </c>
      <c r="F26" s="19">
        <v>34</v>
      </c>
      <c r="G26" s="19" t="s">
        <v>600</v>
      </c>
      <c r="H26" s="19">
        <f t="shared" si="0"/>
        <v>34</v>
      </c>
      <c r="I26" s="19" t="str">
        <f t="shared" si="1"/>
        <v>PASS</v>
      </c>
      <c r="J26" s="19" t="str">
        <f t="shared" si="2"/>
        <v>1</v>
      </c>
      <c r="L26" s="10"/>
      <c r="M26" s="10"/>
      <c r="N26" s="10"/>
    </row>
    <row r="27" ht="14.25" customHeight="1" spans="4:14">
      <c r="D27" s="19">
        <v>12</v>
      </c>
      <c r="E27" s="22" t="s">
        <v>146</v>
      </c>
      <c r="F27" s="19">
        <v>1</v>
      </c>
      <c r="G27" s="19" t="s">
        <v>600</v>
      </c>
      <c r="H27" s="19">
        <f t="shared" si="0"/>
        <v>1</v>
      </c>
      <c r="I27" s="19" t="str">
        <f t="shared" si="1"/>
        <v>FAIL</v>
      </c>
      <c r="J27" s="19" t="str">
        <f t="shared" si="2"/>
        <v>0</v>
      </c>
      <c r="L27" s="10"/>
      <c r="M27" s="10"/>
      <c r="N27" s="10"/>
    </row>
    <row r="28" ht="14.25" customHeight="1" spans="4:14">
      <c r="D28" s="19">
        <v>13</v>
      </c>
      <c r="E28" s="22" t="s">
        <v>151</v>
      </c>
      <c r="F28" s="19">
        <v>12</v>
      </c>
      <c r="G28" s="19" t="s">
        <v>600</v>
      </c>
      <c r="H28" s="19">
        <f t="shared" si="0"/>
        <v>12</v>
      </c>
      <c r="I28" s="19" t="str">
        <f t="shared" si="1"/>
        <v>FAIL</v>
      </c>
      <c r="J28" s="19" t="str">
        <f t="shared" si="2"/>
        <v>0</v>
      </c>
      <c r="L28" s="10"/>
      <c r="M28" s="10"/>
      <c r="N28" s="10"/>
    </row>
    <row r="29" ht="14.25" customHeight="1" spans="4:14">
      <c r="D29" s="19">
        <v>14</v>
      </c>
      <c r="E29" s="22" t="s">
        <v>156</v>
      </c>
      <c r="F29" s="19">
        <v>34</v>
      </c>
      <c r="G29" s="19" t="s">
        <v>600</v>
      </c>
      <c r="H29" s="19">
        <f t="shared" si="0"/>
        <v>34</v>
      </c>
      <c r="I29" s="19" t="str">
        <f t="shared" si="1"/>
        <v>PASS</v>
      </c>
      <c r="J29" s="19" t="str">
        <f t="shared" si="2"/>
        <v>1</v>
      </c>
      <c r="L29" s="10"/>
      <c r="M29" s="10"/>
      <c r="N29" s="10"/>
    </row>
    <row r="30" ht="14.25" customHeight="1" spans="4:14">
      <c r="D30" s="19">
        <v>15</v>
      </c>
      <c r="E30" s="22" t="s">
        <v>161</v>
      </c>
      <c r="F30" s="19">
        <v>24</v>
      </c>
      <c r="G30" s="19" t="s">
        <v>600</v>
      </c>
      <c r="H30" s="19">
        <f t="shared" si="0"/>
        <v>24</v>
      </c>
      <c r="I30" s="19" t="str">
        <f t="shared" si="1"/>
        <v>PASS</v>
      </c>
      <c r="J30" s="19" t="str">
        <f t="shared" si="2"/>
        <v>1</v>
      </c>
      <c r="L30" s="10"/>
      <c r="M30" s="10"/>
      <c r="N30" s="10"/>
    </row>
    <row r="31" ht="14.25" customHeight="1" spans="4:14">
      <c r="D31" s="19">
        <v>16</v>
      </c>
      <c r="E31" s="22" t="s">
        <v>166</v>
      </c>
      <c r="F31" s="19">
        <v>33</v>
      </c>
      <c r="G31" s="19" t="s">
        <v>600</v>
      </c>
      <c r="H31" s="19">
        <f t="shared" si="0"/>
        <v>33</v>
      </c>
      <c r="I31" s="19" t="str">
        <f t="shared" si="1"/>
        <v>PASS</v>
      </c>
      <c r="J31" s="19" t="str">
        <f t="shared" si="2"/>
        <v>1</v>
      </c>
      <c r="L31" s="10"/>
      <c r="M31" s="10"/>
      <c r="N31" s="10"/>
    </row>
    <row r="32" ht="14.25" customHeight="1" spans="4:14">
      <c r="D32" s="19">
        <v>17</v>
      </c>
      <c r="E32" s="22" t="s">
        <v>171</v>
      </c>
      <c r="F32" s="19">
        <v>30</v>
      </c>
      <c r="G32" s="19" t="s">
        <v>600</v>
      </c>
      <c r="H32" s="19">
        <f t="shared" si="0"/>
        <v>30</v>
      </c>
      <c r="I32" s="19" t="str">
        <f t="shared" si="1"/>
        <v>PASS</v>
      </c>
      <c r="J32" s="19" t="str">
        <f t="shared" si="2"/>
        <v>1</v>
      </c>
      <c r="L32" s="10"/>
      <c r="M32" s="10"/>
      <c r="N32" s="10"/>
    </row>
    <row r="33" ht="14.25" customHeight="1" spans="4:14">
      <c r="D33" s="19">
        <v>18</v>
      </c>
      <c r="E33" s="22" t="s">
        <v>176</v>
      </c>
      <c r="F33" s="19">
        <v>13</v>
      </c>
      <c r="G33" s="19" t="s">
        <v>600</v>
      </c>
      <c r="H33" s="19">
        <f t="shared" si="0"/>
        <v>13</v>
      </c>
      <c r="I33" s="19" t="str">
        <f t="shared" si="1"/>
        <v>FAIL</v>
      </c>
      <c r="J33" s="19" t="str">
        <f t="shared" si="2"/>
        <v>0</v>
      </c>
      <c r="L33" s="10"/>
      <c r="M33" s="10"/>
      <c r="N33" s="10"/>
    </row>
    <row r="34" ht="14.25" customHeight="1" spans="4:14">
      <c r="D34" s="19">
        <v>19</v>
      </c>
      <c r="E34" s="22" t="s">
        <v>181</v>
      </c>
      <c r="F34" s="19">
        <v>25</v>
      </c>
      <c r="G34" s="19" t="s">
        <v>600</v>
      </c>
      <c r="H34" s="19">
        <f t="shared" si="0"/>
        <v>25</v>
      </c>
      <c r="I34" s="19" t="str">
        <f t="shared" si="1"/>
        <v>PASS</v>
      </c>
      <c r="J34" s="19" t="str">
        <f t="shared" si="2"/>
        <v>1</v>
      </c>
      <c r="L34" s="10"/>
      <c r="M34" s="10"/>
      <c r="N34" s="10"/>
    </row>
    <row r="35" ht="14.25" customHeight="1" spans="4:14">
      <c r="D35" s="19">
        <v>20</v>
      </c>
      <c r="E35" s="22" t="s">
        <v>186</v>
      </c>
      <c r="F35" s="19">
        <v>47</v>
      </c>
      <c r="G35" s="19" t="s">
        <v>600</v>
      </c>
      <c r="H35" s="19">
        <f t="shared" si="0"/>
        <v>47</v>
      </c>
      <c r="I35" s="19" t="str">
        <f t="shared" si="1"/>
        <v>PASS</v>
      </c>
      <c r="J35" s="19" t="str">
        <f t="shared" si="2"/>
        <v>1</v>
      </c>
      <c r="L35" s="10"/>
      <c r="M35" s="10"/>
      <c r="N35" s="10"/>
    </row>
    <row r="36" ht="14.25" customHeight="1" spans="4:14">
      <c r="D36" s="19">
        <f>'SUB- 2'!C35</f>
        <v>21</v>
      </c>
      <c r="E36" s="22" t="str">
        <f>'SUB- 2'!D35</f>
        <v>BTMC24O1021</v>
      </c>
      <c r="F36" s="19">
        <v>30</v>
      </c>
      <c r="G36" s="19" t="s">
        <v>600</v>
      </c>
      <c r="H36" s="19">
        <f t="shared" si="0"/>
        <v>30</v>
      </c>
      <c r="I36" s="19" t="str">
        <f t="shared" si="1"/>
        <v>PASS</v>
      </c>
      <c r="J36" s="19" t="str">
        <f t="shared" si="2"/>
        <v>1</v>
      </c>
    </row>
    <row r="37" ht="14.25" customHeight="1" spans="4:14">
      <c r="D37" s="19">
        <f>'SUB- 2'!C36</f>
        <v>22</v>
      </c>
      <c r="E37" s="22" t="str">
        <f>'SUB- 2'!D36</f>
        <v>BTMC24O1022</v>
      </c>
      <c r="F37" s="19">
        <v>27</v>
      </c>
      <c r="G37" s="19" t="s">
        <v>600</v>
      </c>
      <c r="H37" s="19">
        <f t="shared" si="0"/>
        <v>27</v>
      </c>
      <c r="I37" s="19" t="str">
        <f t="shared" si="1"/>
        <v>PASS</v>
      </c>
      <c r="J37" s="19" t="str">
        <f t="shared" si="2"/>
        <v>1</v>
      </c>
    </row>
    <row r="38" ht="14.25" customHeight="1" spans="4:14">
      <c r="D38" s="19">
        <f>'SUB- 2'!C37</f>
        <v>23</v>
      </c>
      <c r="E38" s="22" t="str">
        <f>'SUB- 2'!D37</f>
        <v>BTMC24O1023</v>
      </c>
      <c r="F38" s="19">
        <v>37</v>
      </c>
      <c r="G38" s="19" t="s">
        <v>600</v>
      </c>
      <c r="H38" s="19">
        <f t="shared" si="0"/>
        <v>37</v>
      </c>
      <c r="I38" s="19" t="str">
        <f t="shared" si="1"/>
        <v>PASS</v>
      </c>
      <c r="J38" s="19" t="str">
        <f t="shared" si="2"/>
        <v>1</v>
      </c>
    </row>
    <row r="39" ht="14.25" customHeight="1" spans="4:14">
      <c r="D39" s="19">
        <f>'SUB- 2'!C38</f>
        <v>24</v>
      </c>
      <c r="E39" s="22" t="str">
        <f>'SUB- 2'!D38</f>
        <v>BTMC24O1024</v>
      </c>
      <c r="F39" s="19">
        <v>18</v>
      </c>
      <c r="G39" s="19" t="s">
        <v>600</v>
      </c>
      <c r="H39" s="19">
        <f t="shared" si="0"/>
        <v>18</v>
      </c>
      <c r="I39" s="19" t="str">
        <f t="shared" si="1"/>
        <v>PASS</v>
      </c>
      <c r="J39" s="19" t="str">
        <f t="shared" si="2"/>
        <v>1</v>
      </c>
    </row>
    <row r="40" ht="14.25" customHeight="1" spans="4:14">
      <c r="D40" s="19">
        <f>'SUB- 2'!C39</f>
        <v>25</v>
      </c>
      <c r="E40" s="22" t="str">
        <f>'SUB- 2'!D39</f>
        <v>BTMC24O1025</v>
      </c>
      <c r="F40" s="19">
        <v>43</v>
      </c>
      <c r="G40" s="19" t="s">
        <v>600</v>
      </c>
      <c r="H40" s="19">
        <f t="shared" si="0"/>
        <v>43</v>
      </c>
      <c r="I40" s="19" t="str">
        <f t="shared" si="1"/>
        <v>PASS</v>
      </c>
      <c r="J40" s="19" t="str">
        <f t="shared" si="2"/>
        <v>1</v>
      </c>
    </row>
    <row r="41" ht="14.25" customHeight="1" spans="4:14">
      <c r="D41" s="19">
        <f>'SUB- 2'!C40</f>
        <v>26</v>
      </c>
      <c r="E41" s="22" t="str">
        <f>'SUB- 2'!D40</f>
        <v>BTMC24O1026</v>
      </c>
      <c r="F41" s="19">
        <v>29</v>
      </c>
      <c r="G41" s="19" t="s">
        <v>600</v>
      </c>
      <c r="H41" s="19">
        <f t="shared" si="0"/>
        <v>29</v>
      </c>
      <c r="I41" s="19" t="str">
        <f t="shared" si="1"/>
        <v>PASS</v>
      </c>
      <c r="J41" s="19" t="str">
        <f t="shared" si="2"/>
        <v>1</v>
      </c>
    </row>
    <row r="42" ht="14.25" customHeight="1" spans="4:14">
      <c r="D42" s="19">
        <f>'SUB- 2'!C41</f>
        <v>27</v>
      </c>
      <c r="E42" s="22" t="str">
        <f>'SUB- 2'!D41</f>
        <v>BTMC24O1027</v>
      </c>
      <c r="F42" s="19">
        <v>33</v>
      </c>
      <c r="G42" s="19" t="s">
        <v>600</v>
      </c>
      <c r="H42" s="19">
        <f t="shared" si="0"/>
        <v>33</v>
      </c>
      <c r="I42" s="19" t="str">
        <f t="shared" si="1"/>
        <v>PASS</v>
      </c>
      <c r="J42" s="19" t="str">
        <f t="shared" si="2"/>
        <v>1</v>
      </c>
    </row>
    <row r="43" ht="14.25" customHeight="1" spans="4:14">
      <c r="D43" s="19">
        <f>'SUB- 2'!C42</f>
        <v>28</v>
      </c>
      <c r="E43" s="22" t="str">
        <f>'SUB- 2'!D42</f>
        <v>BTMC24O1028</v>
      </c>
      <c r="F43" s="19">
        <v>17</v>
      </c>
      <c r="G43" s="19" t="s">
        <v>600</v>
      </c>
      <c r="H43" s="19">
        <f t="shared" si="0"/>
        <v>17</v>
      </c>
      <c r="I43" s="19" t="str">
        <f t="shared" si="1"/>
        <v>PASS</v>
      </c>
      <c r="J43" s="19" t="str">
        <f t="shared" si="2"/>
        <v>1</v>
      </c>
    </row>
    <row r="44" ht="14.25" customHeight="1" spans="4:14">
      <c r="D44" s="19">
        <f>'SUB- 2'!C43</f>
        <v>29</v>
      </c>
      <c r="E44" s="22" t="str">
        <f>'SUB- 2'!D43</f>
        <v>BTMC24O1029</v>
      </c>
      <c r="F44" s="19">
        <v>3</v>
      </c>
      <c r="G44" s="19" t="s">
        <v>600</v>
      </c>
      <c r="H44" s="19">
        <f t="shared" si="0"/>
        <v>3</v>
      </c>
      <c r="I44" s="19" t="str">
        <f t="shared" si="1"/>
        <v>FAIL</v>
      </c>
      <c r="J44" s="19" t="str">
        <f t="shared" si="2"/>
        <v>0</v>
      </c>
    </row>
    <row r="45" ht="14.25" customHeight="1" spans="4:14">
      <c r="D45" s="19">
        <f>'SUB- 2'!C44</f>
        <v>30</v>
      </c>
      <c r="E45" s="22" t="str">
        <f>'SUB- 2'!D44</f>
        <v>BTMC24O1030</v>
      </c>
      <c r="F45" s="19">
        <v>36</v>
      </c>
      <c r="G45" s="19" t="s">
        <v>600</v>
      </c>
      <c r="H45" s="19">
        <f t="shared" si="0"/>
        <v>36</v>
      </c>
      <c r="I45" s="19" t="str">
        <f t="shared" si="1"/>
        <v>PASS</v>
      </c>
      <c r="J45" s="19" t="str">
        <f t="shared" si="2"/>
        <v>1</v>
      </c>
    </row>
    <row r="46" ht="14.25" customHeight="1" spans="4:14">
      <c r="D46" s="19">
        <f>'SUB- 2'!C45</f>
        <v>31</v>
      </c>
      <c r="E46" s="22" t="str">
        <f>'SUB- 2'!D45</f>
        <v>BTMC24O1031</v>
      </c>
      <c r="F46" s="19">
        <v>19</v>
      </c>
      <c r="G46" s="19" t="s">
        <v>600</v>
      </c>
      <c r="H46" s="19">
        <f t="shared" si="0"/>
        <v>19</v>
      </c>
      <c r="I46" s="19" t="str">
        <f t="shared" si="1"/>
        <v>PASS</v>
      </c>
      <c r="J46" s="19" t="str">
        <f t="shared" si="2"/>
        <v>1</v>
      </c>
    </row>
    <row r="47" ht="14.25" customHeight="1" spans="4:14">
      <c r="D47" s="19">
        <f>'SUB- 2'!C46</f>
        <v>32</v>
      </c>
      <c r="E47" s="22" t="str">
        <f>'SUB- 2'!D46</f>
        <v>BTMC24O1032</v>
      </c>
      <c r="F47" s="19">
        <v>9</v>
      </c>
      <c r="G47" s="19" t="s">
        <v>600</v>
      </c>
      <c r="H47" s="19">
        <f t="shared" si="0"/>
        <v>9</v>
      </c>
      <c r="I47" s="19" t="str">
        <f t="shared" si="1"/>
        <v>FAIL</v>
      </c>
      <c r="J47" s="19" t="str">
        <f t="shared" si="2"/>
        <v>0</v>
      </c>
    </row>
    <row r="48" ht="14.25" customHeight="1" spans="4:14">
      <c r="D48" s="19">
        <f>'SUB- 2'!C47</f>
        <v>33</v>
      </c>
      <c r="E48" s="22" t="str">
        <f>'SUB- 2'!D47</f>
        <v>BTMC24O1033</v>
      </c>
      <c r="F48" s="19">
        <v>46</v>
      </c>
      <c r="G48" s="19" t="s">
        <v>600</v>
      </c>
      <c r="H48" s="19">
        <f t="shared" si="0"/>
        <v>46</v>
      </c>
      <c r="I48" s="19" t="str">
        <f t="shared" si="1"/>
        <v>PASS</v>
      </c>
      <c r="J48" s="19" t="str">
        <f t="shared" si="2"/>
        <v>1</v>
      </c>
    </row>
    <row r="49" ht="14.25" customHeight="1" spans="4:10">
      <c r="D49" s="19">
        <f>'SUB- 2'!C48</f>
        <v>34</v>
      </c>
      <c r="E49" s="22" t="str">
        <f>'SUB- 2'!D48</f>
        <v>BTMC24O1034</v>
      </c>
      <c r="F49" s="19">
        <v>29</v>
      </c>
      <c r="G49" s="19" t="s">
        <v>600</v>
      </c>
      <c r="H49" s="19">
        <f t="shared" si="0"/>
        <v>29</v>
      </c>
      <c r="I49" s="19" t="str">
        <f t="shared" si="1"/>
        <v>PASS</v>
      </c>
      <c r="J49" s="19" t="str">
        <f t="shared" si="2"/>
        <v>1</v>
      </c>
    </row>
    <row r="50" ht="14.25" customHeight="1" spans="4:10">
      <c r="D50" s="19">
        <f>'SUB- 2'!C49</f>
        <v>35</v>
      </c>
      <c r="E50" s="22" t="str">
        <f>'SUB- 2'!D49</f>
        <v>BTMC24O1035</v>
      </c>
      <c r="F50" s="19">
        <v>24</v>
      </c>
      <c r="G50" s="19" t="s">
        <v>600</v>
      </c>
      <c r="H50" s="19">
        <f t="shared" si="0"/>
        <v>24</v>
      </c>
      <c r="I50" s="19" t="str">
        <f t="shared" si="1"/>
        <v>PASS</v>
      </c>
      <c r="J50" s="19" t="str">
        <f t="shared" si="2"/>
        <v>1</v>
      </c>
    </row>
    <row r="51" ht="14.25" customHeight="1" spans="4:10">
      <c r="D51" s="19">
        <f>'SUB- 2'!C50</f>
        <v>36</v>
      </c>
      <c r="E51" s="22" t="str">
        <f>'SUB- 2'!D50</f>
        <v>BTMC24O1036</v>
      </c>
      <c r="F51" s="19">
        <v>30</v>
      </c>
      <c r="G51" s="19" t="s">
        <v>600</v>
      </c>
      <c r="H51" s="19">
        <f t="shared" si="0"/>
        <v>30</v>
      </c>
      <c r="I51" s="19" t="str">
        <f t="shared" si="1"/>
        <v>PASS</v>
      </c>
      <c r="J51" s="19" t="str">
        <f t="shared" si="2"/>
        <v>1</v>
      </c>
    </row>
    <row r="52" ht="14.25" customHeight="1" spans="4:10">
      <c r="D52" s="19">
        <f>'SUB- 2'!C51</f>
        <v>37</v>
      </c>
      <c r="E52" s="22" t="str">
        <f>'SUB- 2'!D51</f>
        <v>BTMC24O1037</v>
      </c>
      <c r="F52" s="19">
        <v>24</v>
      </c>
      <c r="G52" s="19" t="s">
        <v>600</v>
      </c>
      <c r="H52" s="19">
        <f t="shared" si="0"/>
        <v>24</v>
      </c>
      <c r="I52" s="19" t="str">
        <f t="shared" si="1"/>
        <v>PASS</v>
      </c>
      <c r="J52" s="19" t="str">
        <f t="shared" si="2"/>
        <v>1</v>
      </c>
    </row>
    <row r="53" ht="14.25" customHeight="1" spans="4:10">
      <c r="D53" s="19">
        <f>'SUB- 2'!C52</f>
        <v>38</v>
      </c>
      <c r="E53" s="22" t="str">
        <f>'SUB- 2'!D52</f>
        <v>BTMC24O1038</v>
      </c>
      <c r="F53" s="19">
        <v>31</v>
      </c>
      <c r="G53" s="19" t="s">
        <v>600</v>
      </c>
      <c r="H53" s="19">
        <f t="shared" si="0"/>
        <v>31</v>
      </c>
      <c r="I53" s="19" t="str">
        <f t="shared" si="1"/>
        <v>PASS</v>
      </c>
      <c r="J53" s="19" t="str">
        <f t="shared" si="2"/>
        <v>1</v>
      </c>
    </row>
    <row r="54" ht="14.25" customHeight="1" spans="4:10">
      <c r="D54" s="19">
        <f>'SUB- 2'!C53</f>
        <v>39</v>
      </c>
      <c r="E54" s="22" t="str">
        <f>'SUB- 2'!D53</f>
        <v>BTMC24O1039</v>
      </c>
      <c r="F54" s="19">
        <v>10</v>
      </c>
      <c r="G54" s="19" t="s">
        <v>600</v>
      </c>
      <c r="H54" s="19">
        <f t="shared" si="0"/>
        <v>10</v>
      </c>
      <c r="I54" s="19" t="str">
        <f t="shared" si="1"/>
        <v>FAIL</v>
      </c>
      <c r="J54" s="19" t="str">
        <f t="shared" si="2"/>
        <v>0</v>
      </c>
    </row>
    <row r="55" ht="14.25" customHeight="1" spans="4:10">
      <c r="D55" s="19">
        <f>'SUB- 2'!C54</f>
        <v>40</v>
      </c>
      <c r="E55" s="22" t="str">
        <f>'SUB- 2'!D54</f>
        <v>BTMC24O1040</v>
      </c>
      <c r="F55" s="19">
        <v>35</v>
      </c>
      <c r="G55" s="19" t="s">
        <v>600</v>
      </c>
      <c r="H55" s="19">
        <f t="shared" si="0"/>
        <v>35</v>
      </c>
      <c r="I55" s="19" t="str">
        <f t="shared" si="1"/>
        <v>PASS</v>
      </c>
      <c r="J55" s="19" t="str">
        <f t="shared" si="2"/>
        <v>1</v>
      </c>
    </row>
    <row r="56" ht="14.25" customHeight="1" spans="4:10">
      <c r="D56" s="19">
        <f>'SUB- 2'!C55</f>
        <v>41</v>
      </c>
      <c r="E56" s="22" t="str">
        <f>'SUB- 2'!D55</f>
        <v>BTMC24O1041</v>
      </c>
      <c r="F56" s="19">
        <v>18</v>
      </c>
      <c r="G56" s="19" t="s">
        <v>600</v>
      </c>
      <c r="H56" s="19">
        <f t="shared" si="0"/>
        <v>18</v>
      </c>
      <c r="I56" s="19" t="str">
        <f t="shared" si="1"/>
        <v>PASS</v>
      </c>
      <c r="J56" s="19" t="str">
        <f t="shared" si="2"/>
        <v>1</v>
      </c>
    </row>
    <row r="57" ht="14.25" customHeight="1" spans="4:10">
      <c r="D57" s="19">
        <f>'SUB- 2'!C56</f>
        <v>42</v>
      </c>
      <c r="E57" s="22" t="str">
        <f>'SUB- 2'!D56</f>
        <v>BTMC24O1042</v>
      </c>
      <c r="F57" s="19">
        <v>4</v>
      </c>
      <c r="G57" s="19" t="s">
        <v>600</v>
      </c>
      <c r="H57" s="19">
        <f t="shared" si="0"/>
        <v>4</v>
      </c>
      <c r="I57" s="19" t="str">
        <f t="shared" si="1"/>
        <v>FAIL</v>
      </c>
      <c r="J57" s="19" t="str">
        <f t="shared" si="2"/>
        <v>0</v>
      </c>
    </row>
    <row r="58" ht="14.25" customHeight="1" spans="4:10">
      <c r="D58" s="19">
        <f>'SUB- 2'!C57</f>
        <v>43</v>
      </c>
      <c r="E58" s="22" t="str">
        <f>'SUB- 2'!D57</f>
        <v>BTMC24O1043</v>
      </c>
      <c r="F58" s="19">
        <v>13</v>
      </c>
      <c r="G58" s="19" t="s">
        <v>600</v>
      </c>
      <c r="H58" s="19">
        <f t="shared" si="0"/>
        <v>13</v>
      </c>
      <c r="I58" s="19" t="str">
        <f t="shared" si="1"/>
        <v>FAIL</v>
      </c>
      <c r="J58" s="19" t="str">
        <f t="shared" si="2"/>
        <v>0</v>
      </c>
    </row>
    <row r="59" ht="14.25" customHeight="1" spans="4:10">
      <c r="D59" s="19">
        <f>'SUB- 2'!C58</f>
        <v>44</v>
      </c>
      <c r="E59" s="22" t="str">
        <f>'SUB- 2'!D58</f>
        <v>BTMC24O1044</v>
      </c>
      <c r="F59" s="19">
        <v>38</v>
      </c>
      <c r="G59" s="19" t="s">
        <v>600</v>
      </c>
      <c r="H59" s="19">
        <f t="shared" si="0"/>
        <v>38</v>
      </c>
      <c r="I59" s="19" t="str">
        <f t="shared" si="1"/>
        <v>PASS</v>
      </c>
      <c r="J59" s="19" t="str">
        <f t="shared" si="2"/>
        <v>1</v>
      </c>
    </row>
    <row r="60" ht="14.25" customHeight="1" spans="4:10">
      <c r="D60" s="19">
        <f>'SUB- 2'!C59</f>
        <v>45</v>
      </c>
      <c r="E60" s="22" t="str">
        <f>'SUB- 2'!D59</f>
        <v>BTMC24O1045</v>
      </c>
      <c r="F60" s="19">
        <v>6</v>
      </c>
      <c r="G60" s="19" t="s">
        <v>600</v>
      </c>
      <c r="H60" s="19">
        <f t="shared" si="0"/>
        <v>6</v>
      </c>
      <c r="I60" s="19" t="str">
        <f t="shared" si="1"/>
        <v>FAIL</v>
      </c>
      <c r="J60" s="19" t="str">
        <f t="shared" si="2"/>
        <v>0</v>
      </c>
    </row>
    <row r="61" ht="14.25" customHeight="1" spans="4:10">
      <c r="D61" s="19">
        <f>'SUB- 2'!C60</f>
        <v>46</v>
      </c>
      <c r="E61" s="22" t="str">
        <f>'SUB- 2'!D60</f>
        <v>BTMC24O1046</v>
      </c>
      <c r="F61" s="19">
        <v>36</v>
      </c>
      <c r="G61" s="19" t="s">
        <v>600</v>
      </c>
      <c r="H61" s="19">
        <f t="shared" si="0"/>
        <v>36</v>
      </c>
      <c r="I61" s="19" t="str">
        <f t="shared" si="1"/>
        <v>PASS</v>
      </c>
      <c r="J61" s="19" t="str">
        <f t="shared" si="2"/>
        <v>1</v>
      </c>
    </row>
    <row r="62" ht="14.25" customHeight="1" spans="4:10">
      <c r="D62" s="19">
        <f>'SUB- 2'!C61</f>
        <v>47</v>
      </c>
      <c r="E62" s="22" t="str">
        <f>'SUB- 2'!D61</f>
        <v>BTMC24O1047</v>
      </c>
      <c r="F62" s="19">
        <v>41</v>
      </c>
      <c r="G62" s="19" t="s">
        <v>600</v>
      </c>
      <c r="H62" s="19">
        <f t="shared" si="0"/>
        <v>41</v>
      </c>
      <c r="I62" s="19" t="str">
        <f t="shared" si="1"/>
        <v>PASS</v>
      </c>
      <c r="J62" s="19" t="str">
        <f t="shared" si="2"/>
        <v>1</v>
      </c>
    </row>
    <row r="63" ht="14.25" customHeight="1" spans="4:10">
      <c r="D63" s="19">
        <f>'SUB- 2'!C62</f>
        <v>48</v>
      </c>
      <c r="E63" s="22" t="str">
        <f>'SUB- 2'!D62</f>
        <v>BTMC24O1048</v>
      </c>
      <c r="F63" s="19">
        <v>30</v>
      </c>
      <c r="G63" s="19" t="s">
        <v>600</v>
      </c>
      <c r="H63" s="19">
        <f t="shared" si="0"/>
        <v>30</v>
      </c>
      <c r="I63" s="19" t="str">
        <f t="shared" si="1"/>
        <v>PASS</v>
      </c>
      <c r="J63" s="19" t="str">
        <f t="shared" si="2"/>
        <v>1</v>
      </c>
    </row>
    <row r="64" ht="14.25" customHeight="1" spans="4:10">
      <c r="D64" s="19">
        <f>'SUB- 2'!C63</f>
        <v>49</v>
      </c>
      <c r="E64" s="22" t="str">
        <f>'SUB- 2'!D63</f>
        <v>BTMC24O1049</v>
      </c>
      <c r="F64" s="19">
        <v>45</v>
      </c>
      <c r="G64" s="19" t="s">
        <v>600</v>
      </c>
      <c r="H64" s="19">
        <f t="shared" si="0"/>
        <v>45</v>
      </c>
      <c r="I64" s="19" t="str">
        <f t="shared" si="1"/>
        <v>PASS</v>
      </c>
      <c r="J64" s="19" t="str">
        <f t="shared" si="2"/>
        <v>1</v>
      </c>
    </row>
    <row r="65" ht="14.25" customHeight="1" spans="4:10">
      <c r="D65" s="19">
        <f>'SUB- 2'!C64</f>
        <v>50</v>
      </c>
      <c r="E65" s="22" t="str">
        <f>'SUB- 2'!D64</f>
        <v>BTMC24O1050</v>
      </c>
      <c r="F65" s="19">
        <v>6</v>
      </c>
      <c r="G65" s="19" t="s">
        <v>600</v>
      </c>
      <c r="H65" s="19">
        <f t="shared" si="0"/>
        <v>6</v>
      </c>
      <c r="I65" s="19" t="str">
        <f t="shared" si="1"/>
        <v>FAIL</v>
      </c>
      <c r="J65" s="19" t="str">
        <f t="shared" si="2"/>
        <v>0</v>
      </c>
    </row>
    <row r="66" ht="14.25" customHeight="1" spans="4:10">
      <c r="D66" s="19">
        <f>'SUB- 2'!C65</f>
        <v>51</v>
      </c>
      <c r="E66" s="22" t="str">
        <f>'SUB- 2'!D65</f>
        <v>BTMC24O1051</v>
      </c>
      <c r="F66" s="19">
        <v>35</v>
      </c>
      <c r="G66" s="19" t="s">
        <v>600</v>
      </c>
      <c r="H66" s="19">
        <f t="shared" si="0"/>
        <v>35</v>
      </c>
      <c r="I66" s="19" t="str">
        <f t="shared" si="1"/>
        <v>PASS</v>
      </c>
      <c r="J66" s="19" t="str">
        <f t="shared" si="2"/>
        <v>1</v>
      </c>
    </row>
    <row r="67" ht="14.25" customHeight="1" spans="4:10">
      <c r="D67" s="19">
        <f>'SUB- 2'!C66</f>
        <v>52</v>
      </c>
      <c r="E67" s="22" t="str">
        <f>'SUB- 2'!D66</f>
        <v>BTMC24O1052</v>
      </c>
      <c r="F67" s="19">
        <v>0</v>
      </c>
      <c r="G67" s="19" t="s">
        <v>600</v>
      </c>
      <c r="H67" s="19">
        <f t="shared" si="0"/>
        <v>0</v>
      </c>
      <c r="I67" s="19" t="str">
        <f t="shared" si="1"/>
        <v>FAIL</v>
      </c>
      <c r="J67" s="19" t="str">
        <f t="shared" si="2"/>
        <v>0</v>
      </c>
    </row>
    <row r="68" ht="14.25" customHeight="1" spans="4:10">
      <c r="D68" s="19">
        <f>'SUB- 2'!C67</f>
        <v>53</v>
      </c>
      <c r="E68" s="22" t="str">
        <f>'SUB- 2'!D67</f>
        <v>BTMC24O1053</v>
      </c>
      <c r="F68" s="19">
        <v>11</v>
      </c>
      <c r="G68" s="19" t="s">
        <v>600</v>
      </c>
      <c r="H68" s="19">
        <f t="shared" si="0"/>
        <v>11</v>
      </c>
      <c r="I68" s="19" t="str">
        <f t="shared" si="1"/>
        <v>FAIL</v>
      </c>
      <c r="J68" s="19" t="str">
        <f t="shared" si="2"/>
        <v>0</v>
      </c>
    </row>
    <row r="69" ht="14.25" customHeight="1" spans="4:10">
      <c r="D69" s="19">
        <f>'SUB- 2'!C68</f>
        <v>54</v>
      </c>
      <c r="E69" s="22" t="str">
        <f>'SUB- 2'!D68</f>
        <v>BTMC24O1054</v>
      </c>
      <c r="F69" s="19">
        <v>7</v>
      </c>
      <c r="G69" s="19" t="s">
        <v>600</v>
      </c>
      <c r="H69" s="19">
        <f t="shared" si="0"/>
        <v>7</v>
      </c>
      <c r="I69" s="19" t="str">
        <f t="shared" si="1"/>
        <v>FAIL</v>
      </c>
      <c r="J69" s="19" t="str">
        <f t="shared" si="2"/>
        <v>0</v>
      </c>
    </row>
    <row r="70" ht="14.25" customHeight="1" spans="4:10">
      <c r="D70" s="19">
        <f>'SUB- 2'!C69</f>
        <v>55</v>
      </c>
      <c r="E70" s="22" t="str">
        <f>'SUB- 2'!D69</f>
        <v>BTMC24O1055</v>
      </c>
      <c r="F70" s="19">
        <v>27</v>
      </c>
      <c r="G70" s="19" t="s">
        <v>600</v>
      </c>
      <c r="H70" s="19">
        <f t="shared" si="0"/>
        <v>27</v>
      </c>
      <c r="I70" s="19" t="str">
        <f t="shared" si="1"/>
        <v>PASS</v>
      </c>
      <c r="J70" s="19" t="str">
        <f t="shared" si="2"/>
        <v>1</v>
      </c>
    </row>
    <row r="71" ht="14.25" customHeight="1" spans="4:10">
      <c r="D71" s="19">
        <f>'SUB- 2'!C70</f>
        <v>56</v>
      </c>
      <c r="E71" s="22" t="str">
        <f>'SUB- 2'!D70</f>
        <v>BTMC24O1056</v>
      </c>
      <c r="F71" s="19">
        <v>30</v>
      </c>
      <c r="G71" s="19" t="s">
        <v>600</v>
      </c>
      <c r="H71" s="19">
        <f t="shared" si="0"/>
        <v>30</v>
      </c>
      <c r="I71" s="19" t="str">
        <f t="shared" si="1"/>
        <v>PASS</v>
      </c>
      <c r="J71" s="19" t="str">
        <f t="shared" si="2"/>
        <v>1</v>
      </c>
    </row>
    <row r="72" ht="14.25" customHeight="1" spans="4:10">
      <c r="D72" s="19">
        <f>'SUB- 2'!C71</f>
        <v>57</v>
      </c>
      <c r="E72" s="22" t="str">
        <f>'SUB- 2'!D71</f>
        <v>BTMC24O1057</v>
      </c>
      <c r="F72" s="19">
        <v>6</v>
      </c>
      <c r="G72" s="19" t="s">
        <v>600</v>
      </c>
      <c r="H72" s="19">
        <f t="shared" si="0"/>
        <v>6</v>
      </c>
      <c r="I72" s="19" t="str">
        <f t="shared" si="1"/>
        <v>FAIL</v>
      </c>
      <c r="J72" s="19" t="str">
        <f t="shared" si="2"/>
        <v>0</v>
      </c>
    </row>
    <row r="73" ht="14.25" customHeight="1" spans="4:10">
      <c r="D73" s="19">
        <f>'SUB- 2'!C72</f>
        <v>58</v>
      </c>
      <c r="E73" s="22" t="str">
        <f>'SUB- 2'!D72</f>
        <v>BTMC24O1058</v>
      </c>
      <c r="F73" s="19">
        <v>25</v>
      </c>
      <c r="G73" s="19" t="s">
        <v>600</v>
      </c>
      <c r="H73" s="19">
        <f t="shared" si="0"/>
        <v>25</v>
      </c>
      <c r="I73" s="19" t="str">
        <f t="shared" si="1"/>
        <v>PASS</v>
      </c>
      <c r="J73" s="19" t="str">
        <f t="shared" si="2"/>
        <v>1</v>
      </c>
    </row>
    <row r="74" ht="14.25" customHeight="1" spans="4:10">
      <c r="D74" s="19">
        <f>'SUB- 2'!C73</f>
        <v>59</v>
      </c>
      <c r="E74" s="22" t="str">
        <f>'SUB- 2'!D73</f>
        <v>BTMC24O1059</v>
      </c>
      <c r="F74" s="19">
        <v>29</v>
      </c>
      <c r="G74" s="19" t="s">
        <v>600</v>
      </c>
      <c r="H74" s="19">
        <f t="shared" si="0"/>
        <v>29</v>
      </c>
      <c r="I74" s="19" t="str">
        <f t="shared" si="1"/>
        <v>PASS</v>
      </c>
      <c r="J74" s="19" t="str">
        <f t="shared" si="2"/>
        <v>1</v>
      </c>
    </row>
    <row r="75" ht="14.25" customHeight="1" spans="4:10">
      <c r="D75" s="19">
        <f>'SUB- 2'!C74</f>
        <v>60</v>
      </c>
      <c r="E75" s="22" t="str">
        <f>'SUB- 2'!D74</f>
        <v>BTMC24O1060</v>
      </c>
      <c r="F75" s="19">
        <v>32</v>
      </c>
      <c r="G75" s="19" t="s">
        <v>600</v>
      </c>
      <c r="H75" s="19">
        <f t="shared" si="0"/>
        <v>32</v>
      </c>
      <c r="I75" s="19" t="str">
        <f t="shared" si="1"/>
        <v>PASS</v>
      </c>
      <c r="J75" s="19" t="str">
        <f t="shared" si="2"/>
        <v>1</v>
      </c>
    </row>
    <row r="76" ht="14.25" customHeight="1" spans="4:10">
      <c r="D76" s="19">
        <f>'SUB- 2'!C75</f>
        <v>61</v>
      </c>
      <c r="E76" s="22" t="str">
        <f>'SUB- 2'!D75</f>
        <v>BTMC24O1061</v>
      </c>
      <c r="F76" s="19">
        <v>32</v>
      </c>
      <c r="G76" s="19" t="s">
        <v>600</v>
      </c>
      <c r="H76" s="19">
        <f t="shared" si="0"/>
        <v>32</v>
      </c>
      <c r="I76" s="19" t="str">
        <f t="shared" si="1"/>
        <v>PASS</v>
      </c>
      <c r="J76" s="19" t="str">
        <f t="shared" si="2"/>
        <v>1</v>
      </c>
    </row>
    <row r="77" ht="14.25" customHeight="1" spans="4:10">
      <c r="D77" s="19">
        <f>'SUB- 2'!C76</f>
        <v>62</v>
      </c>
      <c r="E77" s="22" t="str">
        <f>'SUB- 2'!D76</f>
        <v>BTMC24O1062</v>
      </c>
      <c r="F77" s="19">
        <v>8</v>
      </c>
      <c r="G77" s="19" t="s">
        <v>600</v>
      </c>
      <c r="H77" s="19">
        <f t="shared" si="0"/>
        <v>8</v>
      </c>
      <c r="I77" s="19" t="str">
        <f t="shared" si="1"/>
        <v>FAIL</v>
      </c>
      <c r="J77" s="19" t="str">
        <f t="shared" si="2"/>
        <v>0</v>
      </c>
    </row>
    <row r="78" ht="14.25" customHeight="1" spans="4:10">
      <c r="D78" s="19">
        <f>'SUB- 2'!C77</f>
        <v>63</v>
      </c>
      <c r="E78" s="22" t="str">
        <f>'SUB- 2'!D77</f>
        <v>BTMC24O1063</v>
      </c>
      <c r="F78" s="19">
        <v>12</v>
      </c>
      <c r="G78" s="19" t="s">
        <v>600</v>
      </c>
      <c r="H78" s="19">
        <f t="shared" si="0"/>
        <v>12</v>
      </c>
      <c r="I78" s="19" t="str">
        <f t="shared" si="1"/>
        <v>FAIL</v>
      </c>
      <c r="J78" s="19" t="str">
        <f t="shared" si="2"/>
        <v>0</v>
      </c>
    </row>
    <row r="79" ht="14.25" customHeight="1" spans="4:10">
      <c r="D79" s="19">
        <f>'SUB- 2'!C78</f>
        <v>64</v>
      </c>
      <c r="E79" s="22" t="str">
        <f>'SUB- 2'!D78</f>
        <v>BTMC24O1064</v>
      </c>
      <c r="F79" s="19">
        <v>7</v>
      </c>
      <c r="G79" s="19" t="s">
        <v>600</v>
      </c>
      <c r="H79" s="19">
        <f t="shared" si="0"/>
        <v>7</v>
      </c>
      <c r="I79" s="19" t="str">
        <f t="shared" si="1"/>
        <v>FAIL</v>
      </c>
      <c r="J79" s="19" t="str">
        <f t="shared" si="2"/>
        <v>0</v>
      </c>
    </row>
    <row r="80" ht="14.25" customHeight="1" spans="4:10">
      <c r="D80" s="19">
        <f>'SUB- 2'!C79</f>
        <v>65</v>
      </c>
      <c r="E80" s="22" t="str">
        <f>'SUB- 2'!D79</f>
        <v>BTMC24O1065</v>
      </c>
      <c r="F80" s="19">
        <v>3</v>
      </c>
      <c r="G80" s="19" t="s">
        <v>600</v>
      </c>
      <c r="H80" s="19">
        <f t="shared" ref="H80:H115" si="3">F80</f>
        <v>3</v>
      </c>
      <c r="I80" s="19" t="str">
        <f t="shared" ref="I80:I115" si="4">IF(H80&lt;16,"FAIL","PASS")</f>
        <v>FAIL</v>
      </c>
      <c r="J80" s="19" t="str">
        <f t="shared" ref="J80:J115" si="5">IF(H80&lt;16,"0","1")</f>
        <v>0</v>
      </c>
    </row>
    <row r="81" ht="14.25" customHeight="1" spans="4:10">
      <c r="D81" s="19">
        <f>'SUB- 2'!C80</f>
        <v>66</v>
      </c>
      <c r="E81" s="22" t="str">
        <f>'SUB- 2'!D80</f>
        <v>BTMC24O1066</v>
      </c>
      <c r="F81" s="19">
        <v>19</v>
      </c>
      <c r="G81" s="19" t="s">
        <v>600</v>
      </c>
      <c r="H81" s="19">
        <f t="shared" si="3"/>
        <v>19</v>
      </c>
      <c r="I81" s="19" t="str">
        <f t="shared" si="4"/>
        <v>PASS</v>
      </c>
      <c r="J81" s="19" t="str">
        <f t="shared" si="5"/>
        <v>1</v>
      </c>
    </row>
    <row r="82" ht="14.25" customHeight="1" spans="4:10">
      <c r="D82" s="19">
        <f>'SUB- 2'!C81</f>
        <v>67</v>
      </c>
      <c r="E82" s="22" t="str">
        <f>'SUB- 2'!D81</f>
        <v>BTMC24O1067</v>
      </c>
      <c r="F82" s="19">
        <v>29</v>
      </c>
      <c r="G82" s="19" t="s">
        <v>600</v>
      </c>
      <c r="H82" s="19">
        <f t="shared" si="3"/>
        <v>29</v>
      </c>
      <c r="I82" s="19" t="str">
        <f t="shared" si="4"/>
        <v>PASS</v>
      </c>
      <c r="J82" s="19" t="str">
        <f t="shared" si="5"/>
        <v>1</v>
      </c>
    </row>
    <row r="83" ht="14.25" customHeight="1" spans="4:10">
      <c r="D83" s="19">
        <f>'SUB- 2'!C82</f>
        <v>68</v>
      </c>
      <c r="E83" s="22" t="str">
        <f>'SUB- 2'!D82</f>
        <v>BTMC24O1068</v>
      </c>
      <c r="F83" s="19">
        <v>7</v>
      </c>
      <c r="G83" s="19" t="s">
        <v>600</v>
      </c>
      <c r="H83" s="19">
        <f t="shared" si="3"/>
        <v>7</v>
      </c>
      <c r="I83" s="19" t="str">
        <f t="shared" si="4"/>
        <v>FAIL</v>
      </c>
      <c r="J83" s="19" t="str">
        <f t="shared" si="5"/>
        <v>0</v>
      </c>
    </row>
    <row r="84" ht="14.25" customHeight="1" spans="4:10">
      <c r="D84" s="19">
        <f>'SUB- 2'!C83</f>
        <v>69</v>
      </c>
      <c r="E84" s="22" t="str">
        <f>'SUB- 2'!D83</f>
        <v>BTMC24O1069</v>
      </c>
      <c r="F84" s="19">
        <v>27</v>
      </c>
      <c r="G84" s="19" t="s">
        <v>600</v>
      </c>
      <c r="H84" s="19">
        <f t="shared" si="3"/>
        <v>27</v>
      </c>
      <c r="I84" s="19" t="str">
        <f t="shared" si="4"/>
        <v>PASS</v>
      </c>
      <c r="J84" s="19" t="str">
        <f t="shared" si="5"/>
        <v>1</v>
      </c>
    </row>
    <row r="85" ht="14.25" customHeight="1" spans="4:10">
      <c r="D85" s="19">
        <f>'SUB- 2'!C84</f>
        <v>70</v>
      </c>
      <c r="E85" s="22" t="str">
        <f>'SUB- 2'!D84</f>
        <v>BTMC24O1070</v>
      </c>
      <c r="F85" s="19">
        <v>9</v>
      </c>
      <c r="G85" s="19" t="s">
        <v>600</v>
      </c>
      <c r="H85" s="19">
        <f t="shared" si="3"/>
        <v>9</v>
      </c>
      <c r="I85" s="19" t="str">
        <f t="shared" si="4"/>
        <v>FAIL</v>
      </c>
      <c r="J85" s="19" t="str">
        <f t="shared" si="5"/>
        <v>0</v>
      </c>
    </row>
    <row r="86" ht="14.25" customHeight="1" spans="4:10">
      <c r="D86" s="19">
        <f>'SUB- 2'!C85</f>
        <v>71</v>
      </c>
      <c r="E86" s="22" t="str">
        <f>'SUB- 2'!D85</f>
        <v>BTMC24O1071</v>
      </c>
      <c r="F86" s="19">
        <v>21</v>
      </c>
      <c r="G86" s="19" t="s">
        <v>600</v>
      </c>
      <c r="H86" s="19">
        <f t="shared" si="3"/>
        <v>21</v>
      </c>
      <c r="I86" s="19" t="str">
        <f t="shared" si="4"/>
        <v>PASS</v>
      </c>
      <c r="J86" s="19" t="str">
        <f t="shared" si="5"/>
        <v>1</v>
      </c>
    </row>
    <row r="87" ht="14.25" customHeight="1" spans="4:10">
      <c r="D87" s="19">
        <f>'SUB- 2'!C86</f>
        <v>72</v>
      </c>
      <c r="E87" s="22" t="str">
        <f>'SUB- 2'!D86</f>
        <v>BTMC24O1072</v>
      </c>
      <c r="F87" s="19">
        <v>38</v>
      </c>
      <c r="G87" s="19" t="s">
        <v>600</v>
      </c>
      <c r="H87" s="19">
        <f t="shared" si="3"/>
        <v>38</v>
      </c>
      <c r="I87" s="19" t="str">
        <f t="shared" si="4"/>
        <v>PASS</v>
      </c>
      <c r="J87" s="19" t="str">
        <f t="shared" si="5"/>
        <v>1</v>
      </c>
    </row>
    <row r="88" ht="14.25" customHeight="1" spans="4:10">
      <c r="D88" s="19">
        <f>'SUB- 2'!C87</f>
        <v>73</v>
      </c>
      <c r="E88" s="22" t="str">
        <f>'SUB- 2'!D87</f>
        <v>BTMC24O1073</v>
      </c>
      <c r="F88" s="19">
        <v>6</v>
      </c>
      <c r="G88" s="19" t="s">
        <v>600</v>
      </c>
      <c r="H88" s="19">
        <f t="shared" si="3"/>
        <v>6</v>
      </c>
      <c r="I88" s="19" t="str">
        <f t="shared" si="4"/>
        <v>FAIL</v>
      </c>
      <c r="J88" s="19" t="str">
        <f t="shared" si="5"/>
        <v>0</v>
      </c>
    </row>
    <row r="89" ht="14.25" customHeight="1" spans="4:10">
      <c r="D89" s="19">
        <f>'SUB- 2'!C88</f>
        <v>74</v>
      </c>
      <c r="E89" s="22" t="str">
        <f>'SUB- 2'!D88</f>
        <v>BTMC24O1074</v>
      </c>
      <c r="F89" s="19">
        <v>10</v>
      </c>
      <c r="G89" s="19" t="s">
        <v>600</v>
      </c>
      <c r="H89" s="19">
        <f t="shared" si="3"/>
        <v>10</v>
      </c>
      <c r="I89" s="19" t="str">
        <f t="shared" si="4"/>
        <v>FAIL</v>
      </c>
      <c r="J89" s="19" t="str">
        <f t="shared" si="5"/>
        <v>0</v>
      </c>
    </row>
    <row r="90" ht="14.25" customHeight="1" spans="4:10">
      <c r="D90" s="19">
        <f>'SUB- 2'!C89</f>
        <v>75</v>
      </c>
      <c r="E90" s="22" t="str">
        <f>'SUB- 2'!D89</f>
        <v>BTMC24O1075</v>
      </c>
      <c r="F90" s="19">
        <v>24</v>
      </c>
      <c r="G90" s="19" t="s">
        <v>600</v>
      </c>
      <c r="H90" s="19">
        <f t="shared" si="3"/>
        <v>24</v>
      </c>
      <c r="I90" s="19" t="str">
        <f t="shared" si="4"/>
        <v>PASS</v>
      </c>
      <c r="J90" s="19" t="str">
        <f t="shared" si="5"/>
        <v>1</v>
      </c>
    </row>
    <row r="91" ht="14.25" customHeight="1" spans="4:10">
      <c r="D91" s="19">
        <f>'SUB- 2'!C90</f>
        <v>76</v>
      </c>
      <c r="E91" s="22" t="str">
        <f>'SUB- 2'!D90</f>
        <v>BTMC24O1076</v>
      </c>
      <c r="F91" s="19">
        <v>7</v>
      </c>
      <c r="G91" s="19" t="s">
        <v>600</v>
      </c>
      <c r="H91" s="19">
        <f t="shared" si="3"/>
        <v>7</v>
      </c>
      <c r="I91" s="19" t="str">
        <f t="shared" si="4"/>
        <v>FAIL</v>
      </c>
      <c r="J91" s="19" t="str">
        <f t="shared" si="5"/>
        <v>0</v>
      </c>
    </row>
    <row r="92" ht="14.25" customHeight="1" spans="4:10">
      <c r="D92" s="19">
        <f>'SUB- 2'!C91</f>
        <v>77</v>
      </c>
      <c r="E92" s="22" t="str">
        <f>'SUB- 2'!D91</f>
        <v>BTMC24O1077</v>
      </c>
      <c r="F92" s="19">
        <v>24</v>
      </c>
      <c r="G92" s="19" t="s">
        <v>600</v>
      </c>
      <c r="H92" s="19">
        <f t="shared" si="3"/>
        <v>24</v>
      </c>
      <c r="I92" s="19" t="str">
        <f t="shared" si="4"/>
        <v>PASS</v>
      </c>
      <c r="J92" s="19" t="str">
        <f t="shared" si="5"/>
        <v>1</v>
      </c>
    </row>
    <row r="93" ht="14.25" customHeight="1" spans="4:10">
      <c r="D93" s="19">
        <f>'SUB- 2'!C92</f>
        <v>78</v>
      </c>
      <c r="E93" s="22" t="str">
        <f>'SUB- 2'!D92</f>
        <v>BTMC24O1078</v>
      </c>
      <c r="F93" s="19">
        <v>28</v>
      </c>
      <c r="G93" s="19" t="s">
        <v>600</v>
      </c>
      <c r="H93" s="19">
        <f t="shared" si="3"/>
        <v>28</v>
      </c>
      <c r="I93" s="19" t="str">
        <f t="shared" si="4"/>
        <v>PASS</v>
      </c>
      <c r="J93" s="19" t="str">
        <f t="shared" si="5"/>
        <v>1</v>
      </c>
    </row>
    <row r="94" ht="14.25" customHeight="1" spans="4:10">
      <c r="D94" s="19">
        <f>'SUB- 2'!C93</f>
        <v>79</v>
      </c>
      <c r="E94" s="22" t="str">
        <f>'SUB- 2'!D93</f>
        <v>BTMC24O1079</v>
      </c>
      <c r="F94" s="19">
        <v>35</v>
      </c>
      <c r="G94" s="19" t="s">
        <v>600</v>
      </c>
      <c r="H94" s="19">
        <f t="shared" si="3"/>
        <v>35</v>
      </c>
      <c r="I94" s="19" t="str">
        <f t="shared" si="4"/>
        <v>PASS</v>
      </c>
      <c r="J94" s="19" t="str">
        <f t="shared" si="5"/>
        <v>1</v>
      </c>
    </row>
    <row r="95" ht="14.25" customHeight="1" spans="4:10">
      <c r="D95" s="19">
        <f>'SUB- 2'!C94</f>
        <v>80</v>
      </c>
      <c r="E95" s="22" t="str">
        <f>'SUB- 2'!D94</f>
        <v>BTMC24O1080</v>
      </c>
      <c r="F95" s="19">
        <v>39</v>
      </c>
      <c r="G95" s="19" t="s">
        <v>600</v>
      </c>
      <c r="H95" s="19">
        <f t="shared" si="3"/>
        <v>39</v>
      </c>
      <c r="I95" s="19" t="str">
        <f t="shared" si="4"/>
        <v>PASS</v>
      </c>
      <c r="J95" s="19" t="str">
        <f t="shared" si="5"/>
        <v>1</v>
      </c>
    </row>
    <row r="96" ht="14.25" customHeight="1" spans="4:10">
      <c r="D96" s="19">
        <f>'SUB- 2'!C95</f>
        <v>81</v>
      </c>
      <c r="E96" s="22" t="str">
        <f>'SUB- 2'!D95</f>
        <v>BTMC24O1081</v>
      </c>
      <c r="F96" s="19">
        <v>17</v>
      </c>
      <c r="G96" s="19" t="s">
        <v>600</v>
      </c>
      <c r="H96" s="19">
        <f t="shared" si="3"/>
        <v>17</v>
      </c>
      <c r="I96" s="19" t="str">
        <f t="shared" si="4"/>
        <v>PASS</v>
      </c>
      <c r="J96" s="19" t="str">
        <f t="shared" si="5"/>
        <v>1</v>
      </c>
    </row>
    <row r="97" ht="14.25" customHeight="1" spans="4:10">
      <c r="D97" s="19">
        <f>'SUB- 2'!C96</f>
        <v>82</v>
      </c>
      <c r="E97" s="22" t="str">
        <f>'SUB- 2'!D96</f>
        <v>BTMC24O1082</v>
      </c>
      <c r="F97" s="19">
        <v>3</v>
      </c>
      <c r="G97" s="19" t="s">
        <v>600</v>
      </c>
      <c r="H97" s="19">
        <f t="shared" si="3"/>
        <v>3</v>
      </c>
      <c r="I97" s="19" t="str">
        <f t="shared" si="4"/>
        <v>FAIL</v>
      </c>
      <c r="J97" s="19" t="str">
        <f t="shared" si="5"/>
        <v>0</v>
      </c>
    </row>
    <row r="98" ht="14.25" customHeight="1" spans="4:10">
      <c r="D98" s="19">
        <f>'SUB- 2'!C97</f>
        <v>83</v>
      </c>
      <c r="E98" s="22" t="str">
        <f>'SUB- 2'!D97</f>
        <v>BTMC24O1083</v>
      </c>
      <c r="F98" s="19">
        <v>12</v>
      </c>
      <c r="G98" s="19" t="s">
        <v>600</v>
      </c>
      <c r="H98" s="19">
        <f t="shared" si="3"/>
        <v>12</v>
      </c>
      <c r="I98" s="19" t="str">
        <f t="shared" si="4"/>
        <v>FAIL</v>
      </c>
      <c r="J98" s="19" t="str">
        <f t="shared" si="5"/>
        <v>0</v>
      </c>
    </row>
    <row r="99" ht="14.25" customHeight="1" spans="4:10">
      <c r="D99" s="19">
        <f>'SUB- 2'!C98</f>
        <v>84</v>
      </c>
      <c r="E99" s="22" t="str">
        <f>'SUB- 2'!D98</f>
        <v>BTMC24O1084</v>
      </c>
      <c r="F99" s="19">
        <v>10</v>
      </c>
      <c r="G99" s="19" t="s">
        <v>600</v>
      </c>
      <c r="H99" s="19">
        <f t="shared" si="3"/>
        <v>10</v>
      </c>
      <c r="I99" s="19" t="str">
        <f t="shared" si="4"/>
        <v>FAIL</v>
      </c>
      <c r="J99" s="19" t="str">
        <f t="shared" si="5"/>
        <v>0</v>
      </c>
    </row>
    <row r="100" ht="14.25" customHeight="1" spans="4:10">
      <c r="D100" s="19">
        <f>'SUB- 2'!C99</f>
        <v>85</v>
      </c>
      <c r="E100" s="22" t="str">
        <f>'SUB- 2'!D99</f>
        <v>BTMC24O1085</v>
      </c>
      <c r="F100" s="19">
        <v>10</v>
      </c>
      <c r="G100" s="19" t="s">
        <v>600</v>
      </c>
      <c r="H100" s="19">
        <f t="shared" si="3"/>
        <v>10</v>
      </c>
      <c r="I100" s="19" t="str">
        <f t="shared" si="4"/>
        <v>FAIL</v>
      </c>
      <c r="J100" s="19" t="str">
        <f t="shared" si="5"/>
        <v>0</v>
      </c>
    </row>
    <row r="101" ht="14.25" customHeight="1" spans="4:10">
      <c r="D101" s="19">
        <f>'SUB- 2'!C100</f>
        <v>86</v>
      </c>
      <c r="E101" s="22" t="str">
        <f>'SUB- 2'!D100</f>
        <v>BTMC24O1086</v>
      </c>
      <c r="F101" s="19">
        <v>46</v>
      </c>
      <c r="G101" s="19" t="s">
        <v>600</v>
      </c>
      <c r="H101" s="19">
        <f t="shared" si="3"/>
        <v>46</v>
      </c>
      <c r="I101" s="19" t="str">
        <f t="shared" si="4"/>
        <v>PASS</v>
      </c>
      <c r="J101" s="19" t="str">
        <f t="shared" si="5"/>
        <v>1</v>
      </c>
    </row>
    <row r="102" ht="14.25" customHeight="1" spans="4:10">
      <c r="D102" s="19">
        <f>'SUB- 2'!C101</f>
        <v>87</v>
      </c>
      <c r="E102" s="22" t="str">
        <f>'SUB- 2'!D101</f>
        <v>BTMC24O1087</v>
      </c>
      <c r="F102" s="19">
        <v>50</v>
      </c>
      <c r="G102" s="19" t="s">
        <v>600</v>
      </c>
      <c r="H102" s="19">
        <f t="shared" si="3"/>
        <v>50</v>
      </c>
      <c r="I102" s="19" t="str">
        <f t="shared" si="4"/>
        <v>PASS</v>
      </c>
      <c r="J102" s="19" t="str">
        <f t="shared" si="5"/>
        <v>1</v>
      </c>
    </row>
    <row r="103" ht="14.25" customHeight="1" spans="4:10">
      <c r="D103" s="19">
        <f>'SUB- 2'!C102</f>
        <v>88</v>
      </c>
      <c r="E103" s="22" t="str">
        <f>'SUB- 2'!D102</f>
        <v>BTMC24O1088</v>
      </c>
      <c r="F103" s="19">
        <v>37</v>
      </c>
      <c r="G103" s="19" t="s">
        <v>600</v>
      </c>
      <c r="H103" s="19">
        <f t="shared" si="3"/>
        <v>37</v>
      </c>
      <c r="I103" s="19" t="str">
        <f t="shared" si="4"/>
        <v>PASS</v>
      </c>
      <c r="J103" s="19" t="str">
        <f t="shared" si="5"/>
        <v>1</v>
      </c>
    </row>
    <row r="104" ht="14.25" customHeight="1" spans="4:10">
      <c r="D104" s="19">
        <f>'SUB- 2'!C103</f>
        <v>89</v>
      </c>
      <c r="E104" s="22" t="str">
        <f>'SUB- 2'!D103</f>
        <v>BTMC24O1089</v>
      </c>
      <c r="F104" s="19">
        <v>30</v>
      </c>
      <c r="G104" s="19" t="s">
        <v>600</v>
      </c>
      <c r="H104" s="19">
        <f t="shared" si="3"/>
        <v>30</v>
      </c>
      <c r="I104" s="19" t="str">
        <f t="shared" si="4"/>
        <v>PASS</v>
      </c>
      <c r="J104" s="19" t="str">
        <f t="shared" si="5"/>
        <v>1</v>
      </c>
    </row>
    <row r="105" ht="14.25" customHeight="1" spans="4:10">
      <c r="D105" s="19">
        <f>'SUB- 2'!C104</f>
        <v>90</v>
      </c>
      <c r="E105" s="22" t="str">
        <f>'SUB- 2'!D104</f>
        <v>BTMC24O1090</v>
      </c>
      <c r="F105" s="19">
        <v>32</v>
      </c>
      <c r="G105" s="19" t="s">
        <v>600</v>
      </c>
      <c r="H105" s="19">
        <f t="shared" si="3"/>
        <v>32</v>
      </c>
      <c r="I105" s="19" t="str">
        <f t="shared" si="4"/>
        <v>PASS</v>
      </c>
      <c r="J105" s="19" t="str">
        <f t="shared" si="5"/>
        <v>1</v>
      </c>
    </row>
    <row r="106" ht="14.25" customHeight="1" spans="4:10">
      <c r="D106" s="19">
        <f>'SUB- 2'!C105</f>
        <v>91</v>
      </c>
      <c r="E106" s="22" t="str">
        <f>'SUB- 2'!D105</f>
        <v>BTMC24O1091</v>
      </c>
      <c r="F106" s="19">
        <v>6</v>
      </c>
      <c r="G106" s="19" t="s">
        <v>600</v>
      </c>
      <c r="H106" s="19">
        <f t="shared" si="3"/>
        <v>6</v>
      </c>
      <c r="I106" s="19" t="str">
        <f t="shared" si="4"/>
        <v>FAIL</v>
      </c>
      <c r="J106" s="19" t="str">
        <f t="shared" si="5"/>
        <v>0</v>
      </c>
    </row>
    <row r="107" ht="14.25" customHeight="1" spans="4:10">
      <c r="D107" s="19">
        <f>'SUB- 2'!C106</f>
        <v>92</v>
      </c>
      <c r="E107" s="22" t="str">
        <f>'SUB- 2'!D106</f>
        <v>BTMC24O1092</v>
      </c>
      <c r="F107" s="19">
        <v>19</v>
      </c>
      <c r="G107" s="19" t="s">
        <v>600</v>
      </c>
      <c r="H107" s="19">
        <f t="shared" si="3"/>
        <v>19</v>
      </c>
      <c r="I107" s="19" t="str">
        <f t="shared" si="4"/>
        <v>PASS</v>
      </c>
      <c r="J107" s="19" t="str">
        <f t="shared" si="5"/>
        <v>1</v>
      </c>
    </row>
    <row r="108" ht="14.25" customHeight="1" spans="4:10">
      <c r="D108" s="19">
        <f>'SUB- 2'!C107</f>
        <v>93</v>
      </c>
      <c r="E108" s="22" t="str">
        <f>'SUB- 2'!D107</f>
        <v>BTMC24O1093</v>
      </c>
      <c r="F108" s="19">
        <v>11</v>
      </c>
      <c r="G108" s="19" t="s">
        <v>600</v>
      </c>
      <c r="H108" s="19">
        <f t="shared" si="3"/>
        <v>11</v>
      </c>
      <c r="I108" s="19" t="str">
        <f t="shared" si="4"/>
        <v>FAIL</v>
      </c>
      <c r="J108" s="19" t="str">
        <f t="shared" si="5"/>
        <v>0</v>
      </c>
    </row>
    <row r="109" ht="14.25" customHeight="1" spans="4:10">
      <c r="D109" s="19">
        <f>'SUB- 2'!C108</f>
        <v>94</v>
      </c>
      <c r="E109" s="22" t="str">
        <f>'SUB- 2'!D108</f>
        <v>BTMC24O1094</v>
      </c>
      <c r="F109" s="19">
        <v>12</v>
      </c>
      <c r="G109" s="19" t="s">
        <v>600</v>
      </c>
      <c r="H109" s="19">
        <f t="shared" si="3"/>
        <v>12</v>
      </c>
      <c r="I109" s="19" t="str">
        <f t="shared" si="4"/>
        <v>FAIL</v>
      </c>
      <c r="J109" s="19" t="str">
        <f t="shared" si="5"/>
        <v>0</v>
      </c>
    </row>
    <row r="110" ht="14.25" customHeight="1" spans="4:10">
      <c r="D110" s="19">
        <f>'SUB- 2'!C109</f>
        <v>95</v>
      </c>
      <c r="E110" s="22" t="str">
        <f>'SUB- 2'!D109</f>
        <v>BTMC24O1095</v>
      </c>
      <c r="F110" s="19">
        <v>43</v>
      </c>
      <c r="G110" s="19" t="s">
        <v>600</v>
      </c>
      <c r="H110" s="19">
        <f t="shared" si="3"/>
        <v>43</v>
      </c>
      <c r="I110" s="19" t="str">
        <f t="shared" si="4"/>
        <v>PASS</v>
      </c>
      <c r="J110" s="19" t="str">
        <f t="shared" si="5"/>
        <v>1</v>
      </c>
    </row>
    <row r="111" ht="14.25" customHeight="1" spans="4:10">
      <c r="D111" s="19">
        <f>'SUB- 2'!C110</f>
        <v>96</v>
      </c>
      <c r="E111" s="22" t="str">
        <f>'SUB- 2'!D110</f>
        <v>BTMC24O1096</v>
      </c>
      <c r="F111" s="19">
        <v>25</v>
      </c>
      <c r="G111" s="19" t="s">
        <v>600</v>
      </c>
      <c r="H111" s="19">
        <f t="shared" si="3"/>
        <v>25</v>
      </c>
      <c r="I111" s="19" t="str">
        <f t="shared" si="4"/>
        <v>PASS</v>
      </c>
      <c r="J111" s="19" t="str">
        <f t="shared" si="5"/>
        <v>1</v>
      </c>
    </row>
    <row r="112" ht="14.25" customHeight="1" spans="4:10">
      <c r="D112" s="19">
        <f>'SUB- 2'!C111</f>
        <v>97</v>
      </c>
      <c r="E112" s="22" t="str">
        <f>'SUB- 2'!D111</f>
        <v>BTMC24O1097</v>
      </c>
      <c r="F112" s="19">
        <v>39</v>
      </c>
      <c r="G112" s="19" t="s">
        <v>600</v>
      </c>
      <c r="H112" s="19">
        <f t="shared" si="3"/>
        <v>39</v>
      </c>
      <c r="I112" s="19" t="str">
        <f t="shared" si="4"/>
        <v>PASS</v>
      </c>
      <c r="J112" s="19" t="str">
        <f t="shared" si="5"/>
        <v>1</v>
      </c>
    </row>
    <row r="113" ht="14.25" customHeight="1" spans="4:10">
      <c r="D113" s="19">
        <f>'SUB- 2'!C112</f>
        <v>98</v>
      </c>
      <c r="E113" s="22" t="str">
        <f>'SUB- 2'!D112</f>
        <v>BTMC24O1098</v>
      </c>
      <c r="F113" s="19">
        <v>12</v>
      </c>
      <c r="G113" s="19" t="s">
        <v>600</v>
      </c>
      <c r="H113" s="19">
        <f t="shared" si="3"/>
        <v>12</v>
      </c>
      <c r="I113" s="19" t="str">
        <f t="shared" si="4"/>
        <v>FAIL</v>
      </c>
      <c r="J113" s="19" t="str">
        <f t="shared" si="5"/>
        <v>0</v>
      </c>
    </row>
    <row r="114" ht="14.25" customHeight="1" spans="4:10">
      <c r="D114" s="19">
        <f>'SUB- 2'!C113</f>
        <v>99</v>
      </c>
      <c r="E114" s="22" t="str">
        <f>'SUB- 2'!D113</f>
        <v>BTMC24O1099</v>
      </c>
      <c r="F114" s="19">
        <v>29</v>
      </c>
      <c r="G114" s="19" t="s">
        <v>600</v>
      </c>
      <c r="H114" s="19">
        <f t="shared" si="3"/>
        <v>29</v>
      </c>
      <c r="I114" s="19" t="str">
        <f t="shared" si="4"/>
        <v>PASS</v>
      </c>
      <c r="J114" s="19" t="str">
        <f t="shared" si="5"/>
        <v>1</v>
      </c>
    </row>
    <row r="115" ht="14.25" customHeight="1" spans="4:10">
      <c r="D115" s="19">
        <f>'SUB- 2'!C114</f>
        <v>100</v>
      </c>
      <c r="E115" s="22" t="str">
        <f>'SUB- 2'!D114</f>
        <v>BTMC24O1100</v>
      </c>
      <c r="F115" s="19">
        <v>34</v>
      </c>
      <c r="G115" s="19" t="s">
        <v>600</v>
      </c>
      <c r="H115" s="19">
        <f t="shared" si="3"/>
        <v>34</v>
      </c>
      <c r="I115" s="19" t="str">
        <f t="shared" si="4"/>
        <v>PASS</v>
      </c>
      <c r="J115" s="19" t="str">
        <f t="shared" si="5"/>
        <v>1</v>
      </c>
    </row>
  </sheetData>
  <mergeCells count="8">
    <mergeCell ref="D4:Q4"/>
    <mergeCell ref="D5:Q5"/>
    <mergeCell ref="D6:Q6"/>
    <mergeCell ref="G7:L7"/>
    <mergeCell ref="D8:Q8"/>
    <mergeCell ref="D9:Q9"/>
    <mergeCell ref="L15:M15"/>
    <mergeCell ref="D2:Q3"/>
  </mergeCells>
  <conditionalFormatting sqref="E16:E115">
    <cfRule type="expression" dxfId="2" priority="4">
      <formula>COUNTIF($E$16:$E$115,E16)&gt;1</formula>
    </cfRule>
  </conditionalFormatting>
  <conditionalFormatting sqref="F16:F115">
    <cfRule type="expression" dxfId="2" priority="3">
      <formula>OR(F16&lt;0,F16&gt;50,NOT(ISNUMBER(F16)))</formula>
    </cfRule>
  </conditionalFormatting>
  <conditionalFormatting sqref="I16:I115">
    <cfRule type="containsText" dxfId="0" priority="2" operator="between" text="FAIL">
      <formula>NOT(ISERROR(SEARCH("FAIL",I16)))</formula>
    </cfRule>
  </conditionalFormatting>
  <dataValidations count="2">
    <dataValidation type="textLength" operator="equal" allowBlank="1" showErrorMessage="1" errorTitle="Invalid enrollment no." error="Enrollment number must be 11 characters (e.g. BTMC24O1001)" sqref="E16:E115">
      <formula1>11</formula1>
    </dataValidation>
    <dataValidation type="decimal" operator="between" allowBlank="1" showErrorMessage="1" errorTitle="Invalid mark" error="Enter a number between 0 and 50" sqref="F16:F115">
      <formula1>0</formula1>
      <formula2>50</formula2>
    </dataValidation>
  </dataValidation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C1:Q116"/>
  <sheetViews>
    <sheetView zoomScale="80" zoomScaleNormal="80" topLeftCell="C1" workbookViewId="0">
      <selection activeCell="L16" sqref="L16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20.0925925925926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685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665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686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="26" customFormat="1" ht="21" customHeight="1" spans="3:17">
      <c r="C6" s="15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="26" customFormat="1" ht="21" customHeight="1" spans="3:17">
      <c r="C7" s="15"/>
      <c r="D7" s="15"/>
      <c r="E7" s="15"/>
      <c r="F7" s="15"/>
      <c r="G7" s="13" t="s">
        <v>667</v>
      </c>
      <c r="H7" s="13"/>
      <c r="I7" s="13"/>
      <c r="J7" s="13"/>
      <c r="K7" s="13"/>
      <c r="L7" s="13"/>
      <c r="M7" s="15"/>
      <c r="N7" s="15"/>
      <c r="O7" s="15"/>
      <c r="P7" s="15"/>
      <c r="Q7" s="27"/>
    </row>
    <row r="8" s="26" customFormat="1" ht="21" customHeight="1" spans="3:17">
      <c r="C8" s="15"/>
      <c r="D8" s="16" t="s">
        <v>660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="26" customFormat="1" ht="21" customHeight="1" spans="3:17">
      <c r="C9" s="27"/>
      <c r="D9" s="16" t="s">
        <v>687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4.25" customHeight="1" spans="3:17">
      <c r="L11" s="10"/>
      <c r="M11" s="10"/>
      <c r="N11" s="10"/>
    </row>
    <row r="12" ht="18" customHeight="1" spans="3:17">
      <c r="E12" s="17">
        <v>25241109</v>
      </c>
      <c r="F12" s="17" t="s">
        <v>688</v>
      </c>
      <c r="G12" s="17" t="s">
        <v>689</v>
      </c>
      <c r="L12" s="10"/>
      <c r="M12" s="10"/>
      <c r="N12" s="10"/>
    </row>
    <row r="13" ht="14.25" customHeight="1" spans="3:17">
      <c r="D13" s="18" t="s">
        <v>62</v>
      </c>
      <c r="E13" s="18" t="s">
        <v>63</v>
      </c>
      <c r="F13" s="18" t="s">
        <v>671</v>
      </c>
      <c r="G13" s="18" t="s">
        <v>627</v>
      </c>
      <c r="H13" s="18" t="s">
        <v>75</v>
      </c>
      <c r="I13" s="18" t="s">
        <v>77</v>
      </c>
      <c r="J13" s="18" t="s">
        <v>47</v>
      </c>
      <c r="L13" s="10"/>
      <c r="M13" s="10"/>
      <c r="N13" s="10"/>
    </row>
    <row r="14" ht="14.25" customHeight="1" spans="3:17">
      <c r="D14" s="19"/>
      <c r="E14" s="19"/>
      <c r="F14" s="18" t="s">
        <v>672</v>
      </c>
      <c r="G14" s="19"/>
      <c r="H14" s="19"/>
      <c r="I14" s="19"/>
      <c r="J14" s="19"/>
      <c r="L14" s="10"/>
      <c r="M14" s="10"/>
      <c r="N14" s="10"/>
    </row>
    <row r="15" ht="14.25" customHeight="1" spans="3:17">
      <c r="D15" s="19"/>
      <c r="E15" s="19"/>
      <c r="F15" s="20">
        <v>70</v>
      </c>
      <c r="G15" s="20">
        <v>30</v>
      </c>
      <c r="H15" s="20">
        <v>100</v>
      </c>
      <c r="I15" s="20" t="s">
        <v>79</v>
      </c>
      <c r="J15" s="20">
        <v>1</v>
      </c>
      <c r="L15" s="25" t="s">
        <v>628</v>
      </c>
      <c r="M15" s="25"/>
    </row>
    <row r="16" ht="14.25" customHeight="1" spans="3:17">
      <c r="D16" s="19"/>
      <c r="E16" s="19"/>
      <c r="F16" s="19"/>
      <c r="G16" s="19"/>
      <c r="H16" s="19"/>
      <c r="I16" s="19"/>
      <c r="J16" s="19"/>
      <c r="L16" s="1" t="s">
        <v>673</v>
      </c>
      <c r="M16" s="1">
        <f>COUNTIF(I17:I116,"PASS")</f>
        <v>67</v>
      </c>
    </row>
    <row r="17" ht="14.25" customHeight="1" spans="4:14">
      <c r="D17" s="19">
        <v>1</v>
      </c>
      <c r="E17" s="22" t="s">
        <v>90</v>
      </c>
      <c r="F17" s="19">
        <v>0</v>
      </c>
      <c r="G17" s="19">
        <v>20</v>
      </c>
      <c r="H17" s="19">
        <f>F17+G15</f>
        <v>30</v>
      </c>
      <c r="I17" s="19" t="str">
        <f t="shared" ref="I17:I80" si="0">IF(H17&lt;35,"FAIL","PASS")</f>
        <v>FAIL</v>
      </c>
      <c r="J17" s="19" t="str">
        <f t="shared" ref="J17:J80" si="1">IF(H17&lt;35,"0","1")</f>
        <v>0</v>
      </c>
      <c r="L17" s="1" t="s">
        <v>655</v>
      </c>
      <c r="M17" s="1">
        <f>COUNTIF(I17:I116,"FAIL")</f>
        <v>33</v>
      </c>
    </row>
    <row r="18" ht="14.25" customHeight="1" spans="4:14">
      <c r="D18" s="19">
        <v>2</v>
      </c>
      <c r="E18" s="22" t="s">
        <v>97</v>
      </c>
      <c r="F18" s="19">
        <v>22</v>
      </c>
      <c r="G18" s="19">
        <v>14</v>
      </c>
      <c r="H18" s="19">
        <f>F18+G17</f>
        <v>42</v>
      </c>
      <c r="I18" s="19" t="str">
        <f t="shared" si="0"/>
        <v>PASS</v>
      </c>
      <c r="J18" s="19" t="str">
        <f t="shared" si="1"/>
        <v>1</v>
      </c>
    </row>
    <row r="19" ht="14.25" customHeight="1" spans="4:14">
      <c r="D19" s="19">
        <v>3</v>
      </c>
      <c r="E19" s="22" t="s">
        <v>102</v>
      </c>
      <c r="F19" s="19">
        <v>28</v>
      </c>
      <c r="G19" s="19">
        <v>0</v>
      </c>
      <c r="H19" s="19">
        <f t="shared" ref="H19:H82" si="2">F19+G19</f>
        <v>28</v>
      </c>
      <c r="I19" s="19" t="str">
        <f t="shared" si="0"/>
        <v>FAIL</v>
      </c>
      <c r="J19" s="19" t="str">
        <f t="shared" si="1"/>
        <v>0</v>
      </c>
    </row>
    <row r="20" ht="14.25" customHeight="1" spans="4:14">
      <c r="D20" s="19">
        <v>4</v>
      </c>
      <c r="E20" s="22" t="s">
        <v>107</v>
      </c>
      <c r="F20" s="19">
        <v>37</v>
      </c>
      <c r="G20" s="19">
        <v>23</v>
      </c>
      <c r="H20" s="19">
        <f t="shared" si="2"/>
        <v>60</v>
      </c>
      <c r="I20" s="19" t="str">
        <f t="shared" si="0"/>
        <v>PASS</v>
      </c>
      <c r="J20" s="19" t="str">
        <f t="shared" si="1"/>
        <v>1</v>
      </c>
    </row>
    <row r="21" ht="14.25" customHeight="1" spans="4:14">
      <c r="D21" s="19">
        <v>5</v>
      </c>
      <c r="E21" s="22" t="s">
        <v>112</v>
      </c>
      <c r="F21" s="19">
        <v>60</v>
      </c>
      <c r="G21" s="19">
        <v>28</v>
      </c>
      <c r="H21" s="19">
        <f t="shared" si="2"/>
        <v>88</v>
      </c>
      <c r="I21" s="19" t="str">
        <f t="shared" si="0"/>
        <v>PASS</v>
      </c>
      <c r="J21" s="19" t="str">
        <f t="shared" si="1"/>
        <v>1</v>
      </c>
      <c r="L21" s="10"/>
      <c r="M21" s="10"/>
      <c r="N21" s="10"/>
    </row>
    <row r="22" ht="14.25" customHeight="1" spans="4:14">
      <c r="D22" s="19">
        <v>6</v>
      </c>
      <c r="E22" s="22" t="s">
        <v>117</v>
      </c>
      <c r="F22" s="19">
        <v>23</v>
      </c>
      <c r="G22" s="19">
        <v>27</v>
      </c>
      <c r="H22" s="19">
        <f t="shared" si="2"/>
        <v>50</v>
      </c>
      <c r="I22" s="19" t="str">
        <f t="shared" si="0"/>
        <v>PASS</v>
      </c>
      <c r="J22" s="19" t="str">
        <f t="shared" si="1"/>
        <v>1</v>
      </c>
      <c r="L22" s="10"/>
      <c r="M22" s="10"/>
      <c r="N22" s="10"/>
    </row>
    <row r="23" ht="14.25" customHeight="1" spans="4:14">
      <c r="D23" s="19">
        <v>7</v>
      </c>
      <c r="E23" s="22" t="s">
        <v>122</v>
      </c>
      <c r="F23" s="19">
        <v>55</v>
      </c>
      <c r="G23" s="19">
        <v>27</v>
      </c>
      <c r="H23" s="19">
        <f t="shared" si="2"/>
        <v>82</v>
      </c>
      <c r="I23" s="19" t="str">
        <f t="shared" si="0"/>
        <v>PASS</v>
      </c>
      <c r="J23" s="19" t="str">
        <f t="shared" si="1"/>
        <v>1</v>
      </c>
      <c r="L23" s="10"/>
      <c r="M23" s="10"/>
      <c r="N23" s="10"/>
    </row>
    <row r="24" ht="14.25" customHeight="1" spans="4:14">
      <c r="D24" s="19">
        <v>8</v>
      </c>
      <c r="E24" s="22" t="s">
        <v>127</v>
      </c>
      <c r="F24" s="19">
        <v>26</v>
      </c>
      <c r="G24" s="19">
        <v>26</v>
      </c>
      <c r="H24" s="19">
        <f t="shared" si="2"/>
        <v>52</v>
      </c>
      <c r="I24" s="19" t="str">
        <f t="shared" si="0"/>
        <v>PASS</v>
      </c>
      <c r="J24" s="19" t="str">
        <f t="shared" si="1"/>
        <v>1</v>
      </c>
      <c r="L24" s="10"/>
      <c r="M24" s="10"/>
      <c r="N24" s="10"/>
    </row>
    <row r="25" ht="14.25" customHeight="1" spans="4:14">
      <c r="D25" s="19">
        <v>9</v>
      </c>
      <c r="E25" s="22" t="s">
        <v>132</v>
      </c>
      <c r="F25" s="19">
        <v>65</v>
      </c>
      <c r="G25" s="19">
        <v>9</v>
      </c>
      <c r="H25" s="19">
        <f t="shared" si="2"/>
        <v>74</v>
      </c>
      <c r="I25" s="19" t="str">
        <f t="shared" si="0"/>
        <v>PASS</v>
      </c>
      <c r="J25" s="19" t="str">
        <f t="shared" si="1"/>
        <v>1</v>
      </c>
      <c r="L25" s="10"/>
      <c r="M25" s="10"/>
      <c r="N25" s="10"/>
    </row>
    <row r="26" ht="14.25" customHeight="1" spans="4:14">
      <c r="D26" s="19">
        <v>10</v>
      </c>
      <c r="E26" s="22" t="s">
        <v>137</v>
      </c>
      <c r="F26" s="19">
        <v>13</v>
      </c>
      <c r="G26" s="19">
        <v>11</v>
      </c>
      <c r="H26" s="19">
        <f t="shared" si="2"/>
        <v>24</v>
      </c>
      <c r="I26" s="19" t="str">
        <f t="shared" si="0"/>
        <v>FAIL</v>
      </c>
      <c r="J26" s="19" t="str">
        <f t="shared" si="1"/>
        <v>0</v>
      </c>
      <c r="L26" s="10"/>
      <c r="M26" s="10"/>
      <c r="N26" s="10"/>
    </row>
    <row r="27" ht="14.25" customHeight="1" spans="4:14">
      <c r="D27" s="19">
        <v>11</v>
      </c>
      <c r="E27" s="22" t="s">
        <v>141</v>
      </c>
      <c r="F27" s="19">
        <v>7</v>
      </c>
      <c r="G27" s="19">
        <v>13</v>
      </c>
      <c r="H27" s="19">
        <f t="shared" si="2"/>
        <v>20</v>
      </c>
      <c r="I27" s="19" t="str">
        <f t="shared" si="0"/>
        <v>FAIL</v>
      </c>
      <c r="J27" s="19" t="str">
        <f t="shared" si="1"/>
        <v>0</v>
      </c>
      <c r="L27" s="10"/>
      <c r="M27" s="10"/>
      <c r="N27" s="10"/>
    </row>
    <row r="28" ht="14.25" customHeight="1" spans="4:14">
      <c r="D28" s="19">
        <v>12</v>
      </c>
      <c r="E28" s="22" t="s">
        <v>146</v>
      </c>
      <c r="F28" s="19">
        <v>55</v>
      </c>
      <c r="G28" s="19">
        <v>27</v>
      </c>
      <c r="H28" s="19">
        <f t="shared" si="2"/>
        <v>82</v>
      </c>
      <c r="I28" s="19" t="str">
        <f t="shared" si="0"/>
        <v>PASS</v>
      </c>
      <c r="J28" s="19" t="str">
        <f t="shared" si="1"/>
        <v>1</v>
      </c>
      <c r="L28" s="10"/>
      <c r="M28" s="10"/>
      <c r="N28" s="10"/>
    </row>
    <row r="29" ht="14.25" customHeight="1" spans="4:14">
      <c r="D29" s="19">
        <v>13</v>
      </c>
      <c r="E29" s="22" t="s">
        <v>151</v>
      </c>
      <c r="F29" s="19">
        <v>62</v>
      </c>
      <c r="G29" s="19">
        <v>1</v>
      </c>
      <c r="H29" s="19">
        <f t="shared" si="2"/>
        <v>63</v>
      </c>
      <c r="I29" s="19" t="str">
        <f t="shared" si="0"/>
        <v>PASS</v>
      </c>
      <c r="J29" s="19" t="str">
        <f t="shared" si="1"/>
        <v>1</v>
      </c>
      <c r="L29" s="10"/>
      <c r="M29" s="10"/>
      <c r="N29" s="10"/>
    </row>
    <row r="30" ht="14.25" customHeight="1" spans="4:14">
      <c r="D30" s="19">
        <v>14</v>
      </c>
      <c r="E30" s="22" t="s">
        <v>156</v>
      </c>
      <c r="F30" s="19">
        <v>49</v>
      </c>
      <c r="G30" s="19">
        <v>1</v>
      </c>
      <c r="H30" s="19">
        <f t="shared" si="2"/>
        <v>50</v>
      </c>
      <c r="I30" s="19" t="str">
        <f t="shared" si="0"/>
        <v>PASS</v>
      </c>
      <c r="J30" s="19" t="str">
        <f t="shared" si="1"/>
        <v>1</v>
      </c>
      <c r="L30" s="10"/>
      <c r="M30" s="10"/>
      <c r="N30" s="10"/>
    </row>
    <row r="31" ht="14.25" customHeight="1" spans="4:14">
      <c r="D31" s="19">
        <v>15</v>
      </c>
      <c r="E31" s="22" t="s">
        <v>161</v>
      </c>
      <c r="F31" s="19">
        <v>28</v>
      </c>
      <c r="G31" s="19">
        <v>30</v>
      </c>
      <c r="H31" s="19">
        <f t="shared" si="2"/>
        <v>58</v>
      </c>
      <c r="I31" s="19" t="str">
        <f t="shared" si="0"/>
        <v>PASS</v>
      </c>
      <c r="J31" s="19" t="str">
        <f t="shared" si="1"/>
        <v>1</v>
      </c>
      <c r="L31" s="10"/>
      <c r="M31" s="10"/>
      <c r="N31" s="10"/>
    </row>
    <row r="32" ht="14.25" customHeight="1" spans="4:14">
      <c r="D32" s="19">
        <v>16</v>
      </c>
      <c r="E32" s="22" t="s">
        <v>166</v>
      </c>
      <c r="F32" s="19">
        <v>68</v>
      </c>
      <c r="G32" s="19">
        <v>25</v>
      </c>
      <c r="H32" s="19">
        <f t="shared" si="2"/>
        <v>93</v>
      </c>
      <c r="I32" s="19" t="str">
        <f t="shared" si="0"/>
        <v>PASS</v>
      </c>
      <c r="J32" s="19" t="str">
        <f t="shared" si="1"/>
        <v>1</v>
      </c>
      <c r="L32" s="10"/>
      <c r="M32" s="10"/>
      <c r="N32" s="10"/>
    </row>
    <row r="33" ht="14.25" customHeight="1" spans="4:14">
      <c r="D33" s="19">
        <v>17</v>
      </c>
      <c r="E33" s="22" t="s">
        <v>171</v>
      </c>
      <c r="F33" s="19">
        <v>34</v>
      </c>
      <c r="G33" s="19">
        <v>13</v>
      </c>
      <c r="H33" s="19">
        <f t="shared" si="2"/>
        <v>47</v>
      </c>
      <c r="I33" s="19" t="str">
        <f t="shared" si="0"/>
        <v>PASS</v>
      </c>
      <c r="J33" s="19" t="str">
        <f t="shared" si="1"/>
        <v>1</v>
      </c>
      <c r="L33" s="10"/>
      <c r="M33" s="10"/>
      <c r="N33" s="10"/>
    </row>
    <row r="34" ht="14.25" customHeight="1" spans="4:14">
      <c r="D34" s="19">
        <v>18</v>
      </c>
      <c r="E34" s="22" t="s">
        <v>176</v>
      </c>
      <c r="F34" s="19">
        <v>2</v>
      </c>
      <c r="G34" s="19">
        <v>15</v>
      </c>
      <c r="H34" s="19">
        <f t="shared" si="2"/>
        <v>17</v>
      </c>
      <c r="I34" s="19" t="str">
        <f t="shared" si="0"/>
        <v>FAIL</v>
      </c>
      <c r="J34" s="19" t="str">
        <f t="shared" si="1"/>
        <v>0</v>
      </c>
      <c r="L34" s="10"/>
      <c r="M34" s="10"/>
      <c r="N34" s="10"/>
    </row>
    <row r="35" ht="14.25" customHeight="1" spans="4:14">
      <c r="D35" s="19">
        <v>19</v>
      </c>
      <c r="E35" s="22" t="s">
        <v>181</v>
      </c>
      <c r="F35" s="19">
        <v>9</v>
      </c>
      <c r="G35" s="19">
        <v>13</v>
      </c>
      <c r="H35" s="19">
        <f t="shared" si="2"/>
        <v>22</v>
      </c>
      <c r="I35" s="19" t="str">
        <f t="shared" si="0"/>
        <v>FAIL</v>
      </c>
      <c r="J35" s="19" t="str">
        <f t="shared" si="1"/>
        <v>0</v>
      </c>
      <c r="L35" s="10"/>
      <c r="M35" s="10"/>
      <c r="N35" s="10"/>
    </row>
    <row r="36" ht="14.25" customHeight="1" spans="4:14">
      <c r="D36" s="19">
        <v>20</v>
      </c>
      <c r="E36" s="22" t="s">
        <v>186</v>
      </c>
      <c r="F36" s="19">
        <v>38</v>
      </c>
      <c r="G36" s="19">
        <v>26</v>
      </c>
      <c r="H36" s="19">
        <f t="shared" si="2"/>
        <v>64</v>
      </c>
      <c r="I36" s="19" t="str">
        <f t="shared" si="0"/>
        <v>PASS</v>
      </c>
      <c r="J36" s="19" t="str">
        <f t="shared" si="1"/>
        <v>1</v>
      </c>
    </row>
    <row r="37" ht="14.25" customHeight="1" spans="4:14">
      <c r="D37" s="19">
        <f>'SUB- 2'!C35</f>
        <v>21</v>
      </c>
      <c r="E37" s="22" t="str">
        <f>'SUB- 2'!D35</f>
        <v>BTMC24O1021</v>
      </c>
      <c r="F37" s="19">
        <v>44</v>
      </c>
      <c r="G37" s="19">
        <v>29</v>
      </c>
      <c r="H37" s="19">
        <f t="shared" si="2"/>
        <v>73</v>
      </c>
      <c r="I37" s="19" t="str">
        <f t="shared" si="0"/>
        <v>PASS</v>
      </c>
      <c r="J37" s="19" t="str">
        <f t="shared" si="1"/>
        <v>1</v>
      </c>
    </row>
    <row r="38" ht="14.25" customHeight="1" spans="4:14">
      <c r="D38" s="19">
        <f>'SUB- 2'!C36</f>
        <v>22</v>
      </c>
      <c r="E38" s="22" t="str">
        <f>'SUB- 2'!D36</f>
        <v>BTMC24O1022</v>
      </c>
      <c r="F38" s="19">
        <v>42</v>
      </c>
      <c r="G38" s="19">
        <v>22</v>
      </c>
      <c r="H38" s="19">
        <f t="shared" si="2"/>
        <v>64</v>
      </c>
      <c r="I38" s="19" t="str">
        <f t="shared" si="0"/>
        <v>PASS</v>
      </c>
      <c r="J38" s="19" t="str">
        <f t="shared" si="1"/>
        <v>1</v>
      </c>
    </row>
    <row r="39" ht="14.25" customHeight="1" spans="4:14">
      <c r="D39" s="19">
        <f>'SUB- 2'!C37</f>
        <v>23</v>
      </c>
      <c r="E39" s="22" t="str">
        <f>'SUB- 2'!D37</f>
        <v>BTMC24O1023</v>
      </c>
      <c r="F39" s="19">
        <v>0</v>
      </c>
      <c r="G39" s="19">
        <v>24</v>
      </c>
      <c r="H39" s="19">
        <f t="shared" si="2"/>
        <v>24</v>
      </c>
      <c r="I39" s="19" t="str">
        <f t="shared" si="0"/>
        <v>FAIL</v>
      </c>
      <c r="J39" s="19" t="str">
        <f t="shared" si="1"/>
        <v>0</v>
      </c>
    </row>
    <row r="40" ht="14.25" customHeight="1" spans="4:14">
      <c r="D40" s="19">
        <f>'SUB- 2'!C38</f>
        <v>24</v>
      </c>
      <c r="E40" s="22" t="str">
        <f>'SUB- 2'!D38</f>
        <v>BTMC24O1024</v>
      </c>
      <c r="F40" s="19">
        <v>33</v>
      </c>
      <c r="G40" s="19">
        <v>25</v>
      </c>
      <c r="H40" s="19">
        <f t="shared" si="2"/>
        <v>58</v>
      </c>
      <c r="I40" s="19" t="str">
        <f t="shared" si="0"/>
        <v>PASS</v>
      </c>
      <c r="J40" s="19" t="str">
        <f t="shared" si="1"/>
        <v>1</v>
      </c>
    </row>
    <row r="41" ht="14.25" customHeight="1" spans="4:14">
      <c r="D41" s="19">
        <f>'SUB- 2'!C39</f>
        <v>25</v>
      </c>
      <c r="E41" s="22" t="str">
        <f>'SUB- 2'!D39</f>
        <v>BTMC24O1025</v>
      </c>
      <c r="F41" s="19">
        <v>48</v>
      </c>
      <c r="G41" s="19">
        <v>4</v>
      </c>
      <c r="H41" s="19">
        <f t="shared" si="2"/>
        <v>52</v>
      </c>
      <c r="I41" s="19" t="str">
        <f t="shared" si="0"/>
        <v>PASS</v>
      </c>
      <c r="J41" s="19" t="str">
        <f t="shared" si="1"/>
        <v>1</v>
      </c>
    </row>
    <row r="42" ht="14.25" customHeight="1" spans="4:14">
      <c r="D42" s="19">
        <f>'SUB- 2'!C40</f>
        <v>26</v>
      </c>
      <c r="E42" s="22" t="str">
        <f>'SUB- 2'!D40</f>
        <v>BTMC24O1026</v>
      </c>
      <c r="F42" s="19">
        <v>11</v>
      </c>
      <c r="G42" s="19">
        <v>21</v>
      </c>
      <c r="H42" s="19">
        <f t="shared" si="2"/>
        <v>32</v>
      </c>
      <c r="I42" s="19" t="str">
        <f t="shared" si="0"/>
        <v>FAIL</v>
      </c>
      <c r="J42" s="19" t="str">
        <f t="shared" si="1"/>
        <v>0</v>
      </c>
    </row>
    <row r="43" ht="14.25" customHeight="1" spans="4:14">
      <c r="D43" s="19">
        <f>'SUB- 2'!C41</f>
        <v>27</v>
      </c>
      <c r="E43" s="22" t="str">
        <f>'SUB- 2'!D41</f>
        <v>BTMC24O1027</v>
      </c>
      <c r="F43" s="19">
        <v>54</v>
      </c>
      <c r="G43" s="19">
        <v>21</v>
      </c>
      <c r="H43" s="19">
        <f t="shared" si="2"/>
        <v>75</v>
      </c>
      <c r="I43" s="19" t="str">
        <f t="shared" si="0"/>
        <v>PASS</v>
      </c>
      <c r="J43" s="19" t="str">
        <f t="shared" si="1"/>
        <v>1</v>
      </c>
    </row>
    <row r="44" ht="14.25" customHeight="1" spans="4:14">
      <c r="D44" s="19">
        <f>'SUB- 2'!C42</f>
        <v>28</v>
      </c>
      <c r="E44" s="22" t="str">
        <f>'SUB- 2'!D42</f>
        <v>BTMC24O1028</v>
      </c>
      <c r="F44" s="19">
        <v>32</v>
      </c>
      <c r="G44" s="19">
        <v>0</v>
      </c>
      <c r="H44" s="19">
        <f t="shared" si="2"/>
        <v>32</v>
      </c>
      <c r="I44" s="19" t="str">
        <f t="shared" si="0"/>
        <v>FAIL</v>
      </c>
      <c r="J44" s="19" t="str">
        <f t="shared" si="1"/>
        <v>0</v>
      </c>
    </row>
    <row r="45" ht="14.25" customHeight="1" spans="4:14">
      <c r="D45" s="19">
        <f>'SUB- 2'!C43</f>
        <v>29</v>
      </c>
      <c r="E45" s="22" t="str">
        <f>'SUB- 2'!D43</f>
        <v>BTMC24O1029</v>
      </c>
      <c r="F45" s="19">
        <v>2</v>
      </c>
      <c r="G45" s="19">
        <v>9</v>
      </c>
      <c r="H45" s="19">
        <f t="shared" si="2"/>
        <v>11</v>
      </c>
      <c r="I45" s="19" t="str">
        <f t="shared" si="0"/>
        <v>FAIL</v>
      </c>
      <c r="J45" s="19" t="str">
        <f t="shared" si="1"/>
        <v>0</v>
      </c>
    </row>
    <row r="46" ht="14.25" customHeight="1" spans="4:14">
      <c r="D46" s="19">
        <f>'SUB- 2'!C44</f>
        <v>30</v>
      </c>
      <c r="E46" s="22" t="str">
        <f>'SUB- 2'!D44</f>
        <v>BTMC24O1030</v>
      </c>
      <c r="F46" s="19">
        <v>9</v>
      </c>
      <c r="G46" s="19">
        <v>8</v>
      </c>
      <c r="H46" s="19">
        <f t="shared" si="2"/>
        <v>17</v>
      </c>
      <c r="I46" s="19" t="str">
        <f t="shared" si="0"/>
        <v>FAIL</v>
      </c>
      <c r="J46" s="19" t="str">
        <f t="shared" si="1"/>
        <v>0</v>
      </c>
    </row>
    <row r="47" ht="14.25" customHeight="1" spans="4:14">
      <c r="D47" s="19">
        <f>'SUB- 2'!C45</f>
        <v>31</v>
      </c>
      <c r="E47" s="22" t="str">
        <f>'SUB- 2'!D45</f>
        <v>BTMC24O1031</v>
      </c>
      <c r="F47" s="19">
        <v>55</v>
      </c>
      <c r="G47" s="19">
        <v>30</v>
      </c>
      <c r="H47" s="19">
        <f t="shared" si="2"/>
        <v>85</v>
      </c>
      <c r="I47" s="19" t="str">
        <f t="shared" si="0"/>
        <v>PASS</v>
      </c>
      <c r="J47" s="19" t="str">
        <f t="shared" si="1"/>
        <v>1</v>
      </c>
    </row>
    <row r="48" ht="14.25" customHeight="1" spans="4:14">
      <c r="D48" s="19">
        <f>'SUB- 2'!C46</f>
        <v>32</v>
      </c>
      <c r="E48" s="22" t="str">
        <f>'SUB- 2'!D46</f>
        <v>BTMC24O1032</v>
      </c>
      <c r="F48" s="19">
        <v>68</v>
      </c>
      <c r="G48" s="19">
        <v>9</v>
      </c>
      <c r="H48" s="19">
        <f t="shared" si="2"/>
        <v>77</v>
      </c>
      <c r="I48" s="19" t="str">
        <f t="shared" si="0"/>
        <v>PASS</v>
      </c>
      <c r="J48" s="19" t="str">
        <f t="shared" si="1"/>
        <v>1</v>
      </c>
    </row>
    <row r="49" ht="14.25" customHeight="1" spans="4:10">
      <c r="D49" s="19">
        <f>'SUB- 2'!C47</f>
        <v>33</v>
      </c>
      <c r="E49" s="22" t="str">
        <f>'SUB- 2'!D47</f>
        <v>BTMC24O1033</v>
      </c>
      <c r="F49" s="19">
        <v>61</v>
      </c>
      <c r="G49" s="19">
        <v>30</v>
      </c>
      <c r="H49" s="19">
        <f t="shared" si="2"/>
        <v>91</v>
      </c>
      <c r="I49" s="19" t="str">
        <f t="shared" si="0"/>
        <v>PASS</v>
      </c>
      <c r="J49" s="19" t="str">
        <f t="shared" si="1"/>
        <v>1</v>
      </c>
    </row>
    <row r="50" ht="14.25" customHeight="1" spans="4:10">
      <c r="D50" s="19">
        <f>'SUB- 2'!C48</f>
        <v>34</v>
      </c>
      <c r="E50" s="22" t="str">
        <f>'SUB- 2'!D48</f>
        <v>BTMC24O1034</v>
      </c>
      <c r="F50" s="19">
        <v>31</v>
      </c>
      <c r="G50" s="19">
        <v>12</v>
      </c>
      <c r="H50" s="19">
        <f t="shared" si="2"/>
        <v>43</v>
      </c>
      <c r="I50" s="19" t="str">
        <f t="shared" si="0"/>
        <v>PASS</v>
      </c>
      <c r="J50" s="19" t="str">
        <f t="shared" si="1"/>
        <v>1</v>
      </c>
    </row>
    <row r="51" ht="14.25" customHeight="1" spans="4:10">
      <c r="D51" s="19">
        <f>'SUB- 2'!C49</f>
        <v>35</v>
      </c>
      <c r="E51" s="22" t="str">
        <f>'SUB- 2'!D49</f>
        <v>BTMC24O1035</v>
      </c>
      <c r="F51" s="19">
        <v>1</v>
      </c>
      <c r="G51" s="19">
        <v>0</v>
      </c>
      <c r="H51" s="19">
        <f t="shared" si="2"/>
        <v>1</v>
      </c>
      <c r="I51" s="19" t="str">
        <f t="shared" si="0"/>
        <v>FAIL</v>
      </c>
      <c r="J51" s="19" t="str">
        <f t="shared" si="1"/>
        <v>0</v>
      </c>
    </row>
    <row r="52" ht="14.25" customHeight="1" spans="4:10">
      <c r="D52" s="19">
        <f>'SUB- 2'!C50</f>
        <v>36</v>
      </c>
      <c r="E52" s="22" t="str">
        <f>'SUB- 2'!D50</f>
        <v>BTMC24O1036</v>
      </c>
      <c r="F52" s="19">
        <v>17</v>
      </c>
      <c r="G52" s="19">
        <v>20</v>
      </c>
      <c r="H52" s="19">
        <f t="shared" si="2"/>
        <v>37</v>
      </c>
      <c r="I52" s="19" t="str">
        <f t="shared" si="0"/>
        <v>PASS</v>
      </c>
      <c r="J52" s="19" t="str">
        <f t="shared" si="1"/>
        <v>1</v>
      </c>
    </row>
    <row r="53" ht="14.25" customHeight="1" spans="4:10">
      <c r="D53" s="19">
        <f>'SUB- 2'!C51</f>
        <v>37</v>
      </c>
      <c r="E53" s="22" t="str">
        <f>'SUB- 2'!D51</f>
        <v>BTMC24O1037</v>
      </c>
      <c r="F53" s="19">
        <v>17</v>
      </c>
      <c r="G53" s="19">
        <v>27</v>
      </c>
      <c r="H53" s="19">
        <f t="shared" si="2"/>
        <v>44</v>
      </c>
      <c r="I53" s="19" t="str">
        <f t="shared" si="0"/>
        <v>PASS</v>
      </c>
      <c r="J53" s="19" t="str">
        <f t="shared" si="1"/>
        <v>1</v>
      </c>
    </row>
    <row r="54" ht="14.25" customHeight="1" spans="4:10">
      <c r="D54" s="19">
        <f>'SUB- 2'!C52</f>
        <v>38</v>
      </c>
      <c r="E54" s="22" t="str">
        <f>'SUB- 2'!D52</f>
        <v>BTMC24O1038</v>
      </c>
      <c r="F54" s="19">
        <v>64</v>
      </c>
      <c r="G54" s="19">
        <v>16</v>
      </c>
      <c r="H54" s="19">
        <f t="shared" si="2"/>
        <v>80</v>
      </c>
      <c r="I54" s="19" t="str">
        <f t="shared" si="0"/>
        <v>PASS</v>
      </c>
      <c r="J54" s="19" t="str">
        <f t="shared" si="1"/>
        <v>1</v>
      </c>
    </row>
    <row r="55" ht="14.25" customHeight="1" spans="4:10">
      <c r="D55" s="19">
        <f>'SUB- 2'!C53</f>
        <v>39</v>
      </c>
      <c r="E55" s="22" t="str">
        <f>'SUB- 2'!D53</f>
        <v>BTMC24O1039</v>
      </c>
      <c r="F55" s="19">
        <v>10</v>
      </c>
      <c r="G55" s="19">
        <v>29</v>
      </c>
      <c r="H55" s="19">
        <f t="shared" si="2"/>
        <v>39</v>
      </c>
      <c r="I55" s="19" t="str">
        <f t="shared" si="0"/>
        <v>PASS</v>
      </c>
      <c r="J55" s="19" t="str">
        <f t="shared" si="1"/>
        <v>1</v>
      </c>
    </row>
    <row r="56" ht="14.25" customHeight="1" spans="4:10">
      <c r="D56" s="19">
        <f>'SUB- 2'!C54</f>
        <v>40</v>
      </c>
      <c r="E56" s="22" t="str">
        <f>'SUB- 2'!D54</f>
        <v>BTMC24O1040</v>
      </c>
      <c r="F56" s="19">
        <v>36</v>
      </c>
      <c r="G56" s="19">
        <v>30</v>
      </c>
      <c r="H56" s="19">
        <f t="shared" si="2"/>
        <v>66</v>
      </c>
      <c r="I56" s="19" t="str">
        <f t="shared" si="0"/>
        <v>PASS</v>
      </c>
      <c r="J56" s="19" t="str">
        <f t="shared" si="1"/>
        <v>1</v>
      </c>
    </row>
    <row r="57" ht="14.25" customHeight="1" spans="4:10">
      <c r="D57" s="19">
        <f>'SUB- 2'!C55</f>
        <v>41</v>
      </c>
      <c r="E57" s="22" t="str">
        <f>'SUB- 2'!D55</f>
        <v>BTMC24O1041</v>
      </c>
      <c r="F57" s="19">
        <v>17</v>
      </c>
      <c r="G57" s="19">
        <v>12</v>
      </c>
      <c r="H57" s="19">
        <f t="shared" si="2"/>
        <v>29</v>
      </c>
      <c r="I57" s="19" t="str">
        <f t="shared" si="0"/>
        <v>FAIL</v>
      </c>
      <c r="J57" s="19" t="str">
        <f t="shared" si="1"/>
        <v>0</v>
      </c>
    </row>
    <row r="58" ht="14.25" customHeight="1" spans="4:10">
      <c r="D58" s="19">
        <f>'SUB- 2'!C56</f>
        <v>42</v>
      </c>
      <c r="E58" s="22" t="str">
        <f>'SUB- 2'!D56</f>
        <v>BTMC24O1042</v>
      </c>
      <c r="F58" s="19">
        <v>10</v>
      </c>
      <c r="G58" s="19">
        <v>8</v>
      </c>
      <c r="H58" s="19">
        <f t="shared" si="2"/>
        <v>18</v>
      </c>
      <c r="I58" s="19" t="str">
        <f t="shared" si="0"/>
        <v>FAIL</v>
      </c>
      <c r="J58" s="19" t="str">
        <f t="shared" si="1"/>
        <v>0</v>
      </c>
    </row>
    <row r="59" ht="14.25" customHeight="1" spans="4:10">
      <c r="D59" s="19">
        <f>'SUB- 2'!C57</f>
        <v>43</v>
      </c>
      <c r="E59" s="22" t="str">
        <f>'SUB- 2'!D57</f>
        <v>BTMC24O1043</v>
      </c>
      <c r="F59" s="19">
        <v>18</v>
      </c>
      <c r="G59" s="19">
        <v>28</v>
      </c>
      <c r="H59" s="19">
        <f t="shared" si="2"/>
        <v>46</v>
      </c>
      <c r="I59" s="19" t="str">
        <f t="shared" si="0"/>
        <v>PASS</v>
      </c>
      <c r="J59" s="19" t="str">
        <f t="shared" si="1"/>
        <v>1</v>
      </c>
    </row>
    <row r="60" ht="14.25" customHeight="1" spans="4:10">
      <c r="D60" s="19">
        <f>'SUB- 2'!C58</f>
        <v>44</v>
      </c>
      <c r="E60" s="22" t="str">
        <f>'SUB- 2'!D58</f>
        <v>BTMC24O1044</v>
      </c>
      <c r="F60" s="19">
        <v>58</v>
      </c>
      <c r="G60" s="19">
        <v>11</v>
      </c>
      <c r="H60" s="19">
        <f t="shared" si="2"/>
        <v>69</v>
      </c>
      <c r="I60" s="19" t="str">
        <f t="shared" si="0"/>
        <v>PASS</v>
      </c>
      <c r="J60" s="19" t="str">
        <f t="shared" si="1"/>
        <v>1</v>
      </c>
    </row>
    <row r="61" ht="14.25" customHeight="1" spans="4:10">
      <c r="D61" s="19">
        <f>'SUB- 2'!C59</f>
        <v>45</v>
      </c>
      <c r="E61" s="22" t="str">
        <f>'SUB- 2'!D59</f>
        <v>BTMC24O1045</v>
      </c>
      <c r="F61" s="19">
        <v>4</v>
      </c>
      <c r="G61" s="19">
        <v>23</v>
      </c>
      <c r="H61" s="19">
        <f t="shared" si="2"/>
        <v>27</v>
      </c>
      <c r="I61" s="19" t="str">
        <f t="shared" si="0"/>
        <v>FAIL</v>
      </c>
      <c r="J61" s="19" t="str">
        <f t="shared" si="1"/>
        <v>0</v>
      </c>
    </row>
    <row r="62" ht="14.25" customHeight="1" spans="4:10">
      <c r="D62" s="19">
        <f>'SUB- 2'!C60</f>
        <v>46</v>
      </c>
      <c r="E62" s="22" t="str">
        <f>'SUB- 2'!D60</f>
        <v>BTMC24O1046</v>
      </c>
      <c r="F62" s="19">
        <v>26</v>
      </c>
      <c r="G62" s="19">
        <v>19</v>
      </c>
      <c r="H62" s="19">
        <f t="shared" si="2"/>
        <v>45</v>
      </c>
      <c r="I62" s="19" t="str">
        <f t="shared" si="0"/>
        <v>PASS</v>
      </c>
      <c r="J62" s="19" t="str">
        <f t="shared" si="1"/>
        <v>1</v>
      </c>
    </row>
    <row r="63" ht="14.25" customHeight="1" spans="4:10">
      <c r="D63" s="19">
        <f>'SUB- 2'!C61</f>
        <v>47</v>
      </c>
      <c r="E63" s="22" t="str">
        <f>'SUB- 2'!D61</f>
        <v>BTMC24O1047</v>
      </c>
      <c r="F63" s="19">
        <v>48</v>
      </c>
      <c r="G63" s="19">
        <v>3</v>
      </c>
      <c r="H63" s="19">
        <f t="shared" si="2"/>
        <v>51</v>
      </c>
      <c r="I63" s="19" t="str">
        <f t="shared" si="0"/>
        <v>PASS</v>
      </c>
      <c r="J63" s="19" t="str">
        <f t="shared" si="1"/>
        <v>1</v>
      </c>
    </row>
    <row r="64" ht="14.25" customHeight="1" spans="4:10">
      <c r="D64" s="19">
        <f>'SUB- 2'!C62</f>
        <v>48</v>
      </c>
      <c r="E64" s="22" t="str">
        <f>'SUB- 2'!D62</f>
        <v>BTMC24O1048</v>
      </c>
      <c r="F64" s="19">
        <v>57</v>
      </c>
      <c r="G64" s="19">
        <v>14</v>
      </c>
      <c r="H64" s="19">
        <f t="shared" si="2"/>
        <v>71</v>
      </c>
      <c r="I64" s="19" t="str">
        <f t="shared" si="0"/>
        <v>PASS</v>
      </c>
      <c r="J64" s="19" t="str">
        <f t="shared" si="1"/>
        <v>1</v>
      </c>
    </row>
    <row r="65" ht="14.25" customHeight="1" spans="4:10">
      <c r="D65" s="19">
        <f>'SUB- 2'!C63</f>
        <v>49</v>
      </c>
      <c r="E65" s="22" t="str">
        <f>'SUB- 2'!D63</f>
        <v>BTMC24O1049</v>
      </c>
      <c r="F65" s="19">
        <v>58</v>
      </c>
      <c r="G65" s="19">
        <v>30</v>
      </c>
      <c r="H65" s="19">
        <f t="shared" si="2"/>
        <v>88</v>
      </c>
      <c r="I65" s="19" t="str">
        <f t="shared" si="0"/>
        <v>PASS</v>
      </c>
      <c r="J65" s="19" t="str">
        <f t="shared" si="1"/>
        <v>1</v>
      </c>
    </row>
    <row r="66" ht="14.25" customHeight="1" spans="4:10">
      <c r="D66" s="19">
        <f>'SUB- 2'!C64</f>
        <v>50</v>
      </c>
      <c r="E66" s="22" t="str">
        <f>'SUB- 2'!D64</f>
        <v>BTMC24O1050</v>
      </c>
      <c r="F66" s="19">
        <v>11</v>
      </c>
      <c r="G66" s="19">
        <v>16</v>
      </c>
      <c r="H66" s="19">
        <f t="shared" si="2"/>
        <v>27</v>
      </c>
      <c r="I66" s="19" t="str">
        <f t="shared" si="0"/>
        <v>FAIL</v>
      </c>
      <c r="J66" s="19" t="str">
        <f t="shared" si="1"/>
        <v>0</v>
      </c>
    </row>
    <row r="67" ht="14.25" customHeight="1" spans="4:10">
      <c r="D67" s="19">
        <f>'SUB- 2'!C65</f>
        <v>51</v>
      </c>
      <c r="E67" s="22" t="str">
        <f>'SUB- 2'!D65</f>
        <v>BTMC24O1051</v>
      </c>
      <c r="F67" s="19">
        <v>7</v>
      </c>
      <c r="G67" s="19">
        <v>2</v>
      </c>
      <c r="H67" s="19">
        <f t="shared" si="2"/>
        <v>9</v>
      </c>
      <c r="I67" s="19" t="str">
        <f t="shared" si="0"/>
        <v>FAIL</v>
      </c>
      <c r="J67" s="19" t="str">
        <f t="shared" si="1"/>
        <v>0</v>
      </c>
    </row>
    <row r="68" ht="14.25" customHeight="1" spans="4:10">
      <c r="D68" s="19">
        <f>'SUB- 2'!C66</f>
        <v>52</v>
      </c>
      <c r="E68" s="22" t="str">
        <f>'SUB- 2'!D66</f>
        <v>BTMC24O1052</v>
      </c>
      <c r="F68" s="19">
        <v>5</v>
      </c>
      <c r="G68" s="19">
        <v>1</v>
      </c>
      <c r="H68" s="19">
        <f t="shared" si="2"/>
        <v>6</v>
      </c>
      <c r="I68" s="19" t="str">
        <f t="shared" si="0"/>
        <v>FAIL</v>
      </c>
      <c r="J68" s="19" t="str">
        <f t="shared" si="1"/>
        <v>0</v>
      </c>
    </row>
    <row r="69" ht="14.25" customHeight="1" spans="4:10">
      <c r="D69" s="19">
        <f>'SUB- 2'!C67</f>
        <v>53</v>
      </c>
      <c r="E69" s="22" t="str">
        <f>'SUB- 2'!D67</f>
        <v>BTMC24O1053</v>
      </c>
      <c r="F69" s="19">
        <v>62</v>
      </c>
      <c r="G69" s="19">
        <v>0</v>
      </c>
      <c r="H69" s="19">
        <f t="shared" si="2"/>
        <v>62</v>
      </c>
      <c r="I69" s="19" t="str">
        <f t="shared" si="0"/>
        <v>PASS</v>
      </c>
      <c r="J69" s="19" t="str">
        <f t="shared" si="1"/>
        <v>1</v>
      </c>
    </row>
    <row r="70" ht="14.25" customHeight="1" spans="4:10">
      <c r="D70" s="19">
        <f>'SUB- 2'!C68</f>
        <v>54</v>
      </c>
      <c r="E70" s="22" t="str">
        <f>'SUB- 2'!D68</f>
        <v>BTMC24O1054</v>
      </c>
      <c r="F70" s="19">
        <v>20</v>
      </c>
      <c r="G70" s="19">
        <v>25</v>
      </c>
      <c r="H70" s="19">
        <f t="shared" si="2"/>
        <v>45</v>
      </c>
      <c r="I70" s="19" t="str">
        <f t="shared" si="0"/>
        <v>PASS</v>
      </c>
      <c r="J70" s="19" t="str">
        <f t="shared" si="1"/>
        <v>1</v>
      </c>
    </row>
    <row r="71" ht="14.25" customHeight="1" spans="4:10">
      <c r="D71" s="19">
        <f>'SUB- 2'!C69</f>
        <v>55</v>
      </c>
      <c r="E71" s="22" t="str">
        <f>'SUB- 2'!D69</f>
        <v>BTMC24O1055</v>
      </c>
      <c r="F71" s="19">
        <v>55</v>
      </c>
      <c r="G71" s="19">
        <v>13</v>
      </c>
      <c r="H71" s="19">
        <f t="shared" si="2"/>
        <v>68</v>
      </c>
      <c r="I71" s="19" t="str">
        <f t="shared" si="0"/>
        <v>PASS</v>
      </c>
      <c r="J71" s="19" t="str">
        <f t="shared" si="1"/>
        <v>1</v>
      </c>
    </row>
    <row r="72" ht="14.25" customHeight="1" spans="4:10">
      <c r="D72" s="19">
        <f>'SUB- 2'!C70</f>
        <v>56</v>
      </c>
      <c r="E72" s="22" t="str">
        <f>'SUB- 2'!D70</f>
        <v>BTMC24O1056</v>
      </c>
      <c r="F72" s="19">
        <v>30</v>
      </c>
      <c r="G72" s="19">
        <v>9</v>
      </c>
      <c r="H72" s="19">
        <f t="shared" si="2"/>
        <v>39</v>
      </c>
      <c r="I72" s="19" t="str">
        <f t="shared" si="0"/>
        <v>PASS</v>
      </c>
      <c r="J72" s="19" t="str">
        <f t="shared" si="1"/>
        <v>1</v>
      </c>
    </row>
    <row r="73" ht="14.25" customHeight="1" spans="4:10">
      <c r="D73" s="19">
        <f>'SUB- 2'!C71</f>
        <v>57</v>
      </c>
      <c r="E73" s="22" t="str">
        <f>'SUB- 2'!D71</f>
        <v>BTMC24O1057</v>
      </c>
      <c r="F73" s="19">
        <v>9</v>
      </c>
      <c r="G73" s="19">
        <v>7</v>
      </c>
      <c r="H73" s="19">
        <f t="shared" si="2"/>
        <v>16</v>
      </c>
      <c r="I73" s="19" t="str">
        <f t="shared" si="0"/>
        <v>FAIL</v>
      </c>
      <c r="J73" s="19" t="str">
        <f t="shared" si="1"/>
        <v>0</v>
      </c>
    </row>
    <row r="74" ht="14.25" customHeight="1" spans="4:10">
      <c r="D74" s="19">
        <f>'SUB- 2'!C72</f>
        <v>58</v>
      </c>
      <c r="E74" s="22" t="str">
        <f>'SUB- 2'!D72</f>
        <v>BTMC24O1058</v>
      </c>
      <c r="F74" s="19">
        <v>56</v>
      </c>
      <c r="G74" s="19">
        <v>11</v>
      </c>
      <c r="H74" s="19">
        <f t="shared" si="2"/>
        <v>67</v>
      </c>
      <c r="I74" s="19" t="str">
        <f t="shared" si="0"/>
        <v>PASS</v>
      </c>
      <c r="J74" s="19" t="str">
        <f t="shared" si="1"/>
        <v>1</v>
      </c>
    </row>
    <row r="75" ht="14.25" customHeight="1" spans="4:10">
      <c r="D75" s="19">
        <f>'SUB- 2'!C73</f>
        <v>59</v>
      </c>
      <c r="E75" s="22" t="str">
        <f>'SUB- 2'!D73</f>
        <v>BTMC24O1059</v>
      </c>
      <c r="F75" s="19">
        <v>35</v>
      </c>
      <c r="G75" s="19">
        <v>12</v>
      </c>
      <c r="H75" s="19">
        <f t="shared" si="2"/>
        <v>47</v>
      </c>
      <c r="I75" s="19" t="str">
        <f t="shared" si="0"/>
        <v>PASS</v>
      </c>
      <c r="J75" s="19" t="str">
        <f t="shared" si="1"/>
        <v>1</v>
      </c>
    </row>
    <row r="76" ht="14.25" customHeight="1" spans="4:10">
      <c r="D76" s="19">
        <f>'SUB- 2'!C74</f>
        <v>60</v>
      </c>
      <c r="E76" s="22" t="str">
        <f>'SUB- 2'!D74</f>
        <v>BTMC24O1060</v>
      </c>
      <c r="F76" s="19">
        <v>11</v>
      </c>
      <c r="G76" s="19">
        <v>4</v>
      </c>
      <c r="H76" s="19">
        <f t="shared" si="2"/>
        <v>15</v>
      </c>
      <c r="I76" s="19" t="str">
        <f t="shared" si="0"/>
        <v>FAIL</v>
      </c>
      <c r="J76" s="19" t="str">
        <f t="shared" si="1"/>
        <v>0</v>
      </c>
    </row>
    <row r="77" ht="14.25" customHeight="1" spans="4:10">
      <c r="D77" s="19">
        <f>'SUB- 2'!C75</f>
        <v>61</v>
      </c>
      <c r="E77" s="22" t="str">
        <f>'SUB- 2'!D75</f>
        <v>BTMC24O1061</v>
      </c>
      <c r="F77" s="19">
        <v>39</v>
      </c>
      <c r="G77" s="19">
        <v>23</v>
      </c>
      <c r="H77" s="19">
        <f t="shared" si="2"/>
        <v>62</v>
      </c>
      <c r="I77" s="19" t="str">
        <f t="shared" si="0"/>
        <v>PASS</v>
      </c>
      <c r="J77" s="19" t="str">
        <f t="shared" si="1"/>
        <v>1</v>
      </c>
    </row>
    <row r="78" ht="14.25" customHeight="1" spans="4:10">
      <c r="D78" s="19">
        <f>'SUB- 2'!C76</f>
        <v>62</v>
      </c>
      <c r="E78" s="22" t="str">
        <f>'SUB- 2'!D76</f>
        <v>BTMC24O1062</v>
      </c>
      <c r="F78" s="19">
        <v>52</v>
      </c>
      <c r="G78" s="19">
        <v>13</v>
      </c>
      <c r="H78" s="19">
        <f t="shared" si="2"/>
        <v>65</v>
      </c>
      <c r="I78" s="19" t="str">
        <f t="shared" si="0"/>
        <v>PASS</v>
      </c>
      <c r="J78" s="19" t="str">
        <f t="shared" si="1"/>
        <v>1</v>
      </c>
    </row>
    <row r="79" ht="14.25" customHeight="1" spans="4:10">
      <c r="D79" s="19">
        <f>'SUB- 2'!C77</f>
        <v>63</v>
      </c>
      <c r="E79" s="22" t="str">
        <f>'SUB- 2'!D77</f>
        <v>BTMC24O1063</v>
      </c>
      <c r="F79" s="19">
        <v>21</v>
      </c>
      <c r="G79" s="19">
        <v>29</v>
      </c>
      <c r="H79" s="19">
        <f t="shared" si="2"/>
        <v>50</v>
      </c>
      <c r="I79" s="19" t="str">
        <f t="shared" si="0"/>
        <v>PASS</v>
      </c>
      <c r="J79" s="19" t="str">
        <f t="shared" si="1"/>
        <v>1</v>
      </c>
    </row>
    <row r="80" ht="14.25" customHeight="1" spans="4:10">
      <c r="D80" s="19">
        <f>'SUB- 2'!C78</f>
        <v>64</v>
      </c>
      <c r="E80" s="22" t="str">
        <f>'SUB- 2'!D78</f>
        <v>BTMC24O1064</v>
      </c>
      <c r="F80" s="19">
        <v>67</v>
      </c>
      <c r="G80" s="19">
        <v>16</v>
      </c>
      <c r="H80" s="19">
        <f t="shared" si="2"/>
        <v>83</v>
      </c>
      <c r="I80" s="19" t="str">
        <f t="shared" si="0"/>
        <v>PASS</v>
      </c>
      <c r="J80" s="19" t="str">
        <f t="shared" si="1"/>
        <v>1</v>
      </c>
    </row>
    <row r="81" ht="14.25" customHeight="1" spans="4:10">
      <c r="D81" s="19">
        <f>'SUB- 2'!C79</f>
        <v>65</v>
      </c>
      <c r="E81" s="22" t="str">
        <f>'SUB- 2'!D79</f>
        <v>BTMC24O1065</v>
      </c>
      <c r="F81" s="19">
        <v>8</v>
      </c>
      <c r="G81" s="19">
        <v>4</v>
      </c>
      <c r="H81" s="19">
        <f t="shared" si="2"/>
        <v>12</v>
      </c>
      <c r="I81" s="19" t="str">
        <f t="shared" ref="I81:I116" si="3">IF(H81&lt;35,"FAIL","PASS")</f>
        <v>FAIL</v>
      </c>
      <c r="J81" s="19" t="str">
        <f t="shared" ref="J81:J116" si="4">IF(H81&lt;35,"0","1")</f>
        <v>0</v>
      </c>
    </row>
    <row r="82" ht="14.25" customHeight="1" spans="4:10">
      <c r="D82" s="19">
        <f>'SUB- 2'!C80</f>
        <v>66</v>
      </c>
      <c r="E82" s="22" t="str">
        <f>'SUB- 2'!D80</f>
        <v>BTMC24O1066</v>
      </c>
      <c r="F82" s="19">
        <v>15</v>
      </c>
      <c r="G82" s="19">
        <v>29</v>
      </c>
      <c r="H82" s="19">
        <f t="shared" si="2"/>
        <v>44</v>
      </c>
      <c r="I82" s="19" t="str">
        <f t="shared" si="3"/>
        <v>PASS</v>
      </c>
      <c r="J82" s="19" t="str">
        <f t="shared" si="4"/>
        <v>1</v>
      </c>
    </row>
    <row r="83" ht="14.25" customHeight="1" spans="4:10">
      <c r="D83" s="19">
        <f>'SUB- 2'!C81</f>
        <v>67</v>
      </c>
      <c r="E83" s="22" t="str">
        <f>'SUB- 2'!D81</f>
        <v>BTMC24O1067</v>
      </c>
      <c r="F83" s="19">
        <v>23</v>
      </c>
      <c r="G83" s="19">
        <v>29</v>
      </c>
      <c r="H83" s="19">
        <f t="shared" ref="H83:H116" si="5">F83+G83</f>
        <v>52</v>
      </c>
      <c r="I83" s="19" t="str">
        <f t="shared" si="3"/>
        <v>PASS</v>
      </c>
      <c r="J83" s="19" t="str">
        <f t="shared" si="4"/>
        <v>1</v>
      </c>
    </row>
    <row r="84" ht="14.25" customHeight="1" spans="4:10">
      <c r="D84" s="19">
        <f>'SUB- 2'!C82</f>
        <v>68</v>
      </c>
      <c r="E84" s="22" t="str">
        <f>'SUB- 2'!D82</f>
        <v>BTMC24O1068</v>
      </c>
      <c r="F84" s="19">
        <v>12</v>
      </c>
      <c r="G84" s="19">
        <v>21</v>
      </c>
      <c r="H84" s="19">
        <f t="shared" si="5"/>
        <v>33</v>
      </c>
      <c r="I84" s="19" t="str">
        <f t="shared" si="3"/>
        <v>FAIL</v>
      </c>
      <c r="J84" s="19" t="str">
        <f t="shared" si="4"/>
        <v>0</v>
      </c>
    </row>
    <row r="85" ht="14.25" customHeight="1" spans="4:10">
      <c r="D85" s="19">
        <f>'SUB- 2'!C83</f>
        <v>69</v>
      </c>
      <c r="E85" s="22" t="str">
        <f>'SUB- 2'!D83</f>
        <v>BTMC24O1069</v>
      </c>
      <c r="F85" s="19">
        <v>64</v>
      </c>
      <c r="G85" s="19">
        <v>0</v>
      </c>
      <c r="H85" s="19">
        <f t="shared" si="5"/>
        <v>64</v>
      </c>
      <c r="I85" s="19" t="str">
        <f t="shared" si="3"/>
        <v>PASS</v>
      </c>
      <c r="J85" s="19" t="str">
        <f t="shared" si="4"/>
        <v>1</v>
      </c>
    </row>
    <row r="86" ht="14.25" customHeight="1" spans="4:10">
      <c r="D86" s="19">
        <f>'SUB- 2'!C84</f>
        <v>70</v>
      </c>
      <c r="E86" s="22" t="str">
        <f>'SUB- 2'!D84</f>
        <v>BTMC24O1070</v>
      </c>
      <c r="F86" s="19">
        <v>26</v>
      </c>
      <c r="G86" s="19">
        <v>3</v>
      </c>
      <c r="H86" s="19">
        <f t="shared" si="5"/>
        <v>29</v>
      </c>
      <c r="I86" s="19" t="str">
        <f t="shared" si="3"/>
        <v>FAIL</v>
      </c>
      <c r="J86" s="19" t="str">
        <f t="shared" si="4"/>
        <v>0</v>
      </c>
    </row>
    <row r="87" ht="14.25" customHeight="1" spans="4:10">
      <c r="D87" s="19">
        <f>'SUB- 2'!C85</f>
        <v>71</v>
      </c>
      <c r="E87" s="22" t="str">
        <f>'SUB- 2'!D85</f>
        <v>BTMC24O1071</v>
      </c>
      <c r="F87" s="19">
        <v>58</v>
      </c>
      <c r="G87" s="19">
        <v>22</v>
      </c>
      <c r="H87" s="19">
        <f t="shared" si="5"/>
        <v>80</v>
      </c>
      <c r="I87" s="19" t="str">
        <f t="shared" si="3"/>
        <v>PASS</v>
      </c>
      <c r="J87" s="19" t="str">
        <f t="shared" si="4"/>
        <v>1</v>
      </c>
    </row>
    <row r="88" ht="14.25" customHeight="1" spans="4:10">
      <c r="D88" s="19">
        <f>'SUB- 2'!C86</f>
        <v>72</v>
      </c>
      <c r="E88" s="22" t="str">
        <f>'SUB- 2'!D86</f>
        <v>BTMC24O1072</v>
      </c>
      <c r="F88" s="19">
        <v>55</v>
      </c>
      <c r="G88" s="19">
        <v>28</v>
      </c>
      <c r="H88" s="19">
        <f t="shared" si="5"/>
        <v>83</v>
      </c>
      <c r="I88" s="19" t="str">
        <f t="shared" si="3"/>
        <v>PASS</v>
      </c>
      <c r="J88" s="19" t="str">
        <f t="shared" si="4"/>
        <v>1</v>
      </c>
    </row>
    <row r="89" ht="14.25" customHeight="1" spans="4:10">
      <c r="D89" s="19">
        <f>'SUB- 2'!C87</f>
        <v>73</v>
      </c>
      <c r="E89" s="22" t="str">
        <f>'SUB- 2'!D87</f>
        <v>BTMC24O1073</v>
      </c>
      <c r="F89" s="19">
        <v>61</v>
      </c>
      <c r="G89" s="19">
        <v>8</v>
      </c>
      <c r="H89" s="19">
        <f t="shared" si="5"/>
        <v>69</v>
      </c>
      <c r="I89" s="19" t="str">
        <f t="shared" si="3"/>
        <v>PASS</v>
      </c>
      <c r="J89" s="19" t="str">
        <f t="shared" si="4"/>
        <v>1</v>
      </c>
    </row>
    <row r="90" ht="14.25" customHeight="1" spans="4:10">
      <c r="D90" s="19">
        <f>'SUB- 2'!C88</f>
        <v>74</v>
      </c>
      <c r="E90" s="22" t="str">
        <f>'SUB- 2'!D88</f>
        <v>BTMC24O1074</v>
      </c>
      <c r="F90" s="19">
        <v>7</v>
      </c>
      <c r="G90" s="19">
        <v>22</v>
      </c>
      <c r="H90" s="19">
        <f t="shared" si="5"/>
        <v>29</v>
      </c>
      <c r="I90" s="19" t="str">
        <f t="shared" si="3"/>
        <v>FAIL</v>
      </c>
      <c r="J90" s="19" t="str">
        <f t="shared" si="4"/>
        <v>0</v>
      </c>
    </row>
    <row r="91" ht="14.25" customHeight="1" spans="4:10">
      <c r="D91" s="19">
        <f>'SUB- 2'!C89</f>
        <v>75</v>
      </c>
      <c r="E91" s="22" t="str">
        <f>'SUB- 2'!D89</f>
        <v>BTMC24O1075</v>
      </c>
      <c r="F91" s="19">
        <v>5</v>
      </c>
      <c r="G91" s="19">
        <v>7</v>
      </c>
      <c r="H91" s="19">
        <f t="shared" si="5"/>
        <v>12</v>
      </c>
      <c r="I91" s="19" t="str">
        <f t="shared" si="3"/>
        <v>FAIL</v>
      </c>
      <c r="J91" s="19" t="str">
        <f t="shared" si="4"/>
        <v>0</v>
      </c>
    </row>
    <row r="92" ht="14.25" customHeight="1" spans="4:10">
      <c r="D92" s="19">
        <f>'SUB- 2'!C90</f>
        <v>76</v>
      </c>
      <c r="E92" s="22" t="str">
        <f>'SUB- 2'!D90</f>
        <v>BTMC24O1076</v>
      </c>
      <c r="F92" s="19">
        <v>2</v>
      </c>
      <c r="G92" s="19">
        <v>6</v>
      </c>
      <c r="H92" s="19">
        <f t="shared" si="5"/>
        <v>8</v>
      </c>
      <c r="I92" s="19" t="str">
        <f t="shared" si="3"/>
        <v>FAIL</v>
      </c>
      <c r="J92" s="19" t="str">
        <f t="shared" si="4"/>
        <v>0</v>
      </c>
    </row>
    <row r="93" ht="14.25" customHeight="1" spans="4:10">
      <c r="D93" s="19">
        <f>'SUB- 2'!C91</f>
        <v>77</v>
      </c>
      <c r="E93" s="22" t="str">
        <f>'SUB- 2'!D91</f>
        <v>BTMC24O1077</v>
      </c>
      <c r="F93" s="19">
        <v>5</v>
      </c>
      <c r="G93" s="19">
        <v>3</v>
      </c>
      <c r="H93" s="19">
        <f t="shared" si="5"/>
        <v>8</v>
      </c>
      <c r="I93" s="19" t="str">
        <f t="shared" si="3"/>
        <v>FAIL</v>
      </c>
      <c r="J93" s="19" t="str">
        <f t="shared" si="4"/>
        <v>0</v>
      </c>
    </row>
    <row r="94" ht="14.25" customHeight="1" spans="4:10">
      <c r="D94" s="19">
        <f>'SUB- 2'!C92</f>
        <v>78</v>
      </c>
      <c r="E94" s="22" t="str">
        <f>'SUB- 2'!D92</f>
        <v>BTMC24O1078</v>
      </c>
      <c r="F94" s="19">
        <v>47</v>
      </c>
      <c r="G94" s="19">
        <v>5</v>
      </c>
      <c r="H94" s="19">
        <f t="shared" si="5"/>
        <v>52</v>
      </c>
      <c r="I94" s="19" t="str">
        <f t="shared" si="3"/>
        <v>PASS</v>
      </c>
      <c r="J94" s="19" t="str">
        <f t="shared" si="4"/>
        <v>1</v>
      </c>
    </row>
    <row r="95" ht="14.25" customHeight="1" spans="4:10">
      <c r="D95" s="19">
        <f>'SUB- 2'!C93</f>
        <v>79</v>
      </c>
      <c r="E95" s="22" t="str">
        <f>'SUB- 2'!D93</f>
        <v>BTMC24O1079</v>
      </c>
      <c r="F95" s="19">
        <v>27</v>
      </c>
      <c r="G95" s="19">
        <v>8</v>
      </c>
      <c r="H95" s="19">
        <f t="shared" si="5"/>
        <v>35</v>
      </c>
      <c r="I95" s="19" t="str">
        <f t="shared" si="3"/>
        <v>PASS</v>
      </c>
      <c r="J95" s="19" t="str">
        <f t="shared" si="4"/>
        <v>1</v>
      </c>
    </row>
    <row r="96" ht="14.25" customHeight="1" spans="4:10">
      <c r="D96" s="19">
        <f>'SUB- 2'!C94</f>
        <v>80</v>
      </c>
      <c r="E96" s="22" t="str">
        <f>'SUB- 2'!D94</f>
        <v>BTMC24O1080</v>
      </c>
      <c r="F96" s="19">
        <v>31</v>
      </c>
      <c r="G96" s="19">
        <v>2</v>
      </c>
      <c r="H96" s="19">
        <f t="shared" si="5"/>
        <v>33</v>
      </c>
      <c r="I96" s="19" t="str">
        <f t="shared" si="3"/>
        <v>FAIL</v>
      </c>
      <c r="J96" s="19" t="str">
        <f t="shared" si="4"/>
        <v>0</v>
      </c>
    </row>
    <row r="97" ht="14.25" customHeight="1" spans="4:10">
      <c r="D97" s="19">
        <f>'SUB- 2'!C95</f>
        <v>81</v>
      </c>
      <c r="E97" s="22" t="str">
        <f>'SUB- 2'!D95</f>
        <v>BTMC24O1081</v>
      </c>
      <c r="F97" s="19">
        <v>41</v>
      </c>
      <c r="G97" s="19">
        <v>26</v>
      </c>
      <c r="H97" s="19">
        <f t="shared" si="5"/>
        <v>67</v>
      </c>
      <c r="I97" s="19" t="str">
        <f t="shared" si="3"/>
        <v>PASS</v>
      </c>
      <c r="J97" s="19" t="str">
        <f t="shared" si="4"/>
        <v>1</v>
      </c>
    </row>
    <row r="98" ht="14.25" customHeight="1" spans="4:10">
      <c r="D98" s="19">
        <f>'SUB- 2'!C96</f>
        <v>82</v>
      </c>
      <c r="E98" s="22" t="str">
        <f>'SUB- 2'!D96</f>
        <v>BTMC24O1082</v>
      </c>
      <c r="F98" s="19">
        <v>3</v>
      </c>
      <c r="G98" s="19">
        <v>14</v>
      </c>
      <c r="H98" s="19">
        <f t="shared" si="5"/>
        <v>17</v>
      </c>
      <c r="I98" s="19" t="str">
        <f t="shared" si="3"/>
        <v>FAIL</v>
      </c>
      <c r="J98" s="19" t="str">
        <f t="shared" si="4"/>
        <v>0</v>
      </c>
    </row>
    <row r="99" ht="14.25" customHeight="1" spans="4:10">
      <c r="D99" s="19">
        <f>'SUB- 2'!C97</f>
        <v>83</v>
      </c>
      <c r="E99" s="22" t="str">
        <f>'SUB- 2'!D97</f>
        <v>BTMC24O1083</v>
      </c>
      <c r="F99" s="19">
        <v>23</v>
      </c>
      <c r="G99" s="19">
        <v>23</v>
      </c>
      <c r="H99" s="19">
        <f t="shared" si="5"/>
        <v>46</v>
      </c>
      <c r="I99" s="19" t="str">
        <f t="shared" si="3"/>
        <v>PASS</v>
      </c>
      <c r="J99" s="19" t="str">
        <f t="shared" si="4"/>
        <v>1</v>
      </c>
    </row>
    <row r="100" ht="14.25" customHeight="1" spans="4:10">
      <c r="D100" s="19">
        <f>'SUB- 2'!C98</f>
        <v>84</v>
      </c>
      <c r="E100" s="22" t="str">
        <f>'SUB- 2'!D98</f>
        <v>BTMC24O1084</v>
      </c>
      <c r="F100" s="19">
        <v>61</v>
      </c>
      <c r="G100" s="19">
        <v>6</v>
      </c>
      <c r="H100" s="19">
        <f t="shared" si="5"/>
        <v>67</v>
      </c>
      <c r="I100" s="19" t="str">
        <f t="shared" si="3"/>
        <v>PASS</v>
      </c>
      <c r="J100" s="19" t="str">
        <f t="shared" si="4"/>
        <v>1</v>
      </c>
    </row>
    <row r="101" ht="14.25" customHeight="1" spans="4:10">
      <c r="D101" s="19">
        <f>'SUB- 2'!C99</f>
        <v>85</v>
      </c>
      <c r="E101" s="22" t="str">
        <f>'SUB- 2'!D99</f>
        <v>BTMC24O1085</v>
      </c>
      <c r="F101" s="19">
        <v>1</v>
      </c>
      <c r="G101" s="19">
        <v>30</v>
      </c>
      <c r="H101" s="19">
        <f t="shared" si="5"/>
        <v>31</v>
      </c>
      <c r="I101" s="19" t="str">
        <f t="shared" si="3"/>
        <v>FAIL</v>
      </c>
      <c r="J101" s="19" t="str">
        <f t="shared" si="4"/>
        <v>0</v>
      </c>
    </row>
    <row r="102" ht="14.25" customHeight="1" spans="4:10">
      <c r="D102" s="19">
        <f>'SUB- 2'!C100</f>
        <v>86</v>
      </c>
      <c r="E102" s="22" t="str">
        <f>'SUB- 2'!D100</f>
        <v>BTMC24O1086</v>
      </c>
      <c r="F102" s="19">
        <v>55</v>
      </c>
      <c r="G102" s="19">
        <v>6</v>
      </c>
      <c r="H102" s="19">
        <f t="shared" si="5"/>
        <v>61</v>
      </c>
      <c r="I102" s="19" t="str">
        <f t="shared" si="3"/>
        <v>PASS</v>
      </c>
      <c r="J102" s="19" t="str">
        <f t="shared" si="4"/>
        <v>1</v>
      </c>
    </row>
    <row r="103" ht="14.25" customHeight="1" spans="4:10">
      <c r="D103" s="19">
        <f>'SUB- 2'!C101</f>
        <v>87</v>
      </c>
      <c r="E103" s="22" t="str">
        <f>'SUB- 2'!D101</f>
        <v>BTMC24O1087</v>
      </c>
      <c r="F103" s="19">
        <v>69</v>
      </c>
      <c r="G103" s="19">
        <v>28</v>
      </c>
      <c r="H103" s="19">
        <f t="shared" si="5"/>
        <v>97</v>
      </c>
      <c r="I103" s="19" t="str">
        <f t="shared" si="3"/>
        <v>PASS</v>
      </c>
      <c r="J103" s="19" t="str">
        <f t="shared" si="4"/>
        <v>1</v>
      </c>
    </row>
    <row r="104" ht="14.25" customHeight="1" spans="4:10">
      <c r="D104" s="19">
        <f>'SUB- 2'!C102</f>
        <v>88</v>
      </c>
      <c r="E104" s="22" t="str">
        <f>'SUB- 2'!D102</f>
        <v>BTMC24O1088</v>
      </c>
      <c r="F104" s="19">
        <v>66</v>
      </c>
      <c r="G104" s="19">
        <v>18</v>
      </c>
      <c r="H104" s="19">
        <f t="shared" si="5"/>
        <v>84</v>
      </c>
      <c r="I104" s="19" t="str">
        <f t="shared" si="3"/>
        <v>PASS</v>
      </c>
      <c r="J104" s="19" t="str">
        <f t="shared" si="4"/>
        <v>1</v>
      </c>
    </row>
    <row r="105" ht="14.25" customHeight="1" spans="4:10">
      <c r="D105" s="19">
        <f>'SUB- 2'!C103</f>
        <v>89</v>
      </c>
      <c r="E105" s="22" t="str">
        <f>'SUB- 2'!D103</f>
        <v>BTMC24O1089</v>
      </c>
      <c r="F105" s="19">
        <v>32</v>
      </c>
      <c r="G105" s="19">
        <v>21</v>
      </c>
      <c r="H105" s="19">
        <f t="shared" si="5"/>
        <v>53</v>
      </c>
      <c r="I105" s="19" t="str">
        <f t="shared" si="3"/>
        <v>PASS</v>
      </c>
      <c r="J105" s="19" t="str">
        <f t="shared" si="4"/>
        <v>1</v>
      </c>
    </row>
    <row r="106" ht="14.25" customHeight="1" spans="4:10">
      <c r="D106" s="19">
        <f>'SUB- 2'!C104</f>
        <v>90</v>
      </c>
      <c r="E106" s="22" t="str">
        <f>'SUB- 2'!D104</f>
        <v>BTMC24O1090</v>
      </c>
      <c r="F106" s="19">
        <v>32</v>
      </c>
      <c r="G106" s="19">
        <v>11</v>
      </c>
      <c r="H106" s="19">
        <f t="shared" si="5"/>
        <v>43</v>
      </c>
      <c r="I106" s="19" t="str">
        <f t="shared" si="3"/>
        <v>PASS</v>
      </c>
      <c r="J106" s="19" t="str">
        <f t="shared" si="4"/>
        <v>1</v>
      </c>
    </row>
    <row r="107" ht="14.25" customHeight="1" spans="4:10">
      <c r="D107" s="19">
        <f>'SUB- 2'!C105</f>
        <v>91</v>
      </c>
      <c r="E107" s="22" t="str">
        <f>'SUB- 2'!D105</f>
        <v>BTMC24O1091</v>
      </c>
      <c r="F107" s="19">
        <v>1</v>
      </c>
      <c r="G107" s="19">
        <v>1</v>
      </c>
      <c r="H107" s="19">
        <f t="shared" si="5"/>
        <v>2</v>
      </c>
      <c r="I107" s="19" t="str">
        <f t="shared" si="3"/>
        <v>FAIL</v>
      </c>
      <c r="J107" s="19" t="str">
        <f t="shared" si="4"/>
        <v>0</v>
      </c>
    </row>
    <row r="108" ht="14.25" customHeight="1" spans="4:10">
      <c r="D108" s="19">
        <f>'SUB- 2'!C106</f>
        <v>92</v>
      </c>
      <c r="E108" s="22" t="str">
        <f>'SUB- 2'!D106</f>
        <v>BTMC24O1092</v>
      </c>
      <c r="F108" s="19">
        <v>25</v>
      </c>
      <c r="G108" s="19">
        <v>11</v>
      </c>
      <c r="H108" s="19">
        <f t="shared" si="5"/>
        <v>36</v>
      </c>
      <c r="I108" s="19" t="str">
        <f t="shared" si="3"/>
        <v>PASS</v>
      </c>
      <c r="J108" s="19" t="str">
        <f t="shared" si="4"/>
        <v>1</v>
      </c>
    </row>
    <row r="109" ht="14.25" customHeight="1" spans="4:10">
      <c r="D109" s="19">
        <f>'SUB- 2'!C107</f>
        <v>93</v>
      </c>
      <c r="E109" s="22" t="str">
        <f>'SUB- 2'!D107</f>
        <v>BTMC24O1093</v>
      </c>
      <c r="F109" s="19">
        <v>22</v>
      </c>
      <c r="G109" s="19">
        <v>19</v>
      </c>
      <c r="H109" s="19">
        <f t="shared" si="5"/>
        <v>41</v>
      </c>
      <c r="I109" s="19" t="str">
        <f t="shared" si="3"/>
        <v>PASS</v>
      </c>
      <c r="J109" s="19" t="str">
        <f t="shared" si="4"/>
        <v>1</v>
      </c>
    </row>
    <row r="110" ht="14.25" customHeight="1" spans="4:10">
      <c r="D110" s="19">
        <f>'SUB- 2'!C108</f>
        <v>94</v>
      </c>
      <c r="E110" s="22" t="str">
        <f>'SUB- 2'!D108</f>
        <v>BTMC24O1094</v>
      </c>
      <c r="F110" s="19">
        <v>12</v>
      </c>
      <c r="G110" s="19">
        <v>10</v>
      </c>
      <c r="H110" s="19">
        <f t="shared" si="5"/>
        <v>22</v>
      </c>
      <c r="I110" s="19" t="str">
        <f t="shared" si="3"/>
        <v>FAIL</v>
      </c>
      <c r="J110" s="19" t="str">
        <f t="shared" si="4"/>
        <v>0</v>
      </c>
    </row>
    <row r="111" ht="14.25" customHeight="1" spans="4:10">
      <c r="D111" s="19">
        <f>'SUB- 2'!C109</f>
        <v>95</v>
      </c>
      <c r="E111" s="22" t="str">
        <f>'SUB- 2'!D109</f>
        <v>BTMC24O1095</v>
      </c>
      <c r="F111" s="19">
        <v>41</v>
      </c>
      <c r="G111" s="19">
        <v>25</v>
      </c>
      <c r="H111" s="19">
        <f t="shared" si="5"/>
        <v>66</v>
      </c>
      <c r="I111" s="19" t="str">
        <f t="shared" si="3"/>
        <v>PASS</v>
      </c>
      <c r="J111" s="19" t="str">
        <f t="shared" si="4"/>
        <v>1</v>
      </c>
    </row>
    <row r="112" ht="14.25" customHeight="1" spans="4:10">
      <c r="D112" s="19">
        <f>'SUB- 2'!C110</f>
        <v>96</v>
      </c>
      <c r="E112" s="22" t="str">
        <f>'SUB- 2'!D110</f>
        <v>BTMC24O1096</v>
      </c>
      <c r="F112" s="19">
        <v>34</v>
      </c>
      <c r="G112" s="19">
        <v>22</v>
      </c>
      <c r="H112" s="19">
        <f t="shared" si="5"/>
        <v>56</v>
      </c>
      <c r="I112" s="19" t="str">
        <f t="shared" si="3"/>
        <v>PASS</v>
      </c>
      <c r="J112" s="19" t="str">
        <f t="shared" si="4"/>
        <v>1</v>
      </c>
    </row>
    <row r="113" ht="14.25" customHeight="1" spans="4:10">
      <c r="D113" s="19">
        <f>'SUB- 2'!C111</f>
        <v>97</v>
      </c>
      <c r="E113" s="22" t="str">
        <f>'SUB- 2'!D111</f>
        <v>BTMC24O1097</v>
      </c>
      <c r="F113" s="19">
        <v>43</v>
      </c>
      <c r="G113" s="19">
        <v>25</v>
      </c>
      <c r="H113" s="19">
        <f t="shared" si="5"/>
        <v>68</v>
      </c>
      <c r="I113" s="19" t="str">
        <f t="shared" si="3"/>
        <v>PASS</v>
      </c>
      <c r="J113" s="19" t="str">
        <f t="shared" si="4"/>
        <v>1</v>
      </c>
    </row>
    <row r="114" ht="14.25" customHeight="1" spans="4:10">
      <c r="D114" s="19">
        <f>'SUB- 2'!C112</f>
        <v>98</v>
      </c>
      <c r="E114" s="22" t="str">
        <f>'SUB- 2'!D112</f>
        <v>BTMC24O1098</v>
      </c>
      <c r="F114" s="19">
        <v>28</v>
      </c>
      <c r="G114" s="19">
        <v>7</v>
      </c>
      <c r="H114" s="19">
        <f t="shared" si="5"/>
        <v>35</v>
      </c>
      <c r="I114" s="19" t="str">
        <f t="shared" si="3"/>
        <v>PASS</v>
      </c>
      <c r="J114" s="19" t="str">
        <f t="shared" si="4"/>
        <v>1</v>
      </c>
    </row>
    <row r="115" ht="14.25" customHeight="1" spans="4:10">
      <c r="D115" s="19">
        <f>'SUB- 2'!C113</f>
        <v>99</v>
      </c>
      <c r="E115" s="22" t="str">
        <f>'SUB- 2'!D113</f>
        <v>BTMC24O1099</v>
      </c>
      <c r="F115" s="19">
        <v>37</v>
      </c>
      <c r="G115" s="19">
        <v>16</v>
      </c>
      <c r="H115" s="19">
        <f t="shared" si="5"/>
        <v>53</v>
      </c>
      <c r="I115" s="19" t="str">
        <f t="shared" si="3"/>
        <v>PASS</v>
      </c>
      <c r="J115" s="19" t="str">
        <f t="shared" si="4"/>
        <v>1</v>
      </c>
    </row>
    <row r="116" ht="14.25" customHeight="1" spans="4:10">
      <c r="D116" s="19">
        <f>'SUB- 2'!C114</f>
        <v>100</v>
      </c>
      <c r="E116" s="22" t="str">
        <f>'SUB- 2'!D114</f>
        <v>BTMC24O1100</v>
      </c>
      <c r="F116" s="19">
        <v>5</v>
      </c>
      <c r="G116" s="19">
        <v>21</v>
      </c>
      <c r="H116" s="19">
        <f t="shared" si="5"/>
        <v>26</v>
      </c>
      <c r="I116" s="19" t="str">
        <f t="shared" si="3"/>
        <v>FAIL</v>
      </c>
      <c r="J116" s="19" t="str">
        <f t="shared" si="4"/>
        <v>0</v>
      </c>
    </row>
  </sheetData>
  <mergeCells count="8">
    <mergeCell ref="D4:Q4"/>
    <mergeCell ref="D5:Q5"/>
    <mergeCell ref="D6:Q6"/>
    <mergeCell ref="G7:L7"/>
    <mergeCell ref="D8:Q8"/>
    <mergeCell ref="D9:Q9"/>
    <mergeCell ref="L15:M15"/>
    <mergeCell ref="D2:Q3"/>
  </mergeCells>
  <conditionalFormatting sqref="E17:E116">
    <cfRule type="expression" dxfId="2" priority="5">
      <formula>COUNTIF($E$17:$E$116,E17)&gt;1</formula>
    </cfRule>
  </conditionalFormatting>
  <conditionalFormatting sqref="F17:F116">
    <cfRule type="expression" dxfId="2" priority="3">
      <formula>OR(F17&lt;0,F17&gt;70,NOT(ISNUMBER(F17)))</formula>
    </cfRule>
  </conditionalFormatting>
  <conditionalFormatting sqref="G17:G116">
    <cfRule type="expression" dxfId="2" priority="4">
      <formula>OR(G17&lt;0,G17&gt;30,NOT(ISNUMBER(G17)))</formula>
    </cfRule>
  </conditionalFormatting>
  <conditionalFormatting sqref="I17:I116">
    <cfRule type="containsText" dxfId="0" priority="2" operator="between" text="FAIL">
      <formula>NOT(ISERROR(SEARCH("FAIL",I17)))</formula>
    </cfRule>
  </conditionalFormatting>
  <dataValidations count="3">
    <dataValidation type="textLength" operator="equal" allowBlank="1" showErrorMessage="1" errorTitle="Invalid enrollment no." error="Enrollment number must be 11 characters (e.g. BTMC24O1001)" sqref="E17:E116">
      <formula1>11</formula1>
    </dataValidation>
    <dataValidation type="decimal" operator="between" allowBlank="1" showErrorMessage="1" errorTitle="Invalid mark" error="Enter a number between 0 and 70" sqref="F17:F116">
      <formula1>0</formula1>
      <formula2>70</formula2>
    </dataValidation>
    <dataValidation type="decimal" operator="between" allowBlank="1" showErrorMessage="1" errorTitle="Invalid mark" error="Enter a number between 0 and 30" sqref="G17:G116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C1:Q115"/>
  <sheetViews>
    <sheetView zoomScale="48" zoomScaleNormal="48" workbookViewId="0">
      <selection activeCell="P17" sqref="P17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20.9074074074074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685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643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="26" customFormat="1" ht="21" customHeight="1" spans="3:17">
      <c r="C5" s="15"/>
      <c r="D5" s="13" t="s">
        <v>680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="26" customFormat="1" ht="21" customHeight="1" spans="3:17">
      <c r="C6" s="15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="26" customFormat="1" ht="21" customHeight="1" spans="3:17">
      <c r="C7" s="15"/>
      <c r="D7" s="15"/>
      <c r="E7" s="15"/>
      <c r="F7" s="15"/>
      <c r="G7" s="13" t="s">
        <v>667</v>
      </c>
      <c r="H7" s="13"/>
      <c r="I7" s="13"/>
      <c r="J7" s="13"/>
      <c r="K7" s="13"/>
      <c r="L7" s="13"/>
      <c r="M7" s="15"/>
      <c r="N7" s="15"/>
      <c r="O7" s="15"/>
      <c r="P7" s="15"/>
      <c r="Q7" s="27"/>
    </row>
    <row r="8" s="26" customFormat="1" ht="21" customHeight="1" spans="3:17">
      <c r="C8" s="15"/>
      <c r="D8" s="16" t="s">
        <v>690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="26" customFormat="1" ht="21" customHeight="1" spans="3:17">
      <c r="C9" s="27"/>
      <c r="D9" s="16" t="s">
        <v>691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25241110</v>
      </c>
      <c r="F11" s="17" t="s">
        <v>692</v>
      </c>
      <c r="G11" s="17" t="s">
        <v>693</v>
      </c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671</v>
      </c>
      <c r="G12" s="18" t="s">
        <v>627</v>
      </c>
      <c r="H12" s="18" t="s">
        <v>75</v>
      </c>
      <c r="I12" s="18" t="s">
        <v>77</v>
      </c>
      <c r="J12" s="18" t="s">
        <v>47</v>
      </c>
      <c r="L12" s="10"/>
      <c r="M12" s="10"/>
      <c r="N12" s="10"/>
    </row>
    <row r="13" ht="14.25" customHeight="1" spans="3:17">
      <c r="D13" s="19"/>
      <c r="E13" s="19"/>
      <c r="F13" s="18" t="s">
        <v>672</v>
      </c>
      <c r="G13" s="19"/>
      <c r="H13" s="19"/>
      <c r="I13" s="19"/>
      <c r="J13" s="19"/>
      <c r="L13" s="10"/>
      <c r="M13" s="10"/>
      <c r="N13" s="10"/>
    </row>
    <row r="14" ht="14.25" customHeight="1" spans="3:17">
      <c r="D14" s="19"/>
      <c r="E14" s="19"/>
      <c r="F14" s="20">
        <v>70</v>
      </c>
      <c r="G14" s="20">
        <v>30</v>
      </c>
      <c r="H14" s="20">
        <v>100</v>
      </c>
      <c r="I14" s="20" t="s">
        <v>79</v>
      </c>
      <c r="J14" s="20">
        <v>1</v>
      </c>
      <c r="L14" s="10"/>
      <c r="M14" s="10"/>
      <c r="N14" s="10"/>
    </row>
    <row r="15" ht="14.25" customHeight="1" spans="3:17">
      <c r="D15" s="19"/>
      <c r="E15" s="19"/>
      <c r="F15" s="19"/>
      <c r="G15" s="19"/>
      <c r="H15" s="19"/>
      <c r="I15" s="19"/>
      <c r="J15" s="19"/>
      <c r="L15" s="25" t="s">
        <v>628</v>
      </c>
      <c r="M15" s="25"/>
    </row>
    <row r="16" ht="14.25" customHeight="1" spans="3:17">
      <c r="D16" s="19">
        <v>1</v>
      </c>
      <c r="E16" s="22" t="s">
        <v>90</v>
      </c>
      <c r="F16" s="19">
        <v>6</v>
      </c>
      <c r="G16" s="19">
        <v>8</v>
      </c>
      <c r="H16" s="19">
        <f t="shared" ref="H16:H79" si="0">F16+G16</f>
        <v>14</v>
      </c>
      <c r="I16" s="19" t="str">
        <f t="shared" ref="I16:I79" si="1">IF(H16&lt;35,"FAIL","PASS")</f>
        <v>FAIL</v>
      </c>
      <c r="J16" s="19" t="str">
        <f t="shared" ref="J16:J79" si="2">IF(H16&lt;35,"0","1")</f>
        <v>0</v>
      </c>
      <c r="L16" s="1" t="s">
        <v>673</v>
      </c>
      <c r="M16" s="1">
        <f>COUNTIF(I16:I115,"PASS")</f>
        <v>64</v>
      </c>
    </row>
    <row r="17" ht="14.25" customHeight="1" spans="4:14">
      <c r="D17" s="19">
        <v>2</v>
      </c>
      <c r="E17" s="22" t="s">
        <v>97</v>
      </c>
      <c r="F17" s="19">
        <v>53</v>
      </c>
      <c r="G17" s="19">
        <v>20</v>
      </c>
      <c r="H17" s="19">
        <f t="shared" si="0"/>
        <v>73</v>
      </c>
      <c r="I17" s="19" t="str">
        <f t="shared" si="1"/>
        <v>PASS</v>
      </c>
      <c r="J17" s="19" t="str">
        <f t="shared" si="2"/>
        <v>1</v>
      </c>
      <c r="L17" s="1" t="s">
        <v>655</v>
      </c>
      <c r="M17" s="1">
        <f>COUNTIF(I16:I115,"FAIL")</f>
        <v>36</v>
      </c>
    </row>
    <row r="18" ht="14.25" customHeight="1" spans="4:14">
      <c r="D18" s="19">
        <v>3</v>
      </c>
      <c r="E18" s="22" t="s">
        <v>102</v>
      </c>
      <c r="F18" s="19">
        <v>12</v>
      </c>
      <c r="G18" s="19">
        <v>11</v>
      </c>
      <c r="H18" s="19">
        <f t="shared" si="0"/>
        <v>23</v>
      </c>
      <c r="I18" s="19" t="str">
        <f t="shared" si="1"/>
        <v>FAIL</v>
      </c>
      <c r="J18" s="19" t="str">
        <f t="shared" si="2"/>
        <v>0</v>
      </c>
    </row>
    <row r="19" ht="14.25" customHeight="1" spans="4:14">
      <c r="D19" s="19">
        <v>4</v>
      </c>
      <c r="E19" s="22" t="s">
        <v>107</v>
      </c>
      <c r="F19" s="19">
        <v>61</v>
      </c>
      <c r="G19" s="19">
        <v>27</v>
      </c>
      <c r="H19" s="19">
        <f t="shared" si="0"/>
        <v>88</v>
      </c>
      <c r="I19" s="19" t="str">
        <f t="shared" si="1"/>
        <v>PASS</v>
      </c>
      <c r="J19" s="19" t="str">
        <f t="shared" si="2"/>
        <v>1</v>
      </c>
    </row>
    <row r="20" ht="14.25" customHeight="1" spans="4:14">
      <c r="D20" s="19">
        <v>5</v>
      </c>
      <c r="E20" s="22" t="s">
        <v>112</v>
      </c>
      <c r="F20" s="19">
        <v>55</v>
      </c>
      <c r="G20" s="19">
        <v>23</v>
      </c>
      <c r="H20" s="19">
        <f t="shared" si="0"/>
        <v>78</v>
      </c>
      <c r="I20" s="19" t="str">
        <f t="shared" si="1"/>
        <v>PASS</v>
      </c>
      <c r="J20" s="19" t="str">
        <f t="shared" si="2"/>
        <v>1</v>
      </c>
    </row>
    <row r="21" ht="14.25" customHeight="1" spans="4:14">
      <c r="D21" s="19">
        <v>6</v>
      </c>
      <c r="E21" s="22" t="s">
        <v>117</v>
      </c>
      <c r="F21" s="19">
        <v>31</v>
      </c>
      <c r="G21" s="19">
        <v>0</v>
      </c>
      <c r="H21" s="19">
        <f t="shared" si="0"/>
        <v>31</v>
      </c>
      <c r="I21" s="19" t="str">
        <f t="shared" si="1"/>
        <v>FAIL</v>
      </c>
      <c r="J21" s="19" t="str">
        <f t="shared" si="2"/>
        <v>0</v>
      </c>
      <c r="N21" s="10"/>
    </row>
    <row r="22" ht="14.25" customHeight="1" spans="4:14">
      <c r="D22" s="19">
        <v>7</v>
      </c>
      <c r="E22" s="22" t="s">
        <v>122</v>
      </c>
      <c r="F22" s="19">
        <v>0</v>
      </c>
      <c r="G22" s="19">
        <v>21</v>
      </c>
      <c r="H22" s="19">
        <f t="shared" si="0"/>
        <v>21</v>
      </c>
      <c r="I22" s="19" t="str">
        <f t="shared" si="1"/>
        <v>FAIL</v>
      </c>
      <c r="J22" s="19" t="str">
        <f t="shared" si="2"/>
        <v>0</v>
      </c>
      <c r="L22" s="10"/>
      <c r="M22" s="10"/>
      <c r="N22" s="10"/>
    </row>
    <row r="23" ht="14.25" customHeight="1" spans="4:14">
      <c r="D23" s="19">
        <v>8</v>
      </c>
      <c r="E23" s="22" t="s">
        <v>127</v>
      </c>
      <c r="F23" s="19">
        <v>23</v>
      </c>
      <c r="G23" s="19">
        <v>22</v>
      </c>
      <c r="H23" s="19">
        <f t="shared" si="0"/>
        <v>45</v>
      </c>
      <c r="I23" s="19" t="str">
        <f t="shared" si="1"/>
        <v>PASS</v>
      </c>
      <c r="J23" s="19" t="str">
        <f t="shared" si="2"/>
        <v>1</v>
      </c>
      <c r="L23" s="10"/>
      <c r="M23" s="10"/>
      <c r="N23" s="10"/>
    </row>
    <row r="24" ht="14.25" customHeight="1" spans="4:14">
      <c r="D24" s="19">
        <v>9</v>
      </c>
      <c r="E24" s="22" t="s">
        <v>132</v>
      </c>
      <c r="F24" s="19">
        <v>30</v>
      </c>
      <c r="G24" s="19">
        <v>14</v>
      </c>
      <c r="H24" s="19">
        <f t="shared" si="0"/>
        <v>44</v>
      </c>
      <c r="I24" s="19" t="str">
        <f t="shared" si="1"/>
        <v>PASS</v>
      </c>
      <c r="J24" s="19" t="str">
        <f t="shared" si="2"/>
        <v>1</v>
      </c>
      <c r="L24" s="10"/>
      <c r="M24" s="10"/>
      <c r="N24" s="10"/>
    </row>
    <row r="25" ht="14.25" customHeight="1" spans="4:14">
      <c r="D25" s="19">
        <v>10</v>
      </c>
      <c r="E25" s="22" t="s">
        <v>137</v>
      </c>
      <c r="F25" s="19">
        <v>51</v>
      </c>
      <c r="G25" s="19">
        <v>19</v>
      </c>
      <c r="H25" s="19">
        <f t="shared" si="0"/>
        <v>70</v>
      </c>
      <c r="I25" s="19" t="str">
        <f t="shared" si="1"/>
        <v>PASS</v>
      </c>
      <c r="J25" s="19" t="str">
        <f t="shared" si="2"/>
        <v>1</v>
      </c>
      <c r="L25" s="10"/>
      <c r="M25" s="10"/>
      <c r="N25" s="10"/>
    </row>
    <row r="26" ht="14.25" customHeight="1" spans="4:14">
      <c r="D26" s="19">
        <v>11</v>
      </c>
      <c r="E26" s="22" t="s">
        <v>141</v>
      </c>
      <c r="F26" s="19">
        <v>20</v>
      </c>
      <c r="G26" s="19">
        <v>2</v>
      </c>
      <c r="H26" s="19">
        <f t="shared" si="0"/>
        <v>22</v>
      </c>
      <c r="I26" s="19" t="str">
        <f t="shared" si="1"/>
        <v>FAIL</v>
      </c>
      <c r="J26" s="19" t="str">
        <f t="shared" si="2"/>
        <v>0</v>
      </c>
      <c r="L26" s="10"/>
      <c r="M26" s="10"/>
      <c r="N26" s="10"/>
    </row>
    <row r="27" ht="14.25" customHeight="1" spans="4:14">
      <c r="D27" s="19">
        <v>12</v>
      </c>
      <c r="E27" s="22" t="s">
        <v>146</v>
      </c>
      <c r="F27" s="19">
        <v>7</v>
      </c>
      <c r="G27" s="19">
        <v>27</v>
      </c>
      <c r="H27" s="19">
        <f t="shared" si="0"/>
        <v>34</v>
      </c>
      <c r="I27" s="19" t="str">
        <f t="shared" si="1"/>
        <v>FAIL</v>
      </c>
      <c r="J27" s="19" t="str">
        <f t="shared" si="2"/>
        <v>0</v>
      </c>
      <c r="L27" s="10"/>
      <c r="M27" s="10"/>
      <c r="N27" s="10"/>
    </row>
    <row r="28" ht="14.25" customHeight="1" spans="4:14">
      <c r="D28" s="19">
        <v>13</v>
      </c>
      <c r="E28" s="22" t="s">
        <v>151</v>
      </c>
      <c r="F28" s="19">
        <v>26</v>
      </c>
      <c r="G28" s="19">
        <v>12</v>
      </c>
      <c r="H28" s="19">
        <f t="shared" si="0"/>
        <v>38</v>
      </c>
      <c r="I28" s="19" t="str">
        <f t="shared" si="1"/>
        <v>PASS</v>
      </c>
      <c r="J28" s="19" t="str">
        <f t="shared" si="2"/>
        <v>1</v>
      </c>
      <c r="L28" s="10"/>
      <c r="M28" s="10"/>
      <c r="N28" s="10"/>
    </row>
    <row r="29" ht="14.25" customHeight="1" spans="4:14">
      <c r="D29" s="19">
        <v>14</v>
      </c>
      <c r="E29" s="22" t="s">
        <v>156</v>
      </c>
      <c r="F29" s="19">
        <v>33</v>
      </c>
      <c r="G29" s="19">
        <v>7</v>
      </c>
      <c r="H29" s="19">
        <f t="shared" si="0"/>
        <v>40</v>
      </c>
      <c r="I29" s="19" t="str">
        <f t="shared" si="1"/>
        <v>PASS</v>
      </c>
      <c r="J29" s="19" t="str">
        <f t="shared" si="2"/>
        <v>1</v>
      </c>
      <c r="L29" s="10"/>
      <c r="M29" s="10"/>
      <c r="N29" s="10"/>
    </row>
    <row r="30" ht="14.25" customHeight="1" spans="4:14">
      <c r="D30" s="19">
        <v>15</v>
      </c>
      <c r="E30" s="22" t="s">
        <v>161</v>
      </c>
      <c r="F30" s="19">
        <v>46</v>
      </c>
      <c r="G30" s="19">
        <v>1</v>
      </c>
      <c r="H30" s="19">
        <f t="shared" si="0"/>
        <v>47</v>
      </c>
      <c r="I30" s="19" t="str">
        <f t="shared" si="1"/>
        <v>PASS</v>
      </c>
      <c r="J30" s="19" t="str">
        <f t="shared" si="2"/>
        <v>1</v>
      </c>
      <c r="L30" s="10"/>
      <c r="M30" s="10"/>
      <c r="N30" s="10"/>
    </row>
    <row r="31" ht="14.25" customHeight="1" spans="4:14">
      <c r="D31" s="19">
        <v>16</v>
      </c>
      <c r="E31" s="22" t="s">
        <v>166</v>
      </c>
      <c r="F31" s="19">
        <v>67</v>
      </c>
      <c r="G31" s="19">
        <v>12</v>
      </c>
      <c r="H31" s="19">
        <f t="shared" si="0"/>
        <v>79</v>
      </c>
      <c r="I31" s="19" t="str">
        <f t="shared" si="1"/>
        <v>PASS</v>
      </c>
      <c r="J31" s="19" t="str">
        <f t="shared" si="2"/>
        <v>1</v>
      </c>
      <c r="L31" s="10"/>
      <c r="M31" s="10"/>
      <c r="N31" s="10"/>
    </row>
    <row r="32" ht="14.25" customHeight="1" spans="4:14">
      <c r="D32" s="19">
        <v>17</v>
      </c>
      <c r="E32" s="22" t="s">
        <v>171</v>
      </c>
      <c r="F32" s="19">
        <v>15</v>
      </c>
      <c r="G32" s="19">
        <v>6</v>
      </c>
      <c r="H32" s="19">
        <f t="shared" si="0"/>
        <v>21</v>
      </c>
      <c r="I32" s="19" t="str">
        <f t="shared" si="1"/>
        <v>FAIL</v>
      </c>
      <c r="J32" s="19" t="str">
        <f t="shared" si="2"/>
        <v>0</v>
      </c>
      <c r="L32" s="10"/>
      <c r="M32" s="10"/>
      <c r="N32" s="10"/>
    </row>
    <row r="33" ht="14.25" customHeight="1" spans="4:14">
      <c r="D33" s="19">
        <v>18</v>
      </c>
      <c r="E33" s="22" t="s">
        <v>176</v>
      </c>
      <c r="F33" s="19">
        <v>42</v>
      </c>
      <c r="G33" s="19">
        <v>25</v>
      </c>
      <c r="H33" s="19">
        <f t="shared" si="0"/>
        <v>67</v>
      </c>
      <c r="I33" s="19" t="str">
        <f t="shared" si="1"/>
        <v>PASS</v>
      </c>
      <c r="J33" s="19" t="str">
        <f t="shared" si="2"/>
        <v>1</v>
      </c>
      <c r="L33" s="10"/>
      <c r="M33" s="10"/>
      <c r="N33" s="10"/>
    </row>
    <row r="34" ht="14.25" customHeight="1" spans="4:14">
      <c r="D34" s="19">
        <v>19</v>
      </c>
      <c r="E34" s="22" t="s">
        <v>181</v>
      </c>
      <c r="F34" s="19">
        <v>25</v>
      </c>
      <c r="G34" s="19">
        <v>5</v>
      </c>
      <c r="H34" s="19">
        <f t="shared" si="0"/>
        <v>30</v>
      </c>
      <c r="I34" s="19" t="str">
        <f t="shared" si="1"/>
        <v>FAIL</v>
      </c>
      <c r="J34" s="19" t="str">
        <f t="shared" si="2"/>
        <v>0</v>
      </c>
      <c r="L34" s="10"/>
      <c r="M34" s="10"/>
      <c r="N34" s="10"/>
    </row>
    <row r="35" ht="14.25" customHeight="1" spans="4:14">
      <c r="D35" s="19">
        <v>20</v>
      </c>
      <c r="E35" s="22" t="s">
        <v>186</v>
      </c>
      <c r="F35" s="19">
        <v>46</v>
      </c>
      <c r="G35" s="19">
        <v>20</v>
      </c>
      <c r="H35" s="19">
        <f t="shared" si="0"/>
        <v>66</v>
      </c>
      <c r="I35" s="19" t="str">
        <f t="shared" si="1"/>
        <v>PASS</v>
      </c>
      <c r="J35" s="19" t="str">
        <f t="shared" si="2"/>
        <v>1</v>
      </c>
      <c r="L35" s="10"/>
      <c r="M35" s="10"/>
      <c r="N35" s="10"/>
    </row>
    <row r="36" ht="14.25" customHeight="1" spans="4:14">
      <c r="D36" s="19">
        <f>'SUB-1'!D35</f>
        <v>21</v>
      </c>
      <c r="E36" s="22" t="str">
        <f>'SUB-1'!E35</f>
        <v>BTMC24O1021</v>
      </c>
      <c r="F36" s="19">
        <v>69</v>
      </c>
      <c r="G36" s="19">
        <v>28</v>
      </c>
      <c r="H36" s="19">
        <f t="shared" si="0"/>
        <v>97</v>
      </c>
      <c r="I36" s="19" t="str">
        <f t="shared" si="1"/>
        <v>PASS</v>
      </c>
      <c r="J36" s="19" t="str">
        <f t="shared" si="2"/>
        <v>1</v>
      </c>
    </row>
    <row r="37" ht="14.25" customHeight="1" spans="4:14">
      <c r="D37" s="19">
        <f>'SUB-1'!D36</f>
        <v>22</v>
      </c>
      <c r="E37" s="22" t="str">
        <f>'SUB-1'!E36</f>
        <v>BTMC24O1022</v>
      </c>
      <c r="F37" s="19">
        <v>36</v>
      </c>
      <c r="G37" s="19">
        <v>8</v>
      </c>
      <c r="H37" s="19">
        <f t="shared" si="0"/>
        <v>44</v>
      </c>
      <c r="I37" s="19" t="str">
        <f t="shared" si="1"/>
        <v>PASS</v>
      </c>
      <c r="J37" s="19" t="str">
        <f t="shared" si="2"/>
        <v>1</v>
      </c>
    </row>
    <row r="38" ht="14.25" customHeight="1" spans="4:14">
      <c r="D38" s="19">
        <f>'SUB-1'!D37</f>
        <v>23</v>
      </c>
      <c r="E38" s="22" t="str">
        <f>'SUB-1'!E37</f>
        <v>BTMC24O1023</v>
      </c>
      <c r="F38" s="19">
        <v>22</v>
      </c>
      <c r="G38" s="19">
        <v>3</v>
      </c>
      <c r="H38" s="19">
        <f t="shared" si="0"/>
        <v>25</v>
      </c>
      <c r="I38" s="19" t="str">
        <f t="shared" si="1"/>
        <v>FAIL</v>
      </c>
      <c r="J38" s="19" t="str">
        <f t="shared" si="2"/>
        <v>0</v>
      </c>
    </row>
    <row r="39" ht="14.25" customHeight="1" spans="4:14">
      <c r="D39" s="19">
        <f>'SUB-1'!D38</f>
        <v>24</v>
      </c>
      <c r="E39" s="22" t="str">
        <f>'SUB-1'!E38</f>
        <v>BTMC24O1024</v>
      </c>
      <c r="F39" s="19">
        <v>68</v>
      </c>
      <c r="G39" s="19">
        <v>29</v>
      </c>
      <c r="H39" s="19">
        <f t="shared" si="0"/>
        <v>97</v>
      </c>
      <c r="I39" s="19" t="str">
        <f t="shared" si="1"/>
        <v>PASS</v>
      </c>
      <c r="J39" s="19" t="str">
        <f t="shared" si="2"/>
        <v>1</v>
      </c>
    </row>
    <row r="40" ht="14.25" customHeight="1" spans="4:14">
      <c r="D40" s="19">
        <f>'SUB-1'!D39</f>
        <v>25</v>
      </c>
      <c r="E40" s="22" t="str">
        <f>'SUB-1'!E39</f>
        <v>BTMC24O1025</v>
      </c>
      <c r="F40" s="19">
        <v>16</v>
      </c>
      <c r="G40" s="19">
        <v>23</v>
      </c>
      <c r="H40" s="19">
        <f t="shared" si="0"/>
        <v>39</v>
      </c>
      <c r="I40" s="19" t="str">
        <f t="shared" si="1"/>
        <v>PASS</v>
      </c>
      <c r="J40" s="19" t="str">
        <f t="shared" si="2"/>
        <v>1</v>
      </c>
    </row>
    <row r="41" ht="14.25" customHeight="1" spans="4:14">
      <c r="D41" s="19">
        <f>'SUB-1'!D40</f>
        <v>26</v>
      </c>
      <c r="E41" s="22" t="str">
        <f>'SUB-1'!E40</f>
        <v>BTMC24O1026</v>
      </c>
      <c r="F41" s="19">
        <v>6</v>
      </c>
      <c r="G41" s="19">
        <v>26</v>
      </c>
      <c r="H41" s="19">
        <f t="shared" si="0"/>
        <v>32</v>
      </c>
      <c r="I41" s="19" t="str">
        <f t="shared" si="1"/>
        <v>FAIL</v>
      </c>
      <c r="J41" s="19" t="str">
        <f t="shared" si="2"/>
        <v>0</v>
      </c>
    </row>
    <row r="42" ht="14.25" customHeight="1" spans="4:14">
      <c r="D42" s="19">
        <f>'SUB-1'!D41</f>
        <v>27</v>
      </c>
      <c r="E42" s="22" t="str">
        <f>'SUB-1'!E41</f>
        <v>BTMC24O1027</v>
      </c>
      <c r="F42" s="19">
        <v>51</v>
      </c>
      <c r="G42" s="19">
        <v>5</v>
      </c>
      <c r="H42" s="19">
        <f t="shared" si="0"/>
        <v>56</v>
      </c>
      <c r="I42" s="19" t="str">
        <f t="shared" si="1"/>
        <v>PASS</v>
      </c>
      <c r="J42" s="19" t="str">
        <f t="shared" si="2"/>
        <v>1</v>
      </c>
    </row>
    <row r="43" ht="14.25" customHeight="1" spans="4:14">
      <c r="D43" s="19">
        <f>'SUB-1'!D42</f>
        <v>28</v>
      </c>
      <c r="E43" s="22" t="str">
        <f>'SUB-1'!E42</f>
        <v>BTMC24O1028</v>
      </c>
      <c r="F43" s="19">
        <v>43</v>
      </c>
      <c r="G43" s="19">
        <v>30</v>
      </c>
      <c r="H43" s="19">
        <f t="shared" si="0"/>
        <v>73</v>
      </c>
      <c r="I43" s="19" t="str">
        <f t="shared" si="1"/>
        <v>PASS</v>
      </c>
      <c r="J43" s="19" t="str">
        <f t="shared" si="2"/>
        <v>1</v>
      </c>
    </row>
    <row r="44" ht="14.25" customHeight="1" spans="4:14">
      <c r="D44" s="19">
        <f>'SUB-1'!D43</f>
        <v>29</v>
      </c>
      <c r="E44" s="22" t="str">
        <f>'SUB-1'!E43</f>
        <v>BTMC24O1029</v>
      </c>
      <c r="F44" s="19">
        <v>18</v>
      </c>
      <c r="G44" s="19">
        <v>27</v>
      </c>
      <c r="H44" s="19">
        <f t="shared" si="0"/>
        <v>45</v>
      </c>
      <c r="I44" s="19" t="str">
        <f t="shared" si="1"/>
        <v>PASS</v>
      </c>
      <c r="J44" s="19" t="str">
        <f t="shared" si="2"/>
        <v>1</v>
      </c>
    </row>
    <row r="45" ht="14.25" customHeight="1" spans="4:14">
      <c r="D45" s="19">
        <f>'SUB-1'!D44</f>
        <v>30</v>
      </c>
      <c r="E45" s="22" t="str">
        <f>'SUB-1'!E44</f>
        <v>BTMC24O1030</v>
      </c>
      <c r="F45" s="19">
        <v>10</v>
      </c>
      <c r="G45" s="19">
        <v>20</v>
      </c>
      <c r="H45" s="19">
        <f t="shared" si="0"/>
        <v>30</v>
      </c>
      <c r="I45" s="19" t="str">
        <f t="shared" si="1"/>
        <v>FAIL</v>
      </c>
      <c r="J45" s="19" t="str">
        <f t="shared" si="2"/>
        <v>0</v>
      </c>
    </row>
    <row r="46" ht="14.25" customHeight="1" spans="4:14">
      <c r="D46" s="19">
        <f>'SUB-1'!D45</f>
        <v>31</v>
      </c>
      <c r="E46" s="22" t="str">
        <f>'SUB-1'!E45</f>
        <v>BTMC24O1031</v>
      </c>
      <c r="F46" s="19">
        <v>56</v>
      </c>
      <c r="G46" s="19">
        <v>22</v>
      </c>
      <c r="H46" s="19">
        <f t="shared" si="0"/>
        <v>78</v>
      </c>
      <c r="I46" s="19" t="str">
        <f t="shared" si="1"/>
        <v>PASS</v>
      </c>
      <c r="J46" s="19" t="str">
        <f t="shared" si="2"/>
        <v>1</v>
      </c>
    </row>
    <row r="47" ht="14.25" customHeight="1" spans="4:14">
      <c r="D47" s="19">
        <f>'SUB-1'!D46</f>
        <v>32</v>
      </c>
      <c r="E47" s="22" t="str">
        <f>'SUB-1'!E46</f>
        <v>BTMC24O1032</v>
      </c>
      <c r="F47" s="19">
        <v>40</v>
      </c>
      <c r="G47" s="19">
        <v>5</v>
      </c>
      <c r="H47" s="19">
        <f t="shared" si="0"/>
        <v>45</v>
      </c>
      <c r="I47" s="19" t="str">
        <f t="shared" si="1"/>
        <v>PASS</v>
      </c>
      <c r="J47" s="19" t="str">
        <f t="shared" si="2"/>
        <v>1</v>
      </c>
    </row>
    <row r="48" ht="14.25" customHeight="1" spans="4:14">
      <c r="D48" s="19">
        <f>'SUB-1'!D47</f>
        <v>33</v>
      </c>
      <c r="E48" s="22" t="str">
        <f>'SUB-1'!E47</f>
        <v>BTMC24O1033</v>
      </c>
      <c r="F48" s="19">
        <v>41</v>
      </c>
      <c r="G48" s="19">
        <v>10</v>
      </c>
      <c r="H48" s="19">
        <f t="shared" si="0"/>
        <v>51</v>
      </c>
      <c r="I48" s="19" t="str">
        <f t="shared" si="1"/>
        <v>PASS</v>
      </c>
      <c r="J48" s="19" t="str">
        <f t="shared" si="2"/>
        <v>1</v>
      </c>
    </row>
    <row r="49" ht="14.25" customHeight="1" spans="4:10">
      <c r="D49" s="19">
        <f>'SUB-1'!D48</f>
        <v>34</v>
      </c>
      <c r="E49" s="22" t="str">
        <f>'SUB-1'!E48</f>
        <v>BTMC24O1034</v>
      </c>
      <c r="F49" s="19">
        <v>9</v>
      </c>
      <c r="G49" s="19">
        <v>8</v>
      </c>
      <c r="H49" s="19">
        <f t="shared" si="0"/>
        <v>17</v>
      </c>
      <c r="I49" s="19" t="str">
        <f t="shared" si="1"/>
        <v>FAIL</v>
      </c>
      <c r="J49" s="19" t="str">
        <f t="shared" si="2"/>
        <v>0</v>
      </c>
    </row>
    <row r="50" ht="14.25" customHeight="1" spans="4:10">
      <c r="D50" s="19">
        <f>'SUB-1'!D49</f>
        <v>35</v>
      </c>
      <c r="E50" s="22" t="str">
        <f>'SUB-1'!E49</f>
        <v>BTMC24O1035</v>
      </c>
      <c r="F50" s="19">
        <v>33</v>
      </c>
      <c r="G50" s="19">
        <v>0</v>
      </c>
      <c r="H50" s="19">
        <f t="shared" si="0"/>
        <v>33</v>
      </c>
      <c r="I50" s="19" t="str">
        <f t="shared" si="1"/>
        <v>FAIL</v>
      </c>
      <c r="J50" s="19" t="str">
        <f t="shared" si="2"/>
        <v>0</v>
      </c>
    </row>
    <row r="51" ht="14.25" customHeight="1" spans="4:10">
      <c r="D51" s="19">
        <f>'SUB-1'!D50</f>
        <v>36</v>
      </c>
      <c r="E51" s="22" t="str">
        <f>'SUB-1'!E50</f>
        <v>BTMC24O1036</v>
      </c>
      <c r="F51" s="19">
        <v>33</v>
      </c>
      <c r="G51" s="19">
        <v>3</v>
      </c>
      <c r="H51" s="19">
        <f t="shared" si="0"/>
        <v>36</v>
      </c>
      <c r="I51" s="19" t="str">
        <f t="shared" si="1"/>
        <v>PASS</v>
      </c>
      <c r="J51" s="19" t="str">
        <f t="shared" si="2"/>
        <v>1</v>
      </c>
    </row>
    <row r="52" ht="14.25" customHeight="1" spans="4:10">
      <c r="D52" s="19">
        <f>'SUB-1'!D51</f>
        <v>37</v>
      </c>
      <c r="E52" s="22" t="str">
        <f>'SUB-1'!E51</f>
        <v>BTMC24O1037</v>
      </c>
      <c r="F52" s="19">
        <v>56</v>
      </c>
      <c r="G52" s="19">
        <v>17</v>
      </c>
      <c r="H52" s="19">
        <f t="shared" si="0"/>
        <v>73</v>
      </c>
      <c r="I52" s="19" t="str">
        <f t="shared" si="1"/>
        <v>PASS</v>
      </c>
      <c r="J52" s="19" t="str">
        <f t="shared" si="2"/>
        <v>1</v>
      </c>
    </row>
    <row r="53" ht="14.25" customHeight="1" spans="4:10">
      <c r="D53" s="19">
        <f>'SUB-1'!D52</f>
        <v>38</v>
      </c>
      <c r="E53" s="22" t="str">
        <f>'SUB-1'!E52</f>
        <v>BTMC24O1038</v>
      </c>
      <c r="F53" s="19">
        <v>38</v>
      </c>
      <c r="G53" s="19">
        <v>9</v>
      </c>
      <c r="H53" s="19">
        <f t="shared" si="0"/>
        <v>47</v>
      </c>
      <c r="I53" s="19" t="str">
        <f t="shared" si="1"/>
        <v>PASS</v>
      </c>
      <c r="J53" s="19" t="str">
        <f t="shared" si="2"/>
        <v>1</v>
      </c>
    </row>
    <row r="54" ht="14.25" customHeight="1" spans="4:10">
      <c r="D54" s="19">
        <f>'SUB-1'!D53</f>
        <v>39</v>
      </c>
      <c r="E54" s="22" t="str">
        <f>'SUB-1'!E53</f>
        <v>BTMC24O1039</v>
      </c>
      <c r="F54" s="19">
        <v>65</v>
      </c>
      <c r="G54" s="19">
        <v>0</v>
      </c>
      <c r="H54" s="19">
        <f t="shared" si="0"/>
        <v>65</v>
      </c>
      <c r="I54" s="19" t="str">
        <f t="shared" si="1"/>
        <v>PASS</v>
      </c>
      <c r="J54" s="19" t="str">
        <f t="shared" si="2"/>
        <v>1</v>
      </c>
    </row>
    <row r="55" ht="14.25" customHeight="1" spans="4:10">
      <c r="D55" s="19">
        <f>'SUB-1'!D54</f>
        <v>40</v>
      </c>
      <c r="E55" s="22" t="str">
        <f>'SUB-1'!E54</f>
        <v>BTMC24O1040</v>
      </c>
      <c r="F55" s="19">
        <v>6</v>
      </c>
      <c r="G55" s="19">
        <v>18</v>
      </c>
      <c r="H55" s="19">
        <f t="shared" si="0"/>
        <v>24</v>
      </c>
      <c r="I55" s="19" t="str">
        <f t="shared" si="1"/>
        <v>FAIL</v>
      </c>
      <c r="J55" s="19" t="str">
        <f t="shared" si="2"/>
        <v>0</v>
      </c>
    </row>
    <row r="56" ht="14.25" customHeight="1" spans="4:10">
      <c r="D56" s="19">
        <f>'SUB-1'!D55</f>
        <v>41</v>
      </c>
      <c r="E56" s="22" t="str">
        <f>'SUB-1'!E55</f>
        <v>BTMC24O1041</v>
      </c>
      <c r="F56" s="19">
        <v>24</v>
      </c>
      <c r="G56" s="19">
        <v>9</v>
      </c>
      <c r="H56" s="19">
        <f t="shared" si="0"/>
        <v>33</v>
      </c>
      <c r="I56" s="19" t="str">
        <f t="shared" si="1"/>
        <v>FAIL</v>
      </c>
      <c r="J56" s="19" t="str">
        <f t="shared" si="2"/>
        <v>0</v>
      </c>
    </row>
    <row r="57" ht="14.25" customHeight="1" spans="4:10">
      <c r="D57" s="19">
        <f>'SUB-1'!D56</f>
        <v>42</v>
      </c>
      <c r="E57" s="22" t="str">
        <f>'SUB-1'!E56</f>
        <v>BTMC24O1042</v>
      </c>
      <c r="F57" s="19">
        <v>64</v>
      </c>
      <c r="G57" s="19">
        <v>12</v>
      </c>
      <c r="H57" s="19">
        <f t="shared" si="0"/>
        <v>76</v>
      </c>
      <c r="I57" s="19" t="str">
        <f t="shared" si="1"/>
        <v>PASS</v>
      </c>
      <c r="J57" s="19" t="str">
        <f t="shared" si="2"/>
        <v>1</v>
      </c>
    </row>
    <row r="58" ht="14.25" customHeight="1" spans="4:10">
      <c r="D58" s="19">
        <f>'SUB-1'!D57</f>
        <v>43</v>
      </c>
      <c r="E58" s="22" t="str">
        <f>'SUB-1'!E57</f>
        <v>BTMC24O1043</v>
      </c>
      <c r="F58" s="19">
        <v>4</v>
      </c>
      <c r="G58" s="19">
        <v>26</v>
      </c>
      <c r="H58" s="19">
        <f t="shared" si="0"/>
        <v>30</v>
      </c>
      <c r="I58" s="19" t="str">
        <f t="shared" si="1"/>
        <v>FAIL</v>
      </c>
      <c r="J58" s="19" t="str">
        <f t="shared" si="2"/>
        <v>0</v>
      </c>
    </row>
    <row r="59" ht="14.25" customHeight="1" spans="4:10">
      <c r="D59" s="19">
        <f>'SUB-1'!D58</f>
        <v>44</v>
      </c>
      <c r="E59" s="22" t="str">
        <f>'SUB-1'!E58</f>
        <v>BTMC24O1044</v>
      </c>
      <c r="F59" s="19">
        <v>52</v>
      </c>
      <c r="G59" s="19">
        <v>20</v>
      </c>
      <c r="H59" s="19">
        <f t="shared" si="0"/>
        <v>72</v>
      </c>
      <c r="I59" s="19" t="str">
        <f t="shared" si="1"/>
        <v>PASS</v>
      </c>
      <c r="J59" s="19" t="str">
        <f t="shared" si="2"/>
        <v>1</v>
      </c>
    </row>
    <row r="60" ht="14.25" customHeight="1" spans="4:10">
      <c r="D60" s="19">
        <f>'SUB-1'!D59</f>
        <v>45</v>
      </c>
      <c r="E60" s="22" t="str">
        <f>'SUB-1'!E59</f>
        <v>BTMC24O1045</v>
      </c>
      <c r="F60" s="19">
        <v>60</v>
      </c>
      <c r="G60" s="19">
        <v>7</v>
      </c>
      <c r="H60" s="19">
        <f t="shared" si="0"/>
        <v>67</v>
      </c>
      <c r="I60" s="19" t="str">
        <f t="shared" si="1"/>
        <v>PASS</v>
      </c>
      <c r="J60" s="19" t="str">
        <f t="shared" si="2"/>
        <v>1</v>
      </c>
    </row>
    <row r="61" ht="14.25" customHeight="1" spans="4:10">
      <c r="D61" s="19">
        <f>'SUB-1'!D60</f>
        <v>46</v>
      </c>
      <c r="E61" s="22" t="str">
        <f>'SUB-1'!E60</f>
        <v>BTMC24O1046</v>
      </c>
      <c r="F61" s="19">
        <v>37</v>
      </c>
      <c r="G61" s="19">
        <v>27</v>
      </c>
      <c r="H61" s="19">
        <f t="shared" si="0"/>
        <v>64</v>
      </c>
      <c r="I61" s="19" t="str">
        <f t="shared" si="1"/>
        <v>PASS</v>
      </c>
      <c r="J61" s="19" t="str">
        <f t="shared" si="2"/>
        <v>1</v>
      </c>
    </row>
    <row r="62" ht="14.25" customHeight="1" spans="4:10">
      <c r="D62" s="19">
        <f>'SUB-1'!D61</f>
        <v>47</v>
      </c>
      <c r="E62" s="22" t="str">
        <f>'SUB-1'!E61</f>
        <v>BTMC24O1047</v>
      </c>
      <c r="F62" s="19">
        <v>21</v>
      </c>
      <c r="G62" s="19">
        <v>8</v>
      </c>
      <c r="H62" s="19">
        <f t="shared" si="0"/>
        <v>29</v>
      </c>
      <c r="I62" s="19" t="str">
        <f t="shared" si="1"/>
        <v>FAIL</v>
      </c>
      <c r="J62" s="19" t="str">
        <f t="shared" si="2"/>
        <v>0</v>
      </c>
    </row>
    <row r="63" ht="14.25" customHeight="1" spans="4:10">
      <c r="D63" s="19">
        <f>'SUB-1'!D62</f>
        <v>48</v>
      </c>
      <c r="E63" s="22" t="str">
        <f>'SUB-1'!E62</f>
        <v>BTMC24O1048</v>
      </c>
      <c r="F63" s="19">
        <v>11</v>
      </c>
      <c r="G63" s="19">
        <v>13</v>
      </c>
      <c r="H63" s="19">
        <f t="shared" si="0"/>
        <v>24</v>
      </c>
      <c r="I63" s="19" t="str">
        <f t="shared" si="1"/>
        <v>FAIL</v>
      </c>
      <c r="J63" s="19" t="str">
        <f t="shared" si="2"/>
        <v>0</v>
      </c>
    </row>
    <row r="64" ht="14.25" customHeight="1" spans="4:10">
      <c r="D64" s="19">
        <f>'SUB-1'!D63</f>
        <v>49</v>
      </c>
      <c r="E64" s="22" t="str">
        <f>'SUB-1'!E63</f>
        <v>BTMC24O1049</v>
      </c>
      <c r="F64" s="19">
        <v>12</v>
      </c>
      <c r="G64" s="19">
        <v>28</v>
      </c>
      <c r="H64" s="19">
        <f t="shared" si="0"/>
        <v>40</v>
      </c>
      <c r="I64" s="19" t="str">
        <f t="shared" si="1"/>
        <v>PASS</v>
      </c>
      <c r="J64" s="19" t="str">
        <f t="shared" si="2"/>
        <v>1</v>
      </c>
    </row>
    <row r="65" ht="14.25" customHeight="1" spans="4:10">
      <c r="D65" s="19">
        <f>'SUB-1'!D64</f>
        <v>50</v>
      </c>
      <c r="E65" s="22" t="str">
        <f>'SUB-1'!E64</f>
        <v>BTMC24O1050</v>
      </c>
      <c r="F65" s="19">
        <v>40</v>
      </c>
      <c r="G65" s="19">
        <v>15</v>
      </c>
      <c r="H65" s="19">
        <f t="shared" si="0"/>
        <v>55</v>
      </c>
      <c r="I65" s="19" t="str">
        <f t="shared" si="1"/>
        <v>PASS</v>
      </c>
      <c r="J65" s="19" t="str">
        <f t="shared" si="2"/>
        <v>1</v>
      </c>
    </row>
    <row r="66" ht="14.25" customHeight="1" spans="4:10">
      <c r="D66" s="19">
        <f>'SUB-1'!D65</f>
        <v>51</v>
      </c>
      <c r="E66" s="22" t="str">
        <f>'SUB-1'!E65</f>
        <v>BTMC24O1051</v>
      </c>
      <c r="F66" s="19">
        <v>22</v>
      </c>
      <c r="G66" s="19">
        <v>7</v>
      </c>
      <c r="H66" s="19">
        <f t="shared" si="0"/>
        <v>29</v>
      </c>
      <c r="I66" s="19" t="str">
        <f t="shared" si="1"/>
        <v>FAIL</v>
      </c>
      <c r="J66" s="19" t="str">
        <f t="shared" si="2"/>
        <v>0</v>
      </c>
    </row>
    <row r="67" ht="14.25" customHeight="1" spans="4:10">
      <c r="D67" s="19">
        <f>'SUB-1'!D66</f>
        <v>52</v>
      </c>
      <c r="E67" s="22" t="str">
        <f>'SUB-1'!E66</f>
        <v>BTMC24O1052</v>
      </c>
      <c r="F67" s="19">
        <v>9</v>
      </c>
      <c r="G67" s="19">
        <v>17</v>
      </c>
      <c r="H67" s="19">
        <f t="shared" si="0"/>
        <v>26</v>
      </c>
      <c r="I67" s="19" t="str">
        <f t="shared" si="1"/>
        <v>FAIL</v>
      </c>
      <c r="J67" s="19" t="str">
        <f t="shared" si="2"/>
        <v>0</v>
      </c>
    </row>
    <row r="68" ht="14.25" customHeight="1" spans="4:10">
      <c r="D68" s="19">
        <f>'SUB-1'!D67</f>
        <v>53</v>
      </c>
      <c r="E68" s="22" t="str">
        <f>'SUB-1'!E67</f>
        <v>BTMC24O1053</v>
      </c>
      <c r="F68" s="19">
        <v>21</v>
      </c>
      <c r="G68" s="19">
        <v>28</v>
      </c>
      <c r="H68" s="19">
        <f t="shared" si="0"/>
        <v>49</v>
      </c>
      <c r="I68" s="19" t="str">
        <f t="shared" si="1"/>
        <v>PASS</v>
      </c>
      <c r="J68" s="19" t="str">
        <f t="shared" si="2"/>
        <v>1</v>
      </c>
    </row>
    <row r="69" ht="14.25" customHeight="1" spans="4:10">
      <c r="D69" s="19">
        <f>'SUB-1'!D68</f>
        <v>54</v>
      </c>
      <c r="E69" s="22" t="str">
        <f>'SUB-1'!E68</f>
        <v>BTMC24O1054</v>
      </c>
      <c r="F69" s="19">
        <v>11</v>
      </c>
      <c r="G69" s="19">
        <v>17</v>
      </c>
      <c r="H69" s="19">
        <f t="shared" si="0"/>
        <v>28</v>
      </c>
      <c r="I69" s="19" t="str">
        <f t="shared" si="1"/>
        <v>FAIL</v>
      </c>
      <c r="J69" s="19" t="str">
        <f t="shared" si="2"/>
        <v>0</v>
      </c>
    </row>
    <row r="70" ht="14.25" customHeight="1" spans="4:10">
      <c r="D70" s="19">
        <f>'SUB-1'!D69</f>
        <v>55</v>
      </c>
      <c r="E70" s="22" t="str">
        <f>'SUB-1'!E69</f>
        <v>BTMC24O1055</v>
      </c>
      <c r="F70" s="19">
        <v>17</v>
      </c>
      <c r="G70" s="19">
        <v>14</v>
      </c>
      <c r="H70" s="19">
        <f t="shared" si="0"/>
        <v>31</v>
      </c>
      <c r="I70" s="19" t="str">
        <f t="shared" si="1"/>
        <v>FAIL</v>
      </c>
      <c r="J70" s="19" t="str">
        <f t="shared" si="2"/>
        <v>0</v>
      </c>
    </row>
    <row r="71" ht="14.25" customHeight="1" spans="4:10">
      <c r="D71" s="19">
        <f>'SUB-1'!D70</f>
        <v>56</v>
      </c>
      <c r="E71" s="22" t="str">
        <f>'SUB-1'!E70</f>
        <v>BTMC24O1056</v>
      </c>
      <c r="F71" s="19">
        <v>16</v>
      </c>
      <c r="G71" s="19">
        <v>5</v>
      </c>
      <c r="H71" s="19">
        <f t="shared" si="0"/>
        <v>21</v>
      </c>
      <c r="I71" s="19" t="str">
        <f t="shared" si="1"/>
        <v>FAIL</v>
      </c>
      <c r="J71" s="19" t="str">
        <f t="shared" si="2"/>
        <v>0</v>
      </c>
    </row>
    <row r="72" ht="14.25" customHeight="1" spans="4:10">
      <c r="D72" s="19">
        <f>'SUB-1'!D71</f>
        <v>57</v>
      </c>
      <c r="E72" s="22" t="str">
        <f>'SUB-1'!E71</f>
        <v>BTMC24O1057</v>
      </c>
      <c r="F72" s="19">
        <v>28</v>
      </c>
      <c r="G72" s="19">
        <v>29</v>
      </c>
      <c r="H72" s="19">
        <f t="shared" si="0"/>
        <v>57</v>
      </c>
      <c r="I72" s="19" t="str">
        <f t="shared" si="1"/>
        <v>PASS</v>
      </c>
      <c r="J72" s="19" t="str">
        <f t="shared" si="2"/>
        <v>1</v>
      </c>
    </row>
    <row r="73" ht="14.25" customHeight="1" spans="4:10">
      <c r="D73" s="19">
        <f>'SUB-1'!D72</f>
        <v>58</v>
      </c>
      <c r="E73" s="22" t="str">
        <f>'SUB-1'!E72</f>
        <v>BTMC24O1058</v>
      </c>
      <c r="F73" s="19">
        <v>60</v>
      </c>
      <c r="G73" s="19">
        <v>21</v>
      </c>
      <c r="H73" s="19">
        <f t="shared" si="0"/>
        <v>81</v>
      </c>
      <c r="I73" s="19" t="str">
        <f t="shared" si="1"/>
        <v>PASS</v>
      </c>
      <c r="J73" s="19" t="str">
        <f t="shared" si="2"/>
        <v>1</v>
      </c>
    </row>
    <row r="74" ht="14.25" customHeight="1" spans="4:10">
      <c r="D74" s="19">
        <f>'SUB-1'!D73</f>
        <v>59</v>
      </c>
      <c r="E74" s="22" t="str">
        <f>'SUB-1'!E73</f>
        <v>BTMC24O1059</v>
      </c>
      <c r="F74" s="19">
        <v>47</v>
      </c>
      <c r="G74" s="19">
        <v>11</v>
      </c>
      <c r="H74" s="19">
        <f t="shared" si="0"/>
        <v>58</v>
      </c>
      <c r="I74" s="19" t="str">
        <f t="shared" si="1"/>
        <v>PASS</v>
      </c>
      <c r="J74" s="19" t="str">
        <f t="shared" si="2"/>
        <v>1</v>
      </c>
    </row>
    <row r="75" ht="14.25" customHeight="1" spans="4:10">
      <c r="D75" s="19">
        <f>'SUB-1'!D74</f>
        <v>60</v>
      </c>
      <c r="E75" s="22" t="str">
        <f>'SUB-1'!E74</f>
        <v>BTMC24O1060</v>
      </c>
      <c r="F75" s="19">
        <v>50</v>
      </c>
      <c r="G75" s="19">
        <v>10</v>
      </c>
      <c r="H75" s="19">
        <f t="shared" si="0"/>
        <v>60</v>
      </c>
      <c r="I75" s="19" t="str">
        <f t="shared" si="1"/>
        <v>PASS</v>
      </c>
      <c r="J75" s="19" t="str">
        <f t="shared" si="2"/>
        <v>1</v>
      </c>
    </row>
    <row r="76" ht="14.25" customHeight="1" spans="4:10">
      <c r="D76" s="19">
        <f>'SUB-1'!D75</f>
        <v>61</v>
      </c>
      <c r="E76" s="22" t="str">
        <f>'SUB-1'!E75</f>
        <v>BTMC24O1061</v>
      </c>
      <c r="F76" s="19">
        <v>59</v>
      </c>
      <c r="G76" s="19">
        <v>14</v>
      </c>
      <c r="H76" s="19">
        <f t="shared" si="0"/>
        <v>73</v>
      </c>
      <c r="I76" s="19" t="str">
        <f t="shared" si="1"/>
        <v>PASS</v>
      </c>
      <c r="J76" s="19" t="str">
        <f t="shared" si="2"/>
        <v>1</v>
      </c>
    </row>
    <row r="77" ht="14.25" customHeight="1" spans="4:10">
      <c r="D77" s="19">
        <f>'SUB-1'!D76</f>
        <v>62</v>
      </c>
      <c r="E77" s="22" t="str">
        <f>'SUB-1'!E76</f>
        <v>BTMC24O1062</v>
      </c>
      <c r="F77" s="19">
        <v>1</v>
      </c>
      <c r="G77" s="19">
        <v>21</v>
      </c>
      <c r="H77" s="19">
        <f t="shared" si="0"/>
        <v>22</v>
      </c>
      <c r="I77" s="19" t="str">
        <f t="shared" si="1"/>
        <v>FAIL</v>
      </c>
      <c r="J77" s="19" t="str">
        <f t="shared" si="2"/>
        <v>0</v>
      </c>
    </row>
    <row r="78" ht="14.25" customHeight="1" spans="4:10">
      <c r="D78" s="19">
        <f>'SUB-1'!D77</f>
        <v>63</v>
      </c>
      <c r="E78" s="22" t="str">
        <f>'SUB-1'!E77</f>
        <v>BTMC24O1063</v>
      </c>
      <c r="F78" s="19">
        <v>30</v>
      </c>
      <c r="G78" s="19">
        <v>1</v>
      </c>
      <c r="H78" s="19">
        <f t="shared" si="0"/>
        <v>31</v>
      </c>
      <c r="I78" s="19" t="str">
        <f t="shared" si="1"/>
        <v>FAIL</v>
      </c>
      <c r="J78" s="19" t="str">
        <f t="shared" si="2"/>
        <v>0</v>
      </c>
    </row>
    <row r="79" ht="14.25" customHeight="1" spans="4:10">
      <c r="D79" s="19">
        <f>'SUB-1'!D78</f>
        <v>64</v>
      </c>
      <c r="E79" s="22" t="str">
        <f>'SUB-1'!E78</f>
        <v>BTMC24O1064</v>
      </c>
      <c r="F79" s="19">
        <v>49</v>
      </c>
      <c r="G79" s="19">
        <v>28</v>
      </c>
      <c r="H79" s="19">
        <f t="shared" si="0"/>
        <v>77</v>
      </c>
      <c r="I79" s="19" t="str">
        <f t="shared" si="1"/>
        <v>PASS</v>
      </c>
      <c r="J79" s="19" t="str">
        <f t="shared" si="2"/>
        <v>1</v>
      </c>
    </row>
    <row r="80" ht="14.25" customHeight="1" spans="4:10">
      <c r="D80" s="19">
        <f>'SUB-1'!D79</f>
        <v>65</v>
      </c>
      <c r="E80" s="22" t="str">
        <f>'SUB-1'!E79</f>
        <v>BTMC24O1065</v>
      </c>
      <c r="F80" s="19">
        <v>42</v>
      </c>
      <c r="G80" s="19">
        <v>30</v>
      </c>
      <c r="H80" s="19">
        <f t="shared" ref="H80:H115" si="3">F80+G80</f>
        <v>72</v>
      </c>
      <c r="I80" s="19" t="str">
        <f t="shared" ref="I80:I115" si="4">IF(H80&lt;35,"FAIL","PASS")</f>
        <v>PASS</v>
      </c>
      <c r="J80" s="19" t="str">
        <f t="shared" ref="J80:J115" si="5">IF(H80&lt;35,"0","1")</f>
        <v>1</v>
      </c>
    </row>
    <row r="81" ht="14.25" customHeight="1" spans="4:10">
      <c r="D81" s="19">
        <f>'SUB-1'!D80</f>
        <v>66</v>
      </c>
      <c r="E81" s="22" t="str">
        <f>'SUB-1'!E80</f>
        <v>BTMC24O1066</v>
      </c>
      <c r="F81" s="19">
        <v>40</v>
      </c>
      <c r="G81" s="19">
        <v>11</v>
      </c>
      <c r="H81" s="19">
        <f t="shared" si="3"/>
        <v>51</v>
      </c>
      <c r="I81" s="19" t="str">
        <f t="shared" si="4"/>
        <v>PASS</v>
      </c>
      <c r="J81" s="19" t="str">
        <f t="shared" si="5"/>
        <v>1</v>
      </c>
    </row>
    <row r="82" ht="14.25" customHeight="1" spans="4:10">
      <c r="D82" s="19">
        <f>'SUB-1'!D81</f>
        <v>67</v>
      </c>
      <c r="E82" s="22" t="str">
        <f>'SUB-1'!E81</f>
        <v>BTMC24O1067</v>
      </c>
      <c r="F82" s="19">
        <v>11</v>
      </c>
      <c r="G82" s="19">
        <v>22</v>
      </c>
      <c r="H82" s="19">
        <f t="shared" si="3"/>
        <v>33</v>
      </c>
      <c r="I82" s="19" t="str">
        <f t="shared" si="4"/>
        <v>FAIL</v>
      </c>
      <c r="J82" s="19" t="str">
        <f t="shared" si="5"/>
        <v>0</v>
      </c>
    </row>
    <row r="83" ht="14.25" customHeight="1" spans="4:10">
      <c r="D83" s="19">
        <f>'SUB-1'!D82</f>
        <v>68</v>
      </c>
      <c r="E83" s="22" t="str">
        <f>'SUB-1'!E82</f>
        <v>BTMC24O1068</v>
      </c>
      <c r="F83" s="19">
        <v>55</v>
      </c>
      <c r="G83" s="19">
        <v>18</v>
      </c>
      <c r="H83" s="19">
        <f t="shared" si="3"/>
        <v>73</v>
      </c>
      <c r="I83" s="19" t="str">
        <f t="shared" si="4"/>
        <v>PASS</v>
      </c>
      <c r="J83" s="19" t="str">
        <f t="shared" si="5"/>
        <v>1</v>
      </c>
    </row>
    <row r="84" ht="14.25" customHeight="1" spans="4:10">
      <c r="D84" s="19">
        <f>'SUB-1'!D83</f>
        <v>69</v>
      </c>
      <c r="E84" s="22" t="str">
        <f>'SUB-1'!E83</f>
        <v>BTMC24O1069</v>
      </c>
      <c r="F84" s="19">
        <v>0</v>
      </c>
      <c r="G84" s="19">
        <v>15</v>
      </c>
      <c r="H84" s="19">
        <f t="shared" si="3"/>
        <v>15</v>
      </c>
      <c r="I84" s="19" t="str">
        <f t="shared" si="4"/>
        <v>FAIL</v>
      </c>
      <c r="J84" s="19" t="str">
        <f t="shared" si="5"/>
        <v>0</v>
      </c>
    </row>
    <row r="85" ht="14.25" customHeight="1" spans="4:10">
      <c r="D85" s="19">
        <f>'SUB-1'!D84</f>
        <v>70</v>
      </c>
      <c r="E85" s="22" t="str">
        <f>'SUB-1'!E84</f>
        <v>BTMC24O1070</v>
      </c>
      <c r="F85" s="19">
        <v>5</v>
      </c>
      <c r="G85" s="19">
        <v>25</v>
      </c>
      <c r="H85" s="19">
        <f t="shared" si="3"/>
        <v>30</v>
      </c>
      <c r="I85" s="19" t="str">
        <f t="shared" si="4"/>
        <v>FAIL</v>
      </c>
      <c r="J85" s="19" t="str">
        <f t="shared" si="5"/>
        <v>0</v>
      </c>
    </row>
    <row r="86" ht="14.25" customHeight="1" spans="4:10">
      <c r="D86" s="19">
        <f>'SUB-1'!D85</f>
        <v>71</v>
      </c>
      <c r="E86" s="22" t="str">
        <f>'SUB-1'!E85</f>
        <v>BTMC24O1071</v>
      </c>
      <c r="F86" s="19">
        <v>29</v>
      </c>
      <c r="G86" s="19">
        <v>7</v>
      </c>
      <c r="H86" s="19">
        <f t="shared" si="3"/>
        <v>36</v>
      </c>
      <c r="I86" s="19" t="str">
        <f t="shared" si="4"/>
        <v>PASS</v>
      </c>
      <c r="J86" s="19" t="str">
        <f t="shared" si="5"/>
        <v>1</v>
      </c>
    </row>
    <row r="87" ht="14.25" customHeight="1" spans="4:10">
      <c r="D87" s="19">
        <f>'SUB-1'!D86</f>
        <v>72</v>
      </c>
      <c r="E87" s="22" t="str">
        <f>'SUB-1'!E86</f>
        <v>BTMC24O1072</v>
      </c>
      <c r="F87" s="19">
        <v>45</v>
      </c>
      <c r="G87" s="19">
        <v>27</v>
      </c>
      <c r="H87" s="19">
        <f t="shared" si="3"/>
        <v>72</v>
      </c>
      <c r="I87" s="19" t="str">
        <f t="shared" si="4"/>
        <v>PASS</v>
      </c>
      <c r="J87" s="19" t="str">
        <f t="shared" si="5"/>
        <v>1</v>
      </c>
    </row>
    <row r="88" ht="14.25" customHeight="1" spans="4:10">
      <c r="D88" s="19">
        <f>'SUB-1'!D87</f>
        <v>73</v>
      </c>
      <c r="E88" s="22" t="str">
        <f>'SUB-1'!E87</f>
        <v>BTMC24O1073</v>
      </c>
      <c r="F88" s="19">
        <v>67</v>
      </c>
      <c r="G88" s="19">
        <v>11</v>
      </c>
      <c r="H88" s="19">
        <f t="shared" si="3"/>
        <v>78</v>
      </c>
      <c r="I88" s="19" t="str">
        <f t="shared" si="4"/>
        <v>PASS</v>
      </c>
      <c r="J88" s="19" t="str">
        <f t="shared" si="5"/>
        <v>1</v>
      </c>
    </row>
    <row r="89" ht="14.25" customHeight="1" spans="4:10">
      <c r="D89" s="19">
        <f>'SUB-1'!D88</f>
        <v>74</v>
      </c>
      <c r="E89" s="22" t="str">
        <f>'SUB-1'!E88</f>
        <v>BTMC24O1074</v>
      </c>
      <c r="F89" s="19">
        <v>5</v>
      </c>
      <c r="G89" s="19">
        <v>2</v>
      </c>
      <c r="H89" s="19">
        <f t="shared" si="3"/>
        <v>7</v>
      </c>
      <c r="I89" s="19" t="str">
        <f t="shared" si="4"/>
        <v>FAIL</v>
      </c>
      <c r="J89" s="19" t="str">
        <f t="shared" si="5"/>
        <v>0</v>
      </c>
    </row>
    <row r="90" ht="14.25" customHeight="1" spans="4:10">
      <c r="D90" s="19">
        <f>'SUB-1'!D89</f>
        <v>75</v>
      </c>
      <c r="E90" s="22" t="str">
        <f>'SUB-1'!E89</f>
        <v>BTMC24O1075</v>
      </c>
      <c r="F90" s="19">
        <v>50</v>
      </c>
      <c r="G90" s="19">
        <v>25</v>
      </c>
      <c r="H90" s="19">
        <f t="shared" si="3"/>
        <v>75</v>
      </c>
      <c r="I90" s="19" t="str">
        <f t="shared" si="4"/>
        <v>PASS</v>
      </c>
      <c r="J90" s="19" t="str">
        <f t="shared" si="5"/>
        <v>1</v>
      </c>
    </row>
    <row r="91" ht="14.25" customHeight="1" spans="4:10">
      <c r="D91" s="19">
        <f>'SUB-1'!D90</f>
        <v>76</v>
      </c>
      <c r="E91" s="22" t="str">
        <f>'SUB-1'!E90</f>
        <v>BTMC24O1076</v>
      </c>
      <c r="F91" s="19">
        <v>30</v>
      </c>
      <c r="G91" s="19">
        <v>8</v>
      </c>
      <c r="H91" s="19">
        <f t="shared" si="3"/>
        <v>38</v>
      </c>
      <c r="I91" s="19" t="str">
        <f t="shared" si="4"/>
        <v>PASS</v>
      </c>
      <c r="J91" s="19" t="str">
        <f t="shared" si="5"/>
        <v>1</v>
      </c>
    </row>
    <row r="92" ht="14.25" customHeight="1" spans="4:10">
      <c r="D92" s="19">
        <f>'SUB-1'!D91</f>
        <v>77</v>
      </c>
      <c r="E92" s="22" t="str">
        <f>'SUB-1'!E91</f>
        <v>BTMC24O1077</v>
      </c>
      <c r="F92" s="19">
        <v>38</v>
      </c>
      <c r="G92" s="19">
        <v>12</v>
      </c>
      <c r="H92" s="19">
        <f t="shared" si="3"/>
        <v>50</v>
      </c>
      <c r="I92" s="19" t="str">
        <f t="shared" si="4"/>
        <v>PASS</v>
      </c>
      <c r="J92" s="19" t="str">
        <f t="shared" si="5"/>
        <v>1</v>
      </c>
    </row>
    <row r="93" ht="14.25" customHeight="1" spans="4:10">
      <c r="D93" s="19">
        <f>'SUB-1'!D92</f>
        <v>78</v>
      </c>
      <c r="E93" s="22" t="str">
        <f>'SUB-1'!E92</f>
        <v>BTMC24O1078</v>
      </c>
      <c r="F93" s="19">
        <v>65</v>
      </c>
      <c r="G93" s="19">
        <v>15</v>
      </c>
      <c r="H93" s="19">
        <f t="shared" si="3"/>
        <v>80</v>
      </c>
      <c r="I93" s="19" t="str">
        <f t="shared" si="4"/>
        <v>PASS</v>
      </c>
      <c r="J93" s="19" t="str">
        <f t="shared" si="5"/>
        <v>1</v>
      </c>
    </row>
    <row r="94" ht="14.25" customHeight="1" spans="4:10">
      <c r="D94" s="19">
        <f>'SUB-1'!D93</f>
        <v>79</v>
      </c>
      <c r="E94" s="22" t="str">
        <f>'SUB-1'!E93</f>
        <v>BTMC24O1079</v>
      </c>
      <c r="F94" s="19">
        <v>40</v>
      </c>
      <c r="G94" s="19">
        <v>15</v>
      </c>
      <c r="H94" s="19">
        <f t="shared" si="3"/>
        <v>55</v>
      </c>
      <c r="I94" s="19" t="str">
        <f t="shared" si="4"/>
        <v>PASS</v>
      </c>
      <c r="J94" s="19" t="str">
        <f t="shared" si="5"/>
        <v>1</v>
      </c>
    </row>
    <row r="95" ht="14.25" customHeight="1" spans="4:10">
      <c r="D95" s="19">
        <f>'SUB-1'!D94</f>
        <v>80</v>
      </c>
      <c r="E95" s="22" t="str">
        <f>'SUB-1'!E94</f>
        <v>BTMC24O1080</v>
      </c>
      <c r="F95" s="19">
        <v>62</v>
      </c>
      <c r="G95" s="19">
        <v>4</v>
      </c>
      <c r="H95" s="19">
        <f t="shared" si="3"/>
        <v>66</v>
      </c>
      <c r="I95" s="19" t="str">
        <f t="shared" si="4"/>
        <v>PASS</v>
      </c>
      <c r="J95" s="19" t="str">
        <f t="shared" si="5"/>
        <v>1</v>
      </c>
    </row>
    <row r="96" ht="14.25" customHeight="1" spans="4:10">
      <c r="D96" s="19">
        <f>'SUB-1'!D95</f>
        <v>81</v>
      </c>
      <c r="E96" s="22" t="str">
        <f>'SUB-1'!E95</f>
        <v>BTMC24O1081</v>
      </c>
      <c r="F96" s="19">
        <v>56</v>
      </c>
      <c r="G96" s="19">
        <v>9</v>
      </c>
      <c r="H96" s="19">
        <f t="shared" si="3"/>
        <v>65</v>
      </c>
      <c r="I96" s="19" t="str">
        <f t="shared" si="4"/>
        <v>PASS</v>
      </c>
      <c r="J96" s="19" t="str">
        <f t="shared" si="5"/>
        <v>1</v>
      </c>
    </row>
    <row r="97" ht="14.25" customHeight="1" spans="4:10">
      <c r="D97" s="19">
        <f>'SUB-1'!D96</f>
        <v>82</v>
      </c>
      <c r="E97" s="22" t="str">
        <f>'SUB-1'!E96</f>
        <v>BTMC24O1082</v>
      </c>
      <c r="F97" s="19">
        <v>60</v>
      </c>
      <c r="G97" s="19">
        <v>4</v>
      </c>
      <c r="H97" s="19">
        <f t="shared" si="3"/>
        <v>64</v>
      </c>
      <c r="I97" s="19" t="str">
        <f t="shared" si="4"/>
        <v>PASS</v>
      </c>
      <c r="J97" s="19" t="str">
        <f t="shared" si="5"/>
        <v>1</v>
      </c>
    </row>
    <row r="98" ht="14.25" customHeight="1" spans="4:10">
      <c r="D98" s="19">
        <f>'SUB-1'!D97</f>
        <v>83</v>
      </c>
      <c r="E98" s="22" t="str">
        <f>'SUB-1'!E97</f>
        <v>BTMC24O1083</v>
      </c>
      <c r="F98" s="19">
        <v>5</v>
      </c>
      <c r="G98" s="19">
        <v>21</v>
      </c>
      <c r="H98" s="19">
        <f t="shared" si="3"/>
        <v>26</v>
      </c>
      <c r="I98" s="19" t="str">
        <f t="shared" si="4"/>
        <v>FAIL</v>
      </c>
      <c r="J98" s="19" t="str">
        <f t="shared" si="5"/>
        <v>0</v>
      </c>
    </row>
    <row r="99" ht="14.25" customHeight="1" spans="4:10">
      <c r="D99" s="19">
        <f>'SUB-1'!D98</f>
        <v>84</v>
      </c>
      <c r="E99" s="22" t="str">
        <f>'SUB-1'!E98</f>
        <v>BTMC24O1084</v>
      </c>
      <c r="F99" s="19">
        <v>8</v>
      </c>
      <c r="G99" s="19">
        <v>15</v>
      </c>
      <c r="H99" s="19">
        <f t="shared" si="3"/>
        <v>23</v>
      </c>
      <c r="I99" s="19" t="str">
        <f t="shared" si="4"/>
        <v>FAIL</v>
      </c>
      <c r="J99" s="19" t="str">
        <f t="shared" si="5"/>
        <v>0</v>
      </c>
    </row>
    <row r="100" ht="14.25" customHeight="1" spans="4:10">
      <c r="D100" s="19">
        <f>'SUB-1'!D99</f>
        <v>85</v>
      </c>
      <c r="E100" s="22" t="str">
        <f>'SUB-1'!E99</f>
        <v>BTMC24O1085</v>
      </c>
      <c r="F100" s="19">
        <v>28</v>
      </c>
      <c r="G100" s="19">
        <v>15</v>
      </c>
      <c r="H100" s="19">
        <f t="shared" si="3"/>
        <v>43</v>
      </c>
      <c r="I100" s="19" t="str">
        <f t="shared" si="4"/>
        <v>PASS</v>
      </c>
      <c r="J100" s="19" t="str">
        <f t="shared" si="5"/>
        <v>1</v>
      </c>
    </row>
    <row r="101" ht="14.25" customHeight="1" spans="4:10">
      <c r="D101" s="19">
        <f>'SUB-1'!D100</f>
        <v>86</v>
      </c>
      <c r="E101" s="22" t="str">
        <f>'SUB-1'!E100</f>
        <v>BTMC24O1086</v>
      </c>
      <c r="F101" s="19">
        <v>10</v>
      </c>
      <c r="G101" s="19">
        <v>27</v>
      </c>
      <c r="H101" s="19">
        <f t="shared" si="3"/>
        <v>37</v>
      </c>
      <c r="I101" s="19" t="str">
        <f t="shared" si="4"/>
        <v>PASS</v>
      </c>
      <c r="J101" s="19" t="str">
        <f t="shared" si="5"/>
        <v>1</v>
      </c>
    </row>
    <row r="102" ht="14.25" customHeight="1" spans="4:10">
      <c r="D102" s="19">
        <f>'SUB-1'!D101</f>
        <v>87</v>
      </c>
      <c r="E102" s="22" t="str">
        <f>'SUB-1'!E101</f>
        <v>BTMC24O1087</v>
      </c>
      <c r="F102" s="19">
        <v>70</v>
      </c>
      <c r="G102" s="19">
        <v>30</v>
      </c>
      <c r="H102" s="19">
        <f t="shared" si="3"/>
        <v>100</v>
      </c>
      <c r="I102" s="19" t="str">
        <f t="shared" si="4"/>
        <v>PASS</v>
      </c>
      <c r="J102" s="19" t="str">
        <f t="shared" si="5"/>
        <v>1</v>
      </c>
    </row>
    <row r="103" ht="14.25" customHeight="1" spans="4:10">
      <c r="D103" s="19">
        <f>'SUB-1'!D102</f>
        <v>88</v>
      </c>
      <c r="E103" s="22" t="str">
        <f>'SUB-1'!E102</f>
        <v>BTMC24O1088</v>
      </c>
      <c r="F103" s="19">
        <v>50</v>
      </c>
      <c r="G103" s="19">
        <v>27</v>
      </c>
      <c r="H103" s="19">
        <f t="shared" si="3"/>
        <v>77</v>
      </c>
      <c r="I103" s="19" t="str">
        <f t="shared" si="4"/>
        <v>PASS</v>
      </c>
      <c r="J103" s="19" t="str">
        <f t="shared" si="5"/>
        <v>1</v>
      </c>
    </row>
    <row r="104" ht="14.25" customHeight="1" spans="4:10">
      <c r="D104" s="19">
        <f>'SUB-1'!D103</f>
        <v>89</v>
      </c>
      <c r="E104" s="22" t="str">
        <f>'SUB-1'!E103</f>
        <v>BTMC24O1089</v>
      </c>
      <c r="F104" s="19">
        <v>3</v>
      </c>
      <c r="G104" s="19">
        <v>13</v>
      </c>
      <c r="H104" s="19">
        <f t="shared" si="3"/>
        <v>16</v>
      </c>
      <c r="I104" s="19" t="str">
        <f t="shared" si="4"/>
        <v>FAIL</v>
      </c>
      <c r="J104" s="19" t="str">
        <f t="shared" si="5"/>
        <v>0</v>
      </c>
    </row>
    <row r="105" ht="14.25" customHeight="1" spans="4:10">
      <c r="D105" s="19">
        <f>'SUB-1'!D104</f>
        <v>90</v>
      </c>
      <c r="E105" s="22" t="str">
        <f>'SUB-1'!E104</f>
        <v>BTMC24O1090</v>
      </c>
      <c r="F105" s="19">
        <v>51</v>
      </c>
      <c r="G105" s="19">
        <v>14</v>
      </c>
      <c r="H105" s="19">
        <f t="shared" si="3"/>
        <v>65</v>
      </c>
      <c r="I105" s="19" t="str">
        <f t="shared" si="4"/>
        <v>PASS</v>
      </c>
      <c r="J105" s="19" t="str">
        <f t="shared" si="5"/>
        <v>1</v>
      </c>
    </row>
    <row r="106" ht="14.25" customHeight="1" spans="4:10">
      <c r="D106" s="19">
        <f>'SUB-1'!D105</f>
        <v>91</v>
      </c>
      <c r="E106" s="22" t="str">
        <f>'SUB-1'!E105</f>
        <v>BTMC24O1091</v>
      </c>
      <c r="F106" s="19">
        <v>9</v>
      </c>
      <c r="G106" s="19">
        <v>16</v>
      </c>
      <c r="H106" s="19">
        <f t="shared" si="3"/>
        <v>25</v>
      </c>
      <c r="I106" s="19" t="str">
        <f t="shared" si="4"/>
        <v>FAIL</v>
      </c>
      <c r="J106" s="19" t="str">
        <f t="shared" si="5"/>
        <v>0</v>
      </c>
    </row>
    <row r="107" ht="14.25" customHeight="1" spans="4:10">
      <c r="D107" s="19">
        <f>'SUB-1'!D106</f>
        <v>92</v>
      </c>
      <c r="E107" s="22" t="str">
        <f>'SUB-1'!E106</f>
        <v>BTMC24O1092</v>
      </c>
      <c r="F107" s="19">
        <v>15</v>
      </c>
      <c r="G107" s="19">
        <v>8</v>
      </c>
      <c r="H107" s="19">
        <f t="shared" si="3"/>
        <v>23</v>
      </c>
      <c r="I107" s="19" t="str">
        <f t="shared" si="4"/>
        <v>FAIL</v>
      </c>
      <c r="J107" s="19" t="str">
        <f t="shared" si="5"/>
        <v>0</v>
      </c>
    </row>
    <row r="108" ht="14.25" customHeight="1" spans="4:10">
      <c r="D108" s="19">
        <f>'SUB-1'!D107</f>
        <v>93</v>
      </c>
      <c r="E108" s="22" t="str">
        <f>'SUB-1'!E107</f>
        <v>BTMC24O1093</v>
      </c>
      <c r="F108" s="19">
        <v>8</v>
      </c>
      <c r="G108" s="19">
        <v>16</v>
      </c>
      <c r="H108" s="19">
        <f t="shared" si="3"/>
        <v>24</v>
      </c>
      <c r="I108" s="19" t="str">
        <f t="shared" si="4"/>
        <v>FAIL</v>
      </c>
      <c r="J108" s="19" t="str">
        <f t="shared" si="5"/>
        <v>0</v>
      </c>
    </row>
    <row r="109" ht="14.25" customHeight="1" spans="4:10">
      <c r="D109" s="19">
        <f>'SUB-1'!D108</f>
        <v>94</v>
      </c>
      <c r="E109" s="22" t="str">
        <f>'SUB-1'!E108</f>
        <v>BTMC24O1094</v>
      </c>
      <c r="F109" s="19">
        <v>56</v>
      </c>
      <c r="G109" s="19">
        <v>6</v>
      </c>
      <c r="H109" s="19">
        <f t="shared" si="3"/>
        <v>62</v>
      </c>
      <c r="I109" s="19" t="str">
        <f t="shared" si="4"/>
        <v>PASS</v>
      </c>
      <c r="J109" s="19" t="str">
        <f t="shared" si="5"/>
        <v>1</v>
      </c>
    </row>
    <row r="110" ht="14.25" customHeight="1" spans="4:10">
      <c r="D110" s="19">
        <f>'SUB-1'!D109</f>
        <v>95</v>
      </c>
      <c r="E110" s="22" t="str">
        <f>'SUB-1'!E109</f>
        <v>BTMC24O1095</v>
      </c>
      <c r="F110" s="19">
        <v>68</v>
      </c>
      <c r="G110" s="19">
        <v>19</v>
      </c>
      <c r="H110" s="19">
        <f t="shared" si="3"/>
        <v>87</v>
      </c>
      <c r="I110" s="19" t="str">
        <f t="shared" si="4"/>
        <v>PASS</v>
      </c>
      <c r="J110" s="19" t="str">
        <f t="shared" si="5"/>
        <v>1</v>
      </c>
    </row>
    <row r="111" ht="14.25" customHeight="1" spans="4:10">
      <c r="D111" s="19">
        <f>'SUB-1'!D110</f>
        <v>96</v>
      </c>
      <c r="E111" s="22" t="str">
        <f>'SUB-1'!E110</f>
        <v>BTMC24O1096</v>
      </c>
      <c r="F111" s="19">
        <v>63</v>
      </c>
      <c r="G111" s="19">
        <v>19</v>
      </c>
      <c r="H111" s="19">
        <f t="shared" si="3"/>
        <v>82</v>
      </c>
      <c r="I111" s="19" t="str">
        <f t="shared" si="4"/>
        <v>PASS</v>
      </c>
      <c r="J111" s="19" t="str">
        <f t="shared" si="5"/>
        <v>1</v>
      </c>
    </row>
    <row r="112" ht="14.25" customHeight="1" spans="4:10">
      <c r="D112" s="19">
        <f>'SUB-1'!D111</f>
        <v>97</v>
      </c>
      <c r="E112" s="22" t="str">
        <f>'SUB-1'!E111</f>
        <v>BTMC24O1097</v>
      </c>
      <c r="F112" s="19">
        <v>67</v>
      </c>
      <c r="G112" s="19">
        <v>9</v>
      </c>
      <c r="H112" s="19">
        <f t="shared" si="3"/>
        <v>76</v>
      </c>
      <c r="I112" s="19" t="str">
        <f t="shared" si="4"/>
        <v>PASS</v>
      </c>
      <c r="J112" s="19" t="str">
        <f t="shared" si="5"/>
        <v>1</v>
      </c>
    </row>
    <row r="113" ht="14.25" customHeight="1" spans="4:10">
      <c r="D113" s="19">
        <f>'SUB-1'!D112</f>
        <v>98</v>
      </c>
      <c r="E113" s="22" t="str">
        <f>'SUB-1'!E112</f>
        <v>BTMC24O1098</v>
      </c>
      <c r="F113" s="19">
        <v>22</v>
      </c>
      <c r="G113" s="19">
        <v>19</v>
      </c>
      <c r="H113" s="19">
        <f t="shared" si="3"/>
        <v>41</v>
      </c>
      <c r="I113" s="19" t="str">
        <f t="shared" si="4"/>
        <v>PASS</v>
      </c>
      <c r="J113" s="19" t="str">
        <f t="shared" si="5"/>
        <v>1</v>
      </c>
    </row>
    <row r="114" ht="14.25" customHeight="1" spans="4:10">
      <c r="D114" s="19">
        <f>'SUB-1'!D113</f>
        <v>99</v>
      </c>
      <c r="E114" s="22" t="str">
        <f>'SUB-1'!E113</f>
        <v>BTMC24O1099</v>
      </c>
      <c r="F114" s="19">
        <v>0</v>
      </c>
      <c r="G114" s="19">
        <v>12</v>
      </c>
      <c r="H114" s="19">
        <f t="shared" si="3"/>
        <v>12</v>
      </c>
      <c r="I114" s="19" t="str">
        <f t="shared" si="4"/>
        <v>FAIL</v>
      </c>
      <c r="J114" s="19" t="str">
        <f t="shared" si="5"/>
        <v>0</v>
      </c>
    </row>
    <row r="115" ht="14.25" customHeight="1" spans="4:10">
      <c r="D115" s="19">
        <f>'SUB-1'!D114</f>
        <v>100</v>
      </c>
      <c r="E115" s="22" t="str">
        <f>'SUB-1'!E114</f>
        <v>BTMC24O1100</v>
      </c>
      <c r="F115" s="19">
        <v>51</v>
      </c>
      <c r="G115" s="19">
        <v>28</v>
      </c>
      <c r="H115" s="19">
        <f t="shared" si="3"/>
        <v>79</v>
      </c>
      <c r="I115" s="19" t="str">
        <f t="shared" si="4"/>
        <v>PASS</v>
      </c>
      <c r="J115" s="19" t="str">
        <f t="shared" si="5"/>
        <v>1</v>
      </c>
    </row>
  </sheetData>
  <mergeCells count="8">
    <mergeCell ref="D4:Q4"/>
    <mergeCell ref="D5:Q5"/>
    <mergeCell ref="D6:Q6"/>
    <mergeCell ref="G7:L7"/>
    <mergeCell ref="D8:Q8"/>
    <mergeCell ref="D9:Q9"/>
    <mergeCell ref="L15:M15"/>
    <mergeCell ref="D2:Q3"/>
  </mergeCells>
  <conditionalFormatting sqref="E16:E115">
    <cfRule type="expression" dxfId="2" priority="5">
      <formula>COUNTIF($E$16:$E$115,E16)&gt;1</formula>
    </cfRule>
  </conditionalFormatting>
  <conditionalFormatting sqref="F16:F115">
    <cfRule type="expression" dxfId="2" priority="3">
      <formula>OR(F16&lt;0,F16&gt;70,NOT(ISNUMBER(F16)))</formula>
    </cfRule>
  </conditionalFormatting>
  <conditionalFormatting sqref="G16:G115">
    <cfRule type="expression" dxfId="2" priority="4">
      <formula>OR(G16&lt;0,G16&gt;30,NOT(ISNUMBER(G16)))</formula>
    </cfRule>
  </conditionalFormatting>
  <conditionalFormatting sqref="I16:I115">
    <cfRule type="containsText" dxfId="0" priority="2" operator="between" text="FAIL">
      <formula>NOT(ISERROR(SEARCH("FAIL",I16)))</formula>
    </cfRule>
  </conditionalFormatting>
  <dataValidations count="3">
    <dataValidation type="textLength" operator="equal" allowBlank="1" showErrorMessage="1" errorTitle="Invalid enrollment no." error="Enrollment number must be 11 characters (e.g. BTMC24O1001)" sqref="E16:E115">
      <formula1>11</formula1>
    </dataValidation>
    <dataValidation type="decimal" operator="between" allowBlank="1" showErrorMessage="1" errorTitle="Invalid mark" error="Enter a number between 0 and 70" sqref="F16:F115">
      <formula1>0</formula1>
      <formula2>70</formula2>
    </dataValidation>
    <dataValidation type="decimal" operator="between" allowBlank="1" showErrorMessage="1" errorTitle="Invalid mark" error="Enter a number between 0 and 30" sqref="G16:G115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C1:Q115"/>
  <sheetViews>
    <sheetView zoomScale="60" zoomScaleNormal="60" topLeftCell="A8" workbookViewId="0">
      <selection activeCell="L41" sqref="L41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9.2685185185185" style="1" customWidth="1"/>
    <col min="7" max="7" width="28" style="1" customWidth="1"/>
    <col min="8" max="8" width="11.4537037037037" style="1" customWidth="1"/>
    <col min="9" max="9" width="10.8055555555556" style="1" customWidth="1"/>
    <col min="10" max="10" width="14.4537037037037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26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27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28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9"/>
      <c r="E7" s="9"/>
      <c r="F7" s="9"/>
      <c r="G7" s="13" t="s">
        <v>30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 t="s">
        <v>694</v>
      </c>
      <c r="F11" s="17" t="s">
        <v>695</v>
      </c>
      <c r="G11" s="17" t="s">
        <v>696</v>
      </c>
      <c r="L11" s="10"/>
      <c r="M11" s="10"/>
      <c r="N11" s="10"/>
    </row>
    <row r="12" ht="14.25" customHeight="1" spans="3:17">
      <c r="D12" s="18" t="s">
        <v>62</v>
      </c>
      <c r="E12" s="18" t="s">
        <v>63</v>
      </c>
      <c r="F12" s="18" t="s">
        <v>671</v>
      </c>
      <c r="G12" s="18" t="s">
        <v>627</v>
      </c>
      <c r="H12" s="18" t="s">
        <v>75</v>
      </c>
      <c r="I12" s="18" t="s">
        <v>77</v>
      </c>
      <c r="J12" s="18" t="s">
        <v>47</v>
      </c>
      <c r="L12" s="10"/>
      <c r="M12" s="10"/>
      <c r="N12" s="10"/>
    </row>
    <row r="13" ht="14.25" customHeight="1" spans="3:17">
      <c r="D13" s="19"/>
      <c r="E13" s="19"/>
      <c r="F13" s="18" t="s">
        <v>672</v>
      </c>
      <c r="G13" s="19"/>
      <c r="H13" s="19"/>
      <c r="I13" s="19"/>
      <c r="J13" s="19"/>
      <c r="L13" s="10"/>
      <c r="M13" s="10"/>
      <c r="N13" s="10"/>
    </row>
    <row r="14" ht="14.25" customHeight="1" spans="3:17">
      <c r="D14" s="19"/>
      <c r="E14" s="19"/>
      <c r="F14" s="20" t="s">
        <v>600</v>
      </c>
      <c r="G14" s="20">
        <v>50</v>
      </c>
      <c r="H14" s="20">
        <v>50</v>
      </c>
      <c r="I14" s="20" t="s">
        <v>79</v>
      </c>
      <c r="J14" s="20">
        <v>1</v>
      </c>
      <c r="L14" s="25" t="s">
        <v>628</v>
      </c>
      <c r="M14" s="25"/>
    </row>
    <row r="15" ht="14.25" customHeight="1" spans="3:17">
      <c r="D15" s="19"/>
      <c r="E15" s="19"/>
      <c r="F15" s="19"/>
      <c r="G15" s="19"/>
      <c r="H15" s="19"/>
      <c r="I15" s="19"/>
      <c r="J15" s="19"/>
      <c r="L15" s="1" t="s">
        <v>649</v>
      </c>
      <c r="M15" s="1">
        <f>COUNTIF(I16:I115,"PASS")</f>
        <v>66</v>
      </c>
    </row>
    <row r="16" ht="14.25" customHeight="1" spans="3:17">
      <c r="D16" s="19">
        <v>1</v>
      </c>
      <c r="E16" s="22" t="s">
        <v>90</v>
      </c>
      <c r="F16" s="19" t="s">
        <v>600</v>
      </c>
      <c r="G16" s="19">
        <v>30</v>
      </c>
      <c r="H16" s="19">
        <f t="shared" ref="H16:H79" si="0">G16</f>
        <v>30</v>
      </c>
      <c r="I16" s="19" t="str">
        <f t="shared" ref="I16:I79" si="1">IF(H16&lt;16,"FAIL","PASS")</f>
        <v>PASS</v>
      </c>
      <c r="J16" s="19" t="str">
        <f t="shared" ref="J16:J79" si="2">IF(H16&lt;16,"0","1")</f>
        <v>1</v>
      </c>
      <c r="L16" s="1" t="s">
        <v>650</v>
      </c>
      <c r="M16" s="1">
        <f>COUNTIF(I16:I115,"FAIL")</f>
        <v>34</v>
      </c>
    </row>
    <row r="17" ht="14.25" customHeight="1" spans="4:14">
      <c r="D17" s="19">
        <v>2</v>
      </c>
      <c r="E17" s="22" t="s">
        <v>97</v>
      </c>
      <c r="F17" s="19" t="s">
        <v>600</v>
      </c>
      <c r="G17" s="19">
        <v>14</v>
      </c>
      <c r="H17" s="19">
        <f t="shared" si="0"/>
        <v>14</v>
      </c>
      <c r="I17" s="19" t="str">
        <f t="shared" si="1"/>
        <v>FAIL</v>
      </c>
      <c r="J17" s="19" t="str">
        <f t="shared" si="2"/>
        <v>0</v>
      </c>
    </row>
    <row r="18" ht="14.25" customHeight="1" spans="4:14">
      <c r="D18" s="19">
        <v>3</v>
      </c>
      <c r="E18" s="22" t="s">
        <v>102</v>
      </c>
      <c r="F18" s="19" t="s">
        <v>600</v>
      </c>
      <c r="G18" s="19">
        <v>37</v>
      </c>
      <c r="H18" s="19">
        <f t="shared" si="0"/>
        <v>37</v>
      </c>
      <c r="I18" s="19" t="str">
        <f t="shared" si="1"/>
        <v>PASS</v>
      </c>
      <c r="J18" s="19" t="str">
        <f t="shared" si="2"/>
        <v>1</v>
      </c>
    </row>
    <row r="19" ht="14.25" customHeight="1" spans="4:14">
      <c r="D19" s="19">
        <v>4</v>
      </c>
      <c r="E19" s="22" t="s">
        <v>107</v>
      </c>
      <c r="F19" s="19" t="s">
        <v>600</v>
      </c>
      <c r="G19" s="19">
        <v>48</v>
      </c>
      <c r="H19" s="19">
        <f t="shared" si="0"/>
        <v>48</v>
      </c>
      <c r="I19" s="19" t="str">
        <f t="shared" si="1"/>
        <v>PASS</v>
      </c>
      <c r="J19" s="19" t="str">
        <f t="shared" si="2"/>
        <v>1</v>
      </c>
    </row>
    <row r="20" ht="14.25" customHeight="1" spans="4:14">
      <c r="D20" s="19">
        <v>5</v>
      </c>
      <c r="E20" s="22" t="s">
        <v>112</v>
      </c>
      <c r="F20" s="19" t="s">
        <v>600</v>
      </c>
      <c r="G20" s="19">
        <v>3</v>
      </c>
      <c r="H20" s="19">
        <f t="shared" si="0"/>
        <v>3</v>
      </c>
      <c r="I20" s="19" t="str">
        <f t="shared" si="1"/>
        <v>FAIL</v>
      </c>
      <c r="J20" s="19" t="str">
        <f t="shared" si="2"/>
        <v>0</v>
      </c>
      <c r="L20" s="10"/>
      <c r="M20" s="10"/>
      <c r="N20" s="10"/>
    </row>
    <row r="21" ht="14.25" customHeight="1" spans="4:14">
      <c r="D21" s="19">
        <v>6</v>
      </c>
      <c r="E21" s="22" t="s">
        <v>117</v>
      </c>
      <c r="F21" s="19" t="s">
        <v>600</v>
      </c>
      <c r="G21" s="19">
        <v>49</v>
      </c>
      <c r="H21" s="19">
        <f t="shared" si="0"/>
        <v>49</v>
      </c>
      <c r="I21" s="19" t="str">
        <f t="shared" si="1"/>
        <v>PASS</v>
      </c>
      <c r="J21" s="19" t="str">
        <f t="shared" si="2"/>
        <v>1</v>
      </c>
      <c r="L21" s="10"/>
      <c r="M21" s="10"/>
      <c r="N21" s="10"/>
    </row>
    <row r="22" ht="14.25" customHeight="1" spans="4:14">
      <c r="D22" s="19">
        <v>7</v>
      </c>
      <c r="E22" s="22" t="s">
        <v>122</v>
      </c>
      <c r="F22" s="19" t="s">
        <v>600</v>
      </c>
      <c r="G22" s="19">
        <v>40</v>
      </c>
      <c r="H22" s="19">
        <f t="shared" si="0"/>
        <v>40</v>
      </c>
      <c r="I22" s="19" t="str">
        <f t="shared" si="1"/>
        <v>PASS</v>
      </c>
      <c r="J22" s="19" t="str">
        <f t="shared" si="2"/>
        <v>1</v>
      </c>
      <c r="L22" s="10"/>
      <c r="M22" s="10"/>
      <c r="N22" s="10"/>
    </row>
    <row r="23" ht="14.25" customHeight="1" spans="4:14">
      <c r="D23" s="19">
        <v>8</v>
      </c>
      <c r="E23" s="22" t="s">
        <v>127</v>
      </c>
      <c r="F23" s="19" t="s">
        <v>600</v>
      </c>
      <c r="G23" s="19">
        <v>1</v>
      </c>
      <c r="H23" s="19">
        <f t="shared" si="0"/>
        <v>1</v>
      </c>
      <c r="I23" s="19" t="str">
        <f t="shared" si="1"/>
        <v>FAIL</v>
      </c>
      <c r="J23" s="19" t="str">
        <f t="shared" si="2"/>
        <v>0</v>
      </c>
      <c r="L23" s="10"/>
      <c r="M23" s="10"/>
      <c r="N23" s="10"/>
    </row>
    <row r="24" ht="14.25" customHeight="1" spans="4:14">
      <c r="D24" s="19">
        <v>9</v>
      </c>
      <c r="E24" s="22" t="s">
        <v>132</v>
      </c>
      <c r="F24" s="19" t="s">
        <v>600</v>
      </c>
      <c r="G24" s="19">
        <v>7</v>
      </c>
      <c r="H24" s="19">
        <f t="shared" si="0"/>
        <v>7</v>
      </c>
      <c r="I24" s="19" t="str">
        <f t="shared" si="1"/>
        <v>FAIL</v>
      </c>
      <c r="J24" s="19" t="str">
        <f t="shared" si="2"/>
        <v>0</v>
      </c>
      <c r="L24" s="10"/>
      <c r="M24" s="10"/>
      <c r="N24" s="10"/>
    </row>
    <row r="25" ht="14.25" customHeight="1" spans="4:14">
      <c r="D25" s="19">
        <v>10</v>
      </c>
      <c r="E25" s="22" t="s">
        <v>137</v>
      </c>
      <c r="F25" s="19" t="s">
        <v>600</v>
      </c>
      <c r="G25" s="19">
        <v>7</v>
      </c>
      <c r="H25" s="19">
        <f t="shared" si="0"/>
        <v>7</v>
      </c>
      <c r="I25" s="19" t="str">
        <f t="shared" si="1"/>
        <v>FAIL</v>
      </c>
      <c r="J25" s="19" t="str">
        <f t="shared" si="2"/>
        <v>0</v>
      </c>
      <c r="L25" s="10"/>
      <c r="M25" s="10"/>
      <c r="N25" s="10"/>
    </row>
    <row r="26" ht="14.25" customHeight="1" spans="4:14">
      <c r="D26" s="19">
        <v>11</v>
      </c>
      <c r="E26" s="22" t="s">
        <v>141</v>
      </c>
      <c r="F26" s="19" t="s">
        <v>600</v>
      </c>
      <c r="G26" s="19">
        <v>46</v>
      </c>
      <c r="H26" s="19">
        <f t="shared" si="0"/>
        <v>46</v>
      </c>
      <c r="I26" s="19" t="str">
        <f t="shared" si="1"/>
        <v>PASS</v>
      </c>
      <c r="J26" s="19" t="str">
        <f t="shared" si="2"/>
        <v>1</v>
      </c>
      <c r="L26" s="10"/>
      <c r="M26" s="10"/>
      <c r="N26" s="10"/>
    </row>
    <row r="27" ht="14.25" customHeight="1" spans="4:14">
      <c r="D27" s="19">
        <v>12</v>
      </c>
      <c r="E27" s="22" t="s">
        <v>146</v>
      </c>
      <c r="F27" s="19" t="s">
        <v>600</v>
      </c>
      <c r="G27" s="19">
        <v>19</v>
      </c>
      <c r="H27" s="19">
        <f t="shared" si="0"/>
        <v>19</v>
      </c>
      <c r="I27" s="19" t="str">
        <f t="shared" si="1"/>
        <v>PASS</v>
      </c>
      <c r="J27" s="19" t="str">
        <f t="shared" si="2"/>
        <v>1</v>
      </c>
      <c r="L27" s="10"/>
      <c r="M27" s="10"/>
      <c r="N27" s="10"/>
    </row>
    <row r="28" ht="14.25" customHeight="1" spans="4:14">
      <c r="D28" s="19">
        <v>13</v>
      </c>
      <c r="E28" s="22" t="s">
        <v>151</v>
      </c>
      <c r="F28" s="19" t="s">
        <v>600</v>
      </c>
      <c r="G28" s="19">
        <v>6</v>
      </c>
      <c r="H28" s="19">
        <f t="shared" si="0"/>
        <v>6</v>
      </c>
      <c r="I28" s="19" t="str">
        <f t="shared" si="1"/>
        <v>FAIL</v>
      </c>
      <c r="J28" s="19" t="str">
        <f t="shared" si="2"/>
        <v>0</v>
      </c>
      <c r="L28" s="10"/>
      <c r="M28" s="10"/>
      <c r="N28" s="10"/>
    </row>
    <row r="29" ht="14.25" customHeight="1" spans="4:14">
      <c r="D29" s="19">
        <v>14</v>
      </c>
      <c r="E29" s="22" t="s">
        <v>156</v>
      </c>
      <c r="F29" s="19" t="s">
        <v>600</v>
      </c>
      <c r="G29" s="19">
        <v>10</v>
      </c>
      <c r="H29" s="19">
        <f t="shared" si="0"/>
        <v>10</v>
      </c>
      <c r="I29" s="19" t="str">
        <f t="shared" si="1"/>
        <v>FAIL</v>
      </c>
      <c r="J29" s="19" t="str">
        <f t="shared" si="2"/>
        <v>0</v>
      </c>
      <c r="L29" s="10"/>
      <c r="M29" s="10"/>
      <c r="N29" s="10"/>
    </row>
    <row r="30" ht="14.25" customHeight="1" spans="4:14">
      <c r="D30" s="19">
        <v>15</v>
      </c>
      <c r="E30" s="22" t="s">
        <v>161</v>
      </c>
      <c r="F30" s="19" t="s">
        <v>600</v>
      </c>
      <c r="G30" s="19">
        <v>47</v>
      </c>
      <c r="H30" s="19">
        <f t="shared" si="0"/>
        <v>47</v>
      </c>
      <c r="I30" s="19" t="str">
        <f t="shared" si="1"/>
        <v>PASS</v>
      </c>
      <c r="J30" s="19" t="str">
        <f t="shared" si="2"/>
        <v>1</v>
      </c>
      <c r="L30" s="10"/>
      <c r="M30" s="10"/>
      <c r="N30" s="10"/>
    </row>
    <row r="31" ht="14.25" customHeight="1" spans="4:14">
      <c r="D31" s="19">
        <v>16</v>
      </c>
      <c r="E31" s="22" t="s">
        <v>166</v>
      </c>
      <c r="F31" s="19" t="s">
        <v>600</v>
      </c>
      <c r="G31" s="19">
        <v>38</v>
      </c>
      <c r="H31" s="19">
        <f t="shared" si="0"/>
        <v>38</v>
      </c>
      <c r="I31" s="19" t="str">
        <f t="shared" si="1"/>
        <v>PASS</v>
      </c>
      <c r="J31" s="19" t="str">
        <f t="shared" si="2"/>
        <v>1</v>
      </c>
      <c r="L31" s="10"/>
      <c r="N31" s="10"/>
    </row>
    <row r="32" ht="14.25" customHeight="1" spans="4:14">
      <c r="D32" s="19">
        <v>17</v>
      </c>
      <c r="E32" s="22" t="s">
        <v>171</v>
      </c>
      <c r="F32" s="19" t="s">
        <v>600</v>
      </c>
      <c r="G32" s="19">
        <v>14</v>
      </c>
      <c r="H32" s="19">
        <f t="shared" si="0"/>
        <v>14</v>
      </c>
      <c r="I32" s="19" t="str">
        <f t="shared" si="1"/>
        <v>FAIL</v>
      </c>
      <c r="J32" s="19" t="str">
        <f t="shared" si="2"/>
        <v>0</v>
      </c>
      <c r="L32" s="10"/>
      <c r="M32" s="10"/>
      <c r="N32" s="10"/>
    </row>
    <row r="33" ht="14.25" customHeight="1" spans="4:14">
      <c r="D33" s="19">
        <v>18</v>
      </c>
      <c r="E33" s="22" t="s">
        <v>176</v>
      </c>
      <c r="F33" s="19" t="s">
        <v>600</v>
      </c>
      <c r="G33" s="19">
        <v>30</v>
      </c>
      <c r="H33" s="19">
        <f t="shared" si="0"/>
        <v>30</v>
      </c>
      <c r="I33" s="19" t="str">
        <f t="shared" si="1"/>
        <v>PASS</v>
      </c>
      <c r="J33" s="19" t="str">
        <f t="shared" si="2"/>
        <v>1</v>
      </c>
      <c r="L33" s="10"/>
      <c r="M33" s="10"/>
      <c r="N33" s="10"/>
    </row>
    <row r="34" ht="14.25" customHeight="1" spans="4:14">
      <c r="D34" s="19">
        <v>19</v>
      </c>
      <c r="E34" s="22" t="s">
        <v>181</v>
      </c>
      <c r="F34" s="19" t="s">
        <v>600</v>
      </c>
      <c r="G34" s="19">
        <v>37</v>
      </c>
      <c r="H34" s="19">
        <f t="shared" si="0"/>
        <v>37</v>
      </c>
      <c r="I34" s="19" t="str">
        <f t="shared" si="1"/>
        <v>PASS</v>
      </c>
      <c r="J34" s="19" t="str">
        <f t="shared" si="2"/>
        <v>1</v>
      </c>
      <c r="L34" s="10"/>
      <c r="M34" s="10"/>
      <c r="N34" s="10"/>
    </row>
    <row r="35" ht="14.25" customHeight="1" spans="4:14">
      <c r="D35" s="19">
        <v>20</v>
      </c>
      <c r="E35" s="22" t="s">
        <v>186</v>
      </c>
      <c r="F35" s="19" t="s">
        <v>600</v>
      </c>
      <c r="G35" s="19">
        <v>36</v>
      </c>
      <c r="H35" s="19">
        <f t="shared" si="0"/>
        <v>36</v>
      </c>
      <c r="I35" s="19" t="str">
        <f t="shared" si="1"/>
        <v>PASS</v>
      </c>
      <c r="J35" s="19" t="str">
        <f t="shared" si="2"/>
        <v>1</v>
      </c>
      <c r="L35" s="10"/>
      <c r="M35" s="10"/>
      <c r="N35" s="10"/>
    </row>
    <row r="36" ht="14.25" customHeight="1" spans="4:14">
      <c r="D36" s="19">
        <f>'SUB-4'!D35</f>
        <v>21</v>
      </c>
      <c r="E36" s="22" t="str">
        <f>'SUB-4'!E35</f>
        <v>BTMC24O1021</v>
      </c>
      <c r="F36" s="19" t="s">
        <v>600</v>
      </c>
      <c r="G36" s="19">
        <v>46</v>
      </c>
      <c r="H36" s="19">
        <f t="shared" si="0"/>
        <v>46</v>
      </c>
      <c r="I36" s="19" t="str">
        <f t="shared" si="1"/>
        <v>PASS</v>
      </c>
      <c r="J36" s="19" t="str">
        <f t="shared" si="2"/>
        <v>1</v>
      </c>
    </row>
    <row r="37" ht="14.25" customHeight="1" spans="4:14">
      <c r="D37" s="19">
        <f>'SUB-4'!D36</f>
        <v>22</v>
      </c>
      <c r="E37" s="22" t="str">
        <f>'SUB-4'!E36</f>
        <v>BTMC24O1022</v>
      </c>
      <c r="F37" s="19" t="s">
        <v>600</v>
      </c>
      <c r="G37" s="19">
        <v>19</v>
      </c>
      <c r="H37" s="19">
        <f t="shared" si="0"/>
        <v>19</v>
      </c>
      <c r="I37" s="19" t="str">
        <f t="shared" si="1"/>
        <v>PASS</v>
      </c>
      <c r="J37" s="19" t="str">
        <f t="shared" si="2"/>
        <v>1</v>
      </c>
    </row>
    <row r="38" ht="14.25" customHeight="1" spans="4:14">
      <c r="D38" s="19">
        <f>'SUB-4'!D37</f>
        <v>23</v>
      </c>
      <c r="E38" s="22" t="str">
        <f>'SUB-4'!E37</f>
        <v>BTMC24O1023</v>
      </c>
      <c r="F38" s="19" t="s">
        <v>600</v>
      </c>
      <c r="G38" s="19">
        <v>13</v>
      </c>
      <c r="H38" s="19">
        <f t="shared" si="0"/>
        <v>13</v>
      </c>
      <c r="I38" s="19" t="str">
        <f t="shared" si="1"/>
        <v>FAIL</v>
      </c>
      <c r="J38" s="19" t="str">
        <f t="shared" si="2"/>
        <v>0</v>
      </c>
    </row>
    <row r="39" ht="14.25" customHeight="1" spans="4:14">
      <c r="D39" s="19">
        <f>'SUB-4'!D38</f>
        <v>24</v>
      </c>
      <c r="E39" s="22" t="str">
        <f>'SUB-4'!E38</f>
        <v>BTMC24O1024</v>
      </c>
      <c r="F39" s="19" t="s">
        <v>600</v>
      </c>
      <c r="G39" s="19">
        <v>9</v>
      </c>
      <c r="H39" s="19">
        <f t="shared" si="0"/>
        <v>9</v>
      </c>
      <c r="I39" s="19" t="str">
        <f t="shared" si="1"/>
        <v>FAIL</v>
      </c>
      <c r="J39" s="19" t="str">
        <f t="shared" si="2"/>
        <v>0</v>
      </c>
    </row>
    <row r="40" ht="14.25" customHeight="1" spans="4:14">
      <c r="D40" s="19">
        <f>'SUB-4'!D39</f>
        <v>25</v>
      </c>
      <c r="E40" s="22" t="str">
        <f>'SUB-4'!E39</f>
        <v>BTMC24O1025</v>
      </c>
      <c r="F40" s="19" t="s">
        <v>600</v>
      </c>
      <c r="G40" s="19">
        <v>37</v>
      </c>
      <c r="H40" s="19">
        <f t="shared" si="0"/>
        <v>37</v>
      </c>
      <c r="I40" s="19" t="str">
        <f t="shared" si="1"/>
        <v>PASS</v>
      </c>
      <c r="J40" s="19" t="str">
        <f t="shared" si="2"/>
        <v>1</v>
      </c>
    </row>
    <row r="41" ht="14.25" customHeight="1" spans="4:14">
      <c r="D41" s="19">
        <f>'SUB-4'!D40</f>
        <v>26</v>
      </c>
      <c r="E41" s="22" t="str">
        <f>'SUB-4'!E40</f>
        <v>BTMC24O1026</v>
      </c>
      <c r="F41" s="19" t="s">
        <v>600</v>
      </c>
      <c r="G41" s="19">
        <v>40</v>
      </c>
      <c r="H41" s="19">
        <f t="shared" si="0"/>
        <v>40</v>
      </c>
      <c r="I41" s="19" t="str">
        <f t="shared" si="1"/>
        <v>PASS</v>
      </c>
      <c r="J41" s="19" t="str">
        <f t="shared" si="2"/>
        <v>1</v>
      </c>
    </row>
    <row r="42" ht="14.25" customHeight="1" spans="4:14">
      <c r="D42" s="19">
        <f>'SUB-4'!D41</f>
        <v>27</v>
      </c>
      <c r="E42" s="22" t="str">
        <f>'SUB-4'!E41</f>
        <v>BTMC24O1027</v>
      </c>
      <c r="F42" s="19" t="s">
        <v>600</v>
      </c>
      <c r="G42" s="19">
        <v>39</v>
      </c>
      <c r="H42" s="19">
        <f t="shared" si="0"/>
        <v>39</v>
      </c>
      <c r="I42" s="19" t="str">
        <f t="shared" si="1"/>
        <v>PASS</v>
      </c>
      <c r="J42" s="19" t="str">
        <f t="shared" si="2"/>
        <v>1</v>
      </c>
    </row>
    <row r="43" ht="14.25" customHeight="1" spans="4:14">
      <c r="D43" s="19">
        <f>'SUB-4'!D42</f>
        <v>28</v>
      </c>
      <c r="E43" s="22" t="str">
        <f>'SUB-4'!E42</f>
        <v>BTMC24O1028</v>
      </c>
      <c r="F43" s="19" t="s">
        <v>600</v>
      </c>
      <c r="G43" s="19">
        <v>19</v>
      </c>
      <c r="H43" s="19">
        <f t="shared" si="0"/>
        <v>19</v>
      </c>
      <c r="I43" s="19" t="str">
        <f t="shared" si="1"/>
        <v>PASS</v>
      </c>
      <c r="J43" s="19" t="str">
        <f t="shared" si="2"/>
        <v>1</v>
      </c>
    </row>
    <row r="44" ht="14.25" customHeight="1" spans="4:14">
      <c r="D44" s="19">
        <f>'SUB-4'!D43</f>
        <v>29</v>
      </c>
      <c r="E44" s="22" t="str">
        <f>'SUB-4'!E43</f>
        <v>BTMC24O1029</v>
      </c>
      <c r="F44" s="19" t="s">
        <v>600</v>
      </c>
      <c r="G44" s="19">
        <v>4</v>
      </c>
      <c r="H44" s="19">
        <f t="shared" si="0"/>
        <v>4</v>
      </c>
      <c r="I44" s="19" t="str">
        <f t="shared" si="1"/>
        <v>FAIL</v>
      </c>
      <c r="J44" s="19" t="str">
        <f t="shared" si="2"/>
        <v>0</v>
      </c>
    </row>
    <row r="45" ht="14.25" customHeight="1" spans="4:14">
      <c r="D45" s="19">
        <f>'SUB-4'!D44</f>
        <v>30</v>
      </c>
      <c r="E45" s="22" t="str">
        <f>'SUB-4'!E44</f>
        <v>BTMC24O1030</v>
      </c>
      <c r="F45" s="19" t="s">
        <v>600</v>
      </c>
      <c r="G45" s="19">
        <v>6</v>
      </c>
      <c r="H45" s="19">
        <f t="shared" si="0"/>
        <v>6</v>
      </c>
      <c r="I45" s="19" t="str">
        <f t="shared" si="1"/>
        <v>FAIL</v>
      </c>
      <c r="J45" s="19" t="str">
        <f t="shared" si="2"/>
        <v>0</v>
      </c>
    </row>
    <row r="46" ht="14.25" customHeight="1" spans="4:14">
      <c r="D46" s="19">
        <f>'SUB-4'!D45</f>
        <v>31</v>
      </c>
      <c r="E46" s="22" t="str">
        <f>'SUB-4'!E45</f>
        <v>BTMC24O1031</v>
      </c>
      <c r="F46" s="19" t="s">
        <v>600</v>
      </c>
      <c r="G46" s="19">
        <v>33</v>
      </c>
      <c r="H46" s="19">
        <f t="shared" si="0"/>
        <v>33</v>
      </c>
      <c r="I46" s="19" t="str">
        <f t="shared" si="1"/>
        <v>PASS</v>
      </c>
      <c r="J46" s="19" t="str">
        <f t="shared" si="2"/>
        <v>1</v>
      </c>
    </row>
    <row r="47" ht="14.25" customHeight="1" spans="4:14">
      <c r="D47" s="19">
        <f>'SUB-4'!D46</f>
        <v>32</v>
      </c>
      <c r="E47" s="22" t="str">
        <f>'SUB-4'!E46</f>
        <v>BTMC24O1032</v>
      </c>
      <c r="F47" s="19" t="s">
        <v>600</v>
      </c>
      <c r="G47" s="19">
        <v>34</v>
      </c>
      <c r="H47" s="19">
        <f t="shared" si="0"/>
        <v>34</v>
      </c>
      <c r="I47" s="19" t="str">
        <f t="shared" si="1"/>
        <v>PASS</v>
      </c>
      <c r="J47" s="19" t="str">
        <f t="shared" si="2"/>
        <v>1</v>
      </c>
    </row>
    <row r="48" ht="14.25" customHeight="1" spans="4:14">
      <c r="D48" s="19">
        <f>'SUB-4'!D47</f>
        <v>33</v>
      </c>
      <c r="E48" s="22" t="str">
        <f>'SUB-4'!E47</f>
        <v>BTMC24O1033</v>
      </c>
      <c r="F48" s="19" t="s">
        <v>600</v>
      </c>
      <c r="G48" s="19">
        <v>49</v>
      </c>
      <c r="H48" s="19">
        <f t="shared" si="0"/>
        <v>49</v>
      </c>
      <c r="I48" s="19" t="str">
        <f t="shared" si="1"/>
        <v>PASS</v>
      </c>
      <c r="J48" s="19" t="str">
        <f t="shared" si="2"/>
        <v>1</v>
      </c>
    </row>
    <row r="49" ht="14.25" customHeight="1" spans="4:10">
      <c r="D49" s="19">
        <f>'SUB-4'!D48</f>
        <v>34</v>
      </c>
      <c r="E49" s="22" t="str">
        <f>'SUB-4'!E48</f>
        <v>BTMC24O1034</v>
      </c>
      <c r="F49" s="19" t="s">
        <v>600</v>
      </c>
      <c r="G49" s="19">
        <v>39</v>
      </c>
      <c r="H49" s="19">
        <f t="shared" si="0"/>
        <v>39</v>
      </c>
      <c r="I49" s="19" t="str">
        <f t="shared" si="1"/>
        <v>PASS</v>
      </c>
      <c r="J49" s="19" t="str">
        <f t="shared" si="2"/>
        <v>1</v>
      </c>
    </row>
    <row r="50" ht="14.25" customHeight="1" spans="4:10">
      <c r="D50" s="19">
        <f>'SUB-4'!D49</f>
        <v>35</v>
      </c>
      <c r="E50" s="22" t="str">
        <f>'SUB-4'!E49</f>
        <v>BTMC24O1035</v>
      </c>
      <c r="F50" s="19" t="s">
        <v>600</v>
      </c>
      <c r="G50" s="19">
        <v>7</v>
      </c>
      <c r="H50" s="19">
        <f t="shared" si="0"/>
        <v>7</v>
      </c>
      <c r="I50" s="19" t="str">
        <f t="shared" si="1"/>
        <v>FAIL</v>
      </c>
      <c r="J50" s="19" t="str">
        <f t="shared" si="2"/>
        <v>0</v>
      </c>
    </row>
    <row r="51" ht="14.25" customHeight="1" spans="4:10">
      <c r="D51" s="19">
        <f>'SUB-4'!D50</f>
        <v>36</v>
      </c>
      <c r="E51" s="22" t="str">
        <f>'SUB-4'!E50</f>
        <v>BTMC24O1036</v>
      </c>
      <c r="F51" s="19" t="s">
        <v>600</v>
      </c>
      <c r="G51" s="19">
        <v>0</v>
      </c>
      <c r="H51" s="19">
        <f t="shared" si="0"/>
        <v>0</v>
      </c>
      <c r="I51" s="19" t="str">
        <f t="shared" si="1"/>
        <v>FAIL</v>
      </c>
      <c r="J51" s="19" t="str">
        <f t="shared" si="2"/>
        <v>0</v>
      </c>
    </row>
    <row r="52" ht="14.25" customHeight="1" spans="4:10">
      <c r="D52" s="19">
        <f>'SUB-4'!D51</f>
        <v>37</v>
      </c>
      <c r="E52" s="22" t="str">
        <f>'SUB-4'!E51</f>
        <v>BTMC24O1037</v>
      </c>
      <c r="F52" s="19" t="s">
        <v>600</v>
      </c>
      <c r="G52" s="19">
        <v>49</v>
      </c>
      <c r="H52" s="19">
        <f t="shared" si="0"/>
        <v>49</v>
      </c>
      <c r="I52" s="19" t="str">
        <f t="shared" si="1"/>
        <v>PASS</v>
      </c>
      <c r="J52" s="19" t="str">
        <f t="shared" si="2"/>
        <v>1</v>
      </c>
    </row>
    <row r="53" ht="14.25" customHeight="1" spans="4:10">
      <c r="D53" s="19">
        <f>'SUB-4'!D52</f>
        <v>38</v>
      </c>
      <c r="E53" s="22" t="str">
        <f>'SUB-4'!E52</f>
        <v>BTMC24O1038</v>
      </c>
      <c r="F53" s="19" t="s">
        <v>600</v>
      </c>
      <c r="G53" s="19">
        <v>20</v>
      </c>
      <c r="H53" s="19">
        <f t="shared" si="0"/>
        <v>20</v>
      </c>
      <c r="I53" s="19" t="str">
        <f t="shared" si="1"/>
        <v>PASS</v>
      </c>
      <c r="J53" s="19" t="str">
        <f t="shared" si="2"/>
        <v>1</v>
      </c>
    </row>
    <row r="54" ht="14.25" customHeight="1" spans="4:10">
      <c r="D54" s="19">
        <f>'SUB-4'!D53</f>
        <v>39</v>
      </c>
      <c r="E54" s="22" t="str">
        <f>'SUB-4'!E53</f>
        <v>BTMC24O1039</v>
      </c>
      <c r="F54" s="19" t="s">
        <v>600</v>
      </c>
      <c r="G54" s="19">
        <v>41</v>
      </c>
      <c r="H54" s="19">
        <f t="shared" si="0"/>
        <v>41</v>
      </c>
      <c r="I54" s="19" t="str">
        <f t="shared" si="1"/>
        <v>PASS</v>
      </c>
      <c r="J54" s="19" t="str">
        <f t="shared" si="2"/>
        <v>1</v>
      </c>
    </row>
    <row r="55" ht="14.25" customHeight="1" spans="4:10">
      <c r="D55" s="19">
        <f>'SUB-4'!D54</f>
        <v>40</v>
      </c>
      <c r="E55" s="22" t="str">
        <f>'SUB-4'!E54</f>
        <v>BTMC24O1040</v>
      </c>
      <c r="F55" s="19" t="s">
        <v>600</v>
      </c>
      <c r="G55" s="19">
        <v>39</v>
      </c>
      <c r="H55" s="19">
        <f t="shared" si="0"/>
        <v>39</v>
      </c>
      <c r="I55" s="19" t="str">
        <f t="shared" si="1"/>
        <v>PASS</v>
      </c>
      <c r="J55" s="19" t="str">
        <f t="shared" si="2"/>
        <v>1</v>
      </c>
    </row>
    <row r="56" ht="14.25" customHeight="1" spans="4:10">
      <c r="D56" s="19">
        <f>'SUB-4'!D55</f>
        <v>41</v>
      </c>
      <c r="E56" s="22" t="str">
        <f>'SUB-4'!E55</f>
        <v>BTMC24O1041</v>
      </c>
      <c r="F56" s="19" t="s">
        <v>600</v>
      </c>
      <c r="G56" s="19">
        <v>2</v>
      </c>
      <c r="H56" s="19">
        <f t="shared" si="0"/>
        <v>2</v>
      </c>
      <c r="I56" s="19" t="str">
        <f t="shared" si="1"/>
        <v>FAIL</v>
      </c>
      <c r="J56" s="19" t="str">
        <f t="shared" si="2"/>
        <v>0</v>
      </c>
    </row>
    <row r="57" ht="14.25" customHeight="1" spans="4:10">
      <c r="D57" s="19">
        <f>'SUB-4'!D56</f>
        <v>42</v>
      </c>
      <c r="E57" s="22" t="str">
        <f>'SUB-4'!E56</f>
        <v>BTMC24O1042</v>
      </c>
      <c r="F57" s="19" t="s">
        <v>600</v>
      </c>
      <c r="G57" s="19">
        <v>27</v>
      </c>
      <c r="H57" s="19">
        <f t="shared" si="0"/>
        <v>27</v>
      </c>
      <c r="I57" s="19" t="str">
        <f t="shared" si="1"/>
        <v>PASS</v>
      </c>
      <c r="J57" s="19" t="str">
        <f t="shared" si="2"/>
        <v>1</v>
      </c>
    </row>
    <row r="58" ht="14.25" customHeight="1" spans="4:10">
      <c r="D58" s="19">
        <f>'SUB-4'!D57</f>
        <v>43</v>
      </c>
      <c r="E58" s="22" t="str">
        <f>'SUB-4'!E57</f>
        <v>BTMC24O1043</v>
      </c>
      <c r="F58" s="19" t="s">
        <v>600</v>
      </c>
      <c r="G58" s="19">
        <v>14</v>
      </c>
      <c r="H58" s="19">
        <f t="shared" si="0"/>
        <v>14</v>
      </c>
      <c r="I58" s="19" t="str">
        <f t="shared" si="1"/>
        <v>FAIL</v>
      </c>
      <c r="J58" s="19" t="str">
        <f t="shared" si="2"/>
        <v>0</v>
      </c>
    </row>
    <row r="59" ht="14.25" customHeight="1" spans="4:10">
      <c r="D59" s="19">
        <f>'SUB-4'!D58</f>
        <v>44</v>
      </c>
      <c r="E59" s="22" t="str">
        <f>'SUB-4'!E58</f>
        <v>BTMC24O1044</v>
      </c>
      <c r="F59" s="19" t="s">
        <v>600</v>
      </c>
      <c r="G59" s="19">
        <v>4</v>
      </c>
      <c r="H59" s="19">
        <f t="shared" si="0"/>
        <v>4</v>
      </c>
      <c r="I59" s="19" t="str">
        <f t="shared" si="1"/>
        <v>FAIL</v>
      </c>
      <c r="J59" s="19" t="str">
        <f t="shared" si="2"/>
        <v>0</v>
      </c>
    </row>
    <row r="60" ht="14.25" customHeight="1" spans="4:10">
      <c r="D60" s="19">
        <f>'SUB-4'!D59</f>
        <v>45</v>
      </c>
      <c r="E60" s="22" t="str">
        <f>'SUB-4'!E59</f>
        <v>BTMC24O1045</v>
      </c>
      <c r="F60" s="19" t="s">
        <v>600</v>
      </c>
      <c r="G60" s="19">
        <v>7</v>
      </c>
      <c r="H60" s="19">
        <f t="shared" si="0"/>
        <v>7</v>
      </c>
      <c r="I60" s="19" t="str">
        <f t="shared" si="1"/>
        <v>FAIL</v>
      </c>
      <c r="J60" s="19" t="str">
        <f t="shared" si="2"/>
        <v>0</v>
      </c>
    </row>
    <row r="61" ht="14.25" customHeight="1" spans="4:10">
      <c r="D61" s="19">
        <f>'SUB-4'!D60</f>
        <v>46</v>
      </c>
      <c r="E61" s="22" t="str">
        <f>'SUB-4'!E60</f>
        <v>BTMC24O1046</v>
      </c>
      <c r="F61" s="19" t="s">
        <v>600</v>
      </c>
      <c r="G61" s="19">
        <v>37</v>
      </c>
      <c r="H61" s="19">
        <f t="shared" si="0"/>
        <v>37</v>
      </c>
      <c r="I61" s="19" t="str">
        <f t="shared" si="1"/>
        <v>PASS</v>
      </c>
      <c r="J61" s="19" t="str">
        <f t="shared" si="2"/>
        <v>1</v>
      </c>
    </row>
    <row r="62" ht="14.25" customHeight="1" spans="4:10">
      <c r="D62" s="19">
        <f>'SUB-4'!D61</f>
        <v>47</v>
      </c>
      <c r="E62" s="22" t="str">
        <f>'SUB-4'!E61</f>
        <v>BTMC24O1047</v>
      </c>
      <c r="F62" s="19" t="s">
        <v>600</v>
      </c>
      <c r="G62" s="19">
        <v>18</v>
      </c>
      <c r="H62" s="19">
        <f t="shared" si="0"/>
        <v>18</v>
      </c>
      <c r="I62" s="19" t="str">
        <f t="shared" si="1"/>
        <v>PASS</v>
      </c>
      <c r="J62" s="19" t="str">
        <f t="shared" si="2"/>
        <v>1</v>
      </c>
    </row>
    <row r="63" ht="14.25" customHeight="1" spans="4:10">
      <c r="D63" s="19">
        <f>'SUB-4'!D62</f>
        <v>48</v>
      </c>
      <c r="E63" s="22" t="str">
        <f>'SUB-4'!E62</f>
        <v>BTMC24O1048</v>
      </c>
      <c r="F63" s="19" t="s">
        <v>600</v>
      </c>
      <c r="G63" s="19">
        <v>48</v>
      </c>
      <c r="H63" s="19">
        <f t="shared" si="0"/>
        <v>48</v>
      </c>
      <c r="I63" s="19" t="str">
        <f t="shared" si="1"/>
        <v>PASS</v>
      </c>
      <c r="J63" s="19" t="str">
        <f t="shared" si="2"/>
        <v>1</v>
      </c>
    </row>
    <row r="64" ht="14.25" customHeight="1" spans="4:10">
      <c r="D64" s="19">
        <f>'SUB-4'!D63</f>
        <v>49</v>
      </c>
      <c r="E64" s="22" t="str">
        <f>'SUB-4'!E63</f>
        <v>BTMC24O1049</v>
      </c>
      <c r="F64" s="19" t="s">
        <v>600</v>
      </c>
      <c r="G64" s="19">
        <v>28</v>
      </c>
      <c r="H64" s="19">
        <f t="shared" si="0"/>
        <v>28</v>
      </c>
      <c r="I64" s="19" t="str">
        <f t="shared" si="1"/>
        <v>PASS</v>
      </c>
      <c r="J64" s="19" t="str">
        <f t="shared" si="2"/>
        <v>1</v>
      </c>
    </row>
    <row r="65" ht="14.25" customHeight="1" spans="4:10">
      <c r="D65" s="19">
        <f>'SUB-4'!D64</f>
        <v>50</v>
      </c>
      <c r="E65" s="22" t="str">
        <f>'SUB-4'!E64</f>
        <v>BTMC24O1050</v>
      </c>
      <c r="F65" s="19" t="s">
        <v>600</v>
      </c>
      <c r="G65" s="19">
        <v>26</v>
      </c>
      <c r="H65" s="19">
        <f t="shared" si="0"/>
        <v>26</v>
      </c>
      <c r="I65" s="19" t="str">
        <f t="shared" si="1"/>
        <v>PASS</v>
      </c>
      <c r="J65" s="19" t="str">
        <f t="shared" si="2"/>
        <v>1</v>
      </c>
    </row>
    <row r="66" ht="14.25" customHeight="1" spans="4:10">
      <c r="D66" s="19">
        <f>'SUB-4'!D65</f>
        <v>51</v>
      </c>
      <c r="E66" s="22" t="str">
        <f>'SUB-4'!E65</f>
        <v>BTMC24O1051</v>
      </c>
      <c r="F66" s="19" t="s">
        <v>600</v>
      </c>
      <c r="G66" s="19">
        <v>20</v>
      </c>
      <c r="H66" s="19">
        <f t="shared" si="0"/>
        <v>20</v>
      </c>
      <c r="I66" s="19" t="str">
        <f t="shared" si="1"/>
        <v>PASS</v>
      </c>
      <c r="J66" s="19" t="str">
        <f t="shared" si="2"/>
        <v>1</v>
      </c>
    </row>
    <row r="67" ht="14.25" customHeight="1" spans="4:10">
      <c r="D67" s="19">
        <f>'SUB-4'!D66</f>
        <v>52</v>
      </c>
      <c r="E67" s="22" t="str">
        <f>'SUB-4'!E66</f>
        <v>BTMC24O1052</v>
      </c>
      <c r="F67" s="19" t="s">
        <v>600</v>
      </c>
      <c r="G67" s="19">
        <v>30</v>
      </c>
      <c r="H67" s="19">
        <f t="shared" si="0"/>
        <v>30</v>
      </c>
      <c r="I67" s="19" t="str">
        <f t="shared" si="1"/>
        <v>PASS</v>
      </c>
      <c r="J67" s="19" t="str">
        <f t="shared" si="2"/>
        <v>1</v>
      </c>
    </row>
    <row r="68" ht="14.25" customHeight="1" spans="4:10">
      <c r="D68" s="19">
        <f>'SUB-4'!D67</f>
        <v>53</v>
      </c>
      <c r="E68" s="22" t="str">
        <f>'SUB-4'!E67</f>
        <v>BTMC24O1053</v>
      </c>
      <c r="F68" s="19" t="s">
        <v>600</v>
      </c>
      <c r="G68" s="19">
        <v>19</v>
      </c>
      <c r="H68" s="19">
        <f t="shared" si="0"/>
        <v>19</v>
      </c>
      <c r="I68" s="19" t="str">
        <f t="shared" si="1"/>
        <v>PASS</v>
      </c>
      <c r="J68" s="19" t="str">
        <f t="shared" si="2"/>
        <v>1</v>
      </c>
    </row>
    <row r="69" ht="14.25" customHeight="1" spans="4:10">
      <c r="D69" s="19">
        <f>'SUB-4'!D68</f>
        <v>54</v>
      </c>
      <c r="E69" s="22" t="str">
        <f>'SUB-4'!E68</f>
        <v>BTMC24O1054</v>
      </c>
      <c r="F69" s="19" t="s">
        <v>600</v>
      </c>
      <c r="G69" s="19">
        <v>33</v>
      </c>
      <c r="H69" s="19">
        <f t="shared" si="0"/>
        <v>33</v>
      </c>
      <c r="I69" s="19" t="str">
        <f t="shared" si="1"/>
        <v>PASS</v>
      </c>
      <c r="J69" s="19" t="str">
        <f t="shared" si="2"/>
        <v>1</v>
      </c>
    </row>
    <row r="70" ht="14.25" customHeight="1" spans="4:10">
      <c r="D70" s="19">
        <f>'SUB-4'!D69</f>
        <v>55</v>
      </c>
      <c r="E70" s="22" t="str">
        <f>'SUB-4'!E69</f>
        <v>BTMC24O1055</v>
      </c>
      <c r="F70" s="19" t="s">
        <v>600</v>
      </c>
      <c r="G70" s="19">
        <v>2</v>
      </c>
      <c r="H70" s="19">
        <f t="shared" si="0"/>
        <v>2</v>
      </c>
      <c r="I70" s="19" t="str">
        <f t="shared" si="1"/>
        <v>FAIL</v>
      </c>
      <c r="J70" s="19" t="str">
        <f t="shared" si="2"/>
        <v>0</v>
      </c>
    </row>
    <row r="71" ht="14.25" customHeight="1" spans="4:10">
      <c r="D71" s="19">
        <f>'SUB-4'!D70</f>
        <v>56</v>
      </c>
      <c r="E71" s="22" t="str">
        <f>'SUB-4'!E70</f>
        <v>BTMC24O1056</v>
      </c>
      <c r="F71" s="19" t="s">
        <v>600</v>
      </c>
      <c r="G71" s="19">
        <v>47</v>
      </c>
      <c r="H71" s="19">
        <f t="shared" si="0"/>
        <v>47</v>
      </c>
      <c r="I71" s="19" t="str">
        <f t="shared" si="1"/>
        <v>PASS</v>
      </c>
      <c r="J71" s="19" t="str">
        <f t="shared" si="2"/>
        <v>1</v>
      </c>
    </row>
    <row r="72" ht="14.25" customHeight="1" spans="4:10">
      <c r="D72" s="19">
        <f>'SUB-4'!D71</f>
        <v>57</v>
      </c>
      <c r="E72" s="22" t="str">
        <f>'SUB-4'!E71</f>
        <v>BTMC24O1057</v>
      </c>
      <c r="F72" s="19" t="s">
        <v>600</v>
      </c>
      <c r="G72" s="19">
        <v>23</v>
      </c>
      <c r="H72" s="19">
        <f t="shared" si="0"/>
        <v>23</v>
      </c>
      <c r="I72" s="19" t="str">
        <f t="shared" si="1"/>
        <v>PASS</v>
      </c>
      <c r="J72" s="19" t="str">
        <f t="shared" si="2"/>
        <v>1</v>
      </c>
    </row>
    <row r="73" ht="14.25" customHeight="1" spans="4:10">
      <c r="D73" s="19">
        <f>'SUB-4'!D72</f>
        <v>58</v>
      </c>
      <c r="E73" s="22" t="str">
        <f>'SUB-4'!E72</f>
        <v>BTMC24O1058</v>
      </c>
      <c r="F73" s="19" t="s">
        <v>600</v>
      </c>
      <c r="G73" s="19">
        <v>4</v>
      </c>
      <c r="H73" s="19">
        <f t="shared" si="0"/>
        <v>4</v>
      </c>
      <c r="I73" s="19" t="str">
        <f t="shared" si="1"/>
        <v>FAIL</v>
      </c>
      <c r="J73" s="19" t="str">
        <f t="shared" si="2"/>
        <v>0</v>
      </c>
    </row>
    <row r="74" ht="14.25" customHeight="1" spans="4:10">
      <c r="D74" s="19">
        <f>'SUB-4'!D73</f>
        <v>59</v>
      </c>
      <c r="E74" s="22" t="str">
        <f>'SUB-4'!E73</f>
        <v>BTMC24O1059</v>
      </c>
      <c r="F74" s="19" t="s">
        <v>600</v>
      </c>
      <c r="G74" s="19">
        <v>15</v>
      </c>
      <c r="H74" s="19">
        <f t="shared" si="0"/>
        <v>15</v>
      </c>
      <c r="I74" s="19" t="str">
        <f t="shared" si="1"/>
        <v>FAIL</v>
      </c>
      <c r="J74" s="19" t="str">
        <f t="shared" si="2"/>
        <v>0</v>
      </c>
    </row>
    <row r="75" ht="14.25" customHeight="1" spans="4:10">
      <c r="D75" s="19">
        <f>'SUB-4'!D74</f>
        <v>60</v>
      </c>
      <c r="E75" s="22" t="str">
        <f>'SUB-4'!E74</f>
        <v>BTMC24O1060</v>
      </c>
      <c r="F75" s="19" t="s">
        <v>600</v>
      </c>
      <c r="G75" s="19">
        <v>40</v>
      </c>
      <c r="H75" s="19">
        <f t="shared" si="0"/>
        <v>40</v>
      </c>
      <c r="I75" s="19" t="str">
        <f t="shared" si="1"/>
        <v>PASS</v>
      </c>
      <c r="J75" s="19" t="str">
        <f t="shared" si="2"/>
        <v>1</v>
      </c>
    </row>
    <row r="76" ht="14.25" customHeight="1" spans="4:10">
      <c r="D76" s="19">
        <f>'SUB-4'!D75</f>
        <v>61</v>
      </c>
      <c r="E76" s="22" t="str">
        <f>'SUB-4'!E75</f>
        <v>BTMC24O1061</v>
      </c>
      <c r="F76" s="19" t="s">
        <v>600</v>
      </c>
      <c r="G76" s="19">
        <v>43</v>
      </c>
      <c r="H76" s="19">
        <f t="shared" si="0"/>
        <v>43</v>
      </c>
      <c r="I76" s="19" t="str">
        <f t="shared" si="1"/>
        <v>PASS</v>
      </c>
      <c r="J76" s="19" t="str">
        <f t="shared" si="2"/>
        <v>1</v>
      </c>
    </row>
    <row r="77" ht="14.25" customHeight="1" spans="4:10">
      <c r="D77" s="19">
        <f>'SUB-4'!D76</f>
        <v>62</v>
      </c>
      <c r="E77" s="22" t="str">
        <f>'SUB-4'!E76</f>
        <v>BTMC24O1062</v>
      </c>
      <c r="F77" s="19" t="s">
        <v>600</v>
      </c>
      <c r="G77" s="19">
        <v>3</v>
      </c>
      <c r="H77" s="19">
        <f t="shared" si="0"/>
        <v>3</v>
      </c>
      <c r="I77" s="19" t="str">
        <f t="shared" si="1"/>
        <v>FAIL</v>
      </c>
      <c r="J77" s="19" t="str">
        <f t="shared" si="2"/>
        <v>0</v>
      </c>
    </row>
    <row r="78" ht="14.25" customHeight="1" spans="4:10">
      <c r="D78" s="19">
        <f>'SUB-4'!D77</f>
        <v>63</v>
      </c>
      <c r="E78" s="22" t="str">
        <f>'SUB-4'!E77</f>
        <v>BTMC24O1063</v>
      </c>
      <c r="F78" s="19" t="s">
        <v>600</v>
      </c>
      <c r="G78" s="19">
        <v>19</v>
      </c>
      <c r="H78" s="19">
        <f t="shared" si="0"/>
        <v>19</v>
      </c>
      <c r="I78" s="19" t="str">
        <f t="shared" si="1"/>
        <v>PASS</v>
      </c>
      <c r="J78" s="19" t="str">
        <f t="shared" si="2"/>
        <v>1</v>
      </c>
    </row>
    <row r="79" ht="14.25" customHeight="1" spans="4:10">
      <c r="D79" s="19">
        <f>'SUB-4'!D78</f>
        <v>64</v>
      </c>
      <c r="E79" s="22" t="str">
        <f>'SUB-4'!E78</f>
        <v>BTMC24O1064</v>
      </c>
      <c r="F79" s="19" t="s">
        <v>600</v>
      </c>
      <c r="G79" s="19">
        <v>14</v>
      </c>
      <c r="H79" s="19">
        <f t="shared" si="0"/>
        <v>14</v>
      </c>
      <c r="I79" s="19" t="str">
        <f t="shared" si="1"/>
        <v>FAIL</v>
      </c>
      <c r="J79" s="19" t="str">
        <f t="shared" si="2"/>
        <v>0</v>
      </c>
    </row>
    <row r="80" ht="14.25" customHeight="1" spans="4:10">
      <c r="D80" s="19">
        <f>'SUB-4'!D79</f>
        <v>65</v>
      </c>
      <c r="E80" s="22" t="str">
        <f>'SUB-4'!E79</f>
        <v>BTMC24O1065</v>
      </c>
      <c r="F80" s="19" t="s">
        <v>600</v>
      </c>
      <c r="G80" s="19">
        <v>0</v>
      </c>
      <c r="H80" s="19">
        <f t="shared" ref="H80:H115" si="3">G80</f>
        <v>0</v>
      </c>
      <c r="I80" s="19" t="str">
        <f t="shared" ref="I80:I115" si="4">IF(H80&lt;16,"FAIL","PASS")</f>
        <v>FAIL</v>
      </c>
      <c r="J80" s="19" t="str">
        <f t="shared" ref="J80:J115" si="5">IF(H80&lt;16,"0","1")</f>
        <v>0</v>
      </c>
    </row>
    <row r="81" ht="14.25" customHeight="1" spans="4:10">
      <c r="D81" s="19">
        <f>'SUB-4'!D80</f>
        <v>66</v>
      </c>
      <c r="E81" s="22" t="str">
        <f>'SUB-4'!E80</f>
        <v>BTMC24O1066</v>
      </c>
      <c r="F81" s="19" t="s">
        <v>600</v>
      </c>
      <c r="G81" s="19">
        <v>31</v>
      </c>
      <c r="H81" s="19">
        <f t="shared" si="3"/>
        <v>31</v>
      </c>
      <c r="I81" s="19" t="str">
        <f t="shared" si="4"/>
        <v>PASS</v>
      </c>
      <c r="J81" s="19" t="str">
        <f t="shared" si="5"/>
        <v>1</v>
      </c>
    </row>
    <row r="82" ht="14.25" customHeight="1" spans="4:10">
      <c r="D82" s="19">
        <f>'SUB-4'!D81</f>
        <v>67</v>
      </c>
      <c r="E82" s="22" t="str">
        <f>'SUB-4'!E81</f>
        <v>BTMC24O1067</v>
      </c>
      <c r="F82" s="19" t="s">
        <v>600</v>
      </c>
      <c r="G82" s="19">
        <v>20</v>
      </c>
      <c r="H82" s="19">
        <f t="shared" si="3"/>
        <v>20</v>
      </c>
      <c r="I82" s="19" t="str">
        <f t="shared" si="4"/>
        <v>PASS</v>
      </c>
      <c r="J82" s="19" t="str">
        <f t="shared" si="5"/>
        <v>1</v>
      </c>
    </row>
    <row r="83" ht="14.25" customHeight="1" spans="4:10">
      <c r="D83" s="19">
        <f>'SUB-4'!D82</f>
        <v>68</v>
      </c>
      <c r="E83" s="22" t="str">
        <f>'SUB-4'!E82</f>
        <v>BTMC24O1068</v>
      </c>
      <c r="F83" s="19" t="s">
        <v>600</v>
      </c>
      <c r="G83" s="19">
        <v>24</v>
      </c>
      <c r="H83" s="19">
        <f t="shared" si="3"/>
        <v>24</v>
      </c>
      <c r="I83" s="19" t="str">
        <f t="shared" si="4"/>
        <v>PASS</v>
      </c>
      <c r="J83" s="19" t="str">
        <f t="shared" si="5"/>
        <v>1</v>
      </c>
    </row>
    <row r="84" ht="14.25" customHeight="1" spans="4:10">
      <c r="D84" s="19">
        <f>'SUB-4'!D83</f>
        <v>69</v>
      </c>
      <c r="E84" s="22" t="str">
        <f>'SUB-4'!E83</f>
        <v>BTMC24O1069</v>
      </c>
      <c r="F84" s="19" t="s">
        <v>600</v>
      </c>
      <c r="G84" s="19">
        <v>1</v>
      </c>
      <c r="H84" s="19">
        <f t="shared" si="3"/>
        <v>1</v>
      </c>
      <c r="I84" s="19" t="str">
        <f t="shared" si="4"/>
        <v>FAIL</v>
      </c>
      <c r="J84" s="19" t="str">
        <f t="shared" si="5"/>
        <v>0</v>
      </c>
    </row>
    <row r="85" ht="14.25" customHeight="1" spans="4:10">
      <c r="D85" s="19">
        <f>'SUB-4'!D84</f>
        <v>70</v>
      </c>
      <c r="E85" s="22" t="str">
        <f>'SUB-4'!E84</f>
        <v>BTMC24O1070</v>
      </c>
      <c r="F85" s="19" t="s">
        <v>600</v>
      </c>
      <c r="G85" s="19">
        <v>13</v>
      </c>
      <c r="H85" s="19">
        <f t="shared" si="3"/>
        <v>13</v>
      </c>
      <c r="I85" s="19" t="str">
        <f t="shared" si="4"/>
        <v>FAIL</v>
      </c>
      <c r="J85" s="19" t="str">
        <f t="shared" si="5"/>
        <v>0</v>
      </c>
    </row>
    <row r="86" ht="14.25" customHeight="1" spans="4:10">
      <c r="D86" s="19">
        <f>'SUB-4'!D85</f>
        <v>71</v>
      </c>
      <c r="E86" s="22" t="str">
        <f>'SUB-4'!E85</f>
        <v>BTMC24O1071</v>
      </c>
      <c r="F86" s="19" t="s">
        <v>600</v>
      </c>
      <c r="G86" s="19">
        <v>18</v>
      </c>
      <c r="H86" s="19">
        <f t="shared" si="3"/>
        <v>18</v>
      </c>
      <c r="I86" s="19" t="str">
        <f t="shared" si="4"/>
        <v>PASS</v>
      </c>
      <c r="J86" s="19" t="str">
        <f t="shared" si="5"/>
        <v>1</v>
      </c>
    </row>
    <row r="87" ht="14.25" customHeight="1" spans="4:10">
      <c r="D87" s="19">
        <f>'SUB-4'!D86</f>
        <v>72</v>
      </c>
      <c r="E87" s="22" t="str">
        <f>'SUB-4'!E86</f>
        <v>BTMC24O1072</v>
      </c>
      <c r="F87" s="19" t="s">
        <v>600</v>
      </c>
      <c r="G87" s="19">
        <v>44</v>
      </c>
      <c r="H87" s="19">
        <f t="shared" si="3"/>
        <v>44</v>
      </c>
      <c r="I87" s="19" t="str">
        <f t="shared" si="4"/>
        <v>PASS</v>
      </c>
      <c r="J87" s="19" t="str">
        <f t="shared" si="5"/>
        <v>1</v>
      </c>
    </row>
    <row r="88" ht="14.25" customHeight="1" spans="4:10">
      <c r="D88" s="19">
        <f>'SUB-4'!D87</f>
        <v>73</v>
      </c>
      <c r="E88" s="22" t="str">
        <f>'SUB-4'!E87</f>
        <v>BTMC24O1073</v>
      </c>
      <c r="F88" s="19" t="s">
        <v>600</v>
      </c>
      <c r="G88" s="19">
        <v>32</v>
      </c>
      <c r="H88" s="19">
        <f t="shared" si="3"/>
        <v>32</v>
      </c>
      <c r="I88" s="19" t="str">
        <f t="shared" si="4"/>
        <v>PASS</v>
      </c>
      <c r="J88" s="19" t="str">
        <f t="shared" si="5"/>
        <v>1</v>
      </c>
    </row>
    <row r="89" ht="14.25" customHeight="1" spans="4:10">
      <c r="D89" s="19">
        <f>'SUB-4'!D88</f>
        <v>74</v>
      </c>
      <c r="E89" s="22" t="str">
        <f>'SUB-4'!E88</f>
        <v>BTMC24O1074</v>
      </c>
      <c r="F89" s="19" t="s">
        <v>600</v>
      </c>
      <c r="G89" s="19">
        <v>14</v>
      </c>
      <c r="H89" s="19">
        <f t="shared" si="3"/>
        <v>14</v>
      </c>
      <c r="I89" s="19" t="str">
        <f t="shared" si="4"/>
        <v>FAIL</v>
      </c>
      <c r="J89" s="19" t="str">
        <f t="shared" si="5"/>
        <v>0</v>
      </c>
    </row>
    <row r="90" ht="14.25" customHeight="1" spans="4:10">
      <c r="D90" s="19">
        <f>'SUB-4'!D89</f>
        <v>75</v>
      </c>
      <c r="E90" s="22" t="str">
        <f>'SUB-4'!E89</f>
        <v>BTMC24O1075</v>
      </c>
      <c r="F90" s="19" t="s">
        <v>600</v>
      </c>
      <c r="G90" s="19">
        <v>44</v>
      </c>
      <c r="H90" s="19">
        <f t="shared" si="3"/>
        <v>44</v>
      </c>
      <c r="I90" s="19" t="str">
        <f t="shared" si="4"/>
        <v>PASS</v>
      </c>
      <c r="J90" s="19" t="str">
        <f t="shared" si="5"/>
        <v>1</v>
      </c>
    </row>
    <row r="91" ht="14.25" customHeight="1" spans="4:10">
      <c r="D91" s="19">
        <f>'SUB-4'!D90</f>
        <v>76</v>
      </c>
      <c r="E91" s="22" t="str">
        <f>'SUB-4'!E90</f>
        <v>BTMC24O1076</v>
      </c>
      <c r="F91" s="19" t="s">
        <v>600</v>
      </c>
      <c r="G91" s="19">
        <v>39</v>
      </c>
      <c r="H91" s="19">
        <f t="shared" si="3"/>
        <v>39</v>
      </c>
      <c r="I91" s="19" t="str">
        <f t="shared" si="4"/>
        <v>PASS</v>
      </c>
      <c r="J91" s="19" t="str">
        <f t="shared" si="5"/>
        <v>1</v>
      </c>
    </row>
    <row r="92" ht="14.25" customHeight="1" spans="4:10">
      <c r="D92" s="19">
        <f>'SUB-4'!D91</f>
        <v>77</v>
      </c>
      <c r="E92" s="22" t="str">
        <f>'SUB-4'!E91</f>
        <v>BTMC24O1077</v>
      </c>
      <c r="F92" s="19" t="s">
        <v>600</v>
      </c>
      <c r="G92" s="19">
        <v>38</v>
      </c>
      <c r="H92" s="19">
        <f t="shared" si="3"/>
        <v>38</v>
      </c>
      <c r="I92" s="19" t="str">
        <f t="shared" si="4"/>
        <v>PASS</v>
      </c>
      <c r="J92" s="19" t="str">
        <f t="shared" si="5"/>
        <v>1</v>
      </c>
    </row>
    <row r="93" ht="14.25" customHeight="1" spans="4:10">
      <c r="D93" s="19">
        <f>'SUB-4'!D92</f>
        <v>78</v>
      </c>
      <c r="E93" s="22" t="str">
        <f>'SUB-4'!E92</f>
        <v>BTMC24O1078</v>
      </c>
      <c r="F93" s="19" t="s">
        <v>600</v>
      </c>
      <c r="G93" s="19">
        <v>19</v>
      </c>
      <c r="H93" s="19">
        <f t="shared" si="3"/>
        <v>19</v>
      </c>
      <c r="I93" s="19" t="str">
        <f t="shared" si="4"/>
        <v>PASS</v>
      </c>
      <c r="J93" s="19" t="str">
        <f t="shared" si="5"/>
        <v>1</v>
      </c>
    </row>
    <row r="94" ht="14.25" customHeight="1" spans="4:10">
      <c r="D94" s="19">
        <f>'SUB-4'!D93</f>
        <v>79</v>
      </c>
      <c r="E94" s="22" t="str">
        <f>'SUB-4'!E93</f>
        <v>BTMC24O1079</v>
      </c>
      <c r="F94" s="19" t="s">
        <v>600</v>
      </c>
      <c r="G94" s="19">
        <v>25</v>
      </c>
      <c r="H94" s="19">
        <f t="shared" si="3"/>
        <v>25</v>
      </c>
      <c r="I94" s="19" t="str">
        <f t="shared" si="4"/>
        <v>PASS</v>
      </c>
      <c r="J94" s="19" t="str">
        <f t="shared" si="5"/>
        <v>1</v>
      </c>
    </row>
    <row r="95" ht="14.25" customHeight="1" spans="4:10">
      <c r="D95" s="19">
        <f>'SUB-4'!D94</f>
        <v>80</v>
      </c>
      <c r="E95" s="22" t="str">
        <f>'SUB-4'!E94</f>
        <v>BTMC24O1080</v>
      </c>
      <c r="F95" s="19" t="s">
        <v>600</v>
      </c>
      <c r="G95" s="19">
        <v>17</v>
      </c>
      <c r="H95" s="19">
        <f t="shared" si="3"/>
        <v>17</v>
      </c>
      <c r="I95" s="19" t="str">
        <f t="shared" si="4"/>
        <v>PASS</v>
      </c>
      <c r="J95" s="19" t="str">
        <f t="shared" si="5"/>
        <v>1</v>
      </c>
    </row>
    <row r="96" ht="14.25" customHeight="1" spans="4:10">
      <c r="D96" s="19">
        <f>'SUB-4'!D95</f>
        <v>81</v>
      </c>
      <c r="E96" s="22" t="str">
        <f>'SUB-4'!E95</f>
        <v>BTMC24O1081</v>
      </c>
      <c r="F96" s="19" t="s">
        <v>600</v>
      </c>
      <c r="G96" s="19">
        <v>9</v>
      </c>
      <c r="H96" s="19">
        <f t="shared" si="3"/>
        <v>9</v>
      </c>
      <c r="I96" s="19" t="str">
        <f t="shared" si="4"/>
        <v>FAIL</v>
      </c>
      <c r="J96" s="19" t="str">
        <f t="shared" si="5"/>
        <v>0</v>
      </c>
    </row>
    <row r="97" ht="14.25" customHeight="1" spans="4:10">
      <c r="D97" s="19">
        <f>'SUB-4'!D96</f>
        <v>82</v>
      </c>
      <c r="E97" s="22" t="str">
        <f>'SUB-4'!E96</f>
        <v>BTMC24O1082</v>
      </c>
      <c r="F97" s="19" t="s">
        <v>600</v>
      </c>
      <c r="G97" s="19">
        <v>50</v>
      </c>
      <c r="H97" s="19">
        <f t="shared" si="3"/>
        <v>50</v>
      </c>
      <c r="I97" s="19" t="str">
        <f t="shared" si="4"/>
        <v>PASS</v>
      </c>
      <c r="J97" s="19" t="str">
        <f t="shared" si="5"/>
        <v>1</v>
      </c>
    </row>
    <row r="98" ht="14.25" customHeight="1" spans="4:10">
      <c r="D98" s="19">
        <f>'SUB-4'!D97</f>
        <v>83</v>
      </c>
      <c r="E98" s="22" t="str">
        <f>'SUB-4'!E97</f>
        <v>BTMC24O1083</v>
      </c>
      <c r="F98" s="19" t="s">
        <v>600</v>
      </c>
      <c r="G98" s="19">
        <v>10</v>
      </c>
      <c r="H98" s="19">
        <f t="shared" si="3"/>
        <v>10</v>
      </c>
      <c r="I98" s="19" t="str">
        <f t="shared" si="4"/>
        <v>FAIL</v>
      </c>
      <c r="J98" s="19" t="str">
        <f t="shared" si="5"/>
        <v>0</v>
      </c>
    </row>
    <row r="99" ht="14.25" customHeight="1" spans="4:10">
      <c r="D99" s="19">
        <f>'SUB-4'!D98</f>
        <v>84</v>
      </c>
      <c r="E99" s="22" t="str">
        <f>'SUB-4'!E98</f>
        <v>BTMC24O1084</v>
      </c>
      <c r="F99" s="19" t="s">
        <v>600</v>
      </c>
      <c r="G99" s="19">
        <v>45</v>
      </c>
      <c r="H99" s="19">
        <f t="shared" si="3"/>
        <v>45</v>
      </c>
      <c r="I99" s="19" t="str">
        <f t="shared" si="4"/>
        <v>PASS</v>
      </c>
      <c r="J99" s="19" t="str">
        <f t="shared" si="5"/>
        <v>1</v>
      </c>
    </row>
    <row r="100" ht="14.25" customHeight="1" spans="4:10">
      <c r="D100" s="19">
        <f>'SUB-4'!D99</f>
        <v>85</v>
      </c>
      <c r="E100" s="22" t="str">
        <f>'SUB-4'!E99</f>
        <v>BTMC24O1085</v>
      </c>
      <c r="F100" s="19" t="s">
        <v>600</v>
      </c>
      <c r="G100" s="19">
        <v>33</v>
      </c>
      <c r="H100" s="19">
        <f t="shared" si="3"/>
        <v>33</v>
      </c>
      <c r="I100" s="19" t="str">
        <f t="shared" si="4"/>
        <v>PASS</v>
      </c>
      <c r="J100" s="19" t="str">
        <f t="shared" si="5"/>
        <v>1</v>
      </c>
    </row>
    <row r="101" ht="14.25" customHeight="1" spans="4:10">
      <c r="D101" s="19">
        <f>'SUB-4'!D100</f>
        <v>86</v>
      </c>
      <c r="E101" s="22" t="str">
        <f>'SUB-4'!E100</f>
        <v>BTMC24O1086</v>
      </c>
      <c r="F101" s="19" t="s">
        <v>600</v>
      </c>
      <c r="G101" s="19">
        <v>4</v>
      </c>
      <c r="H101" s="19">
        <f t="shared" si="3"/>
        <v>4</v>
      </c>
      <c r="I101" s="19" t="str">
        <f t="shared" si="4"/>
        <v>FAIL</v>
      </c>
      <c r="J101" s="19" t="str">
        <f t="shared" si="5"/>
        <v>0</v>
      </c>
    </row>
    <row r="102" ht="14.25" customHeight="1" spans="4:10">
      <c r="D102" s="19">
        <f>'SUB-4'!D101</f>
        <v>87</v>
      </c>
      <c r="E102" s="22" t="str">
        <f>'SUB-4'!E101</f>
        <v>BTMC24O1087</v>
      </c>
      <c r="F102" s="19" t="s">
        <v>600</v>
      </c>
      <c r="G102" s="19">
        <v>32</v>
      </c>
      <c r="H102" s="19">
        <f t="shared" si="3"/>
        <v>32</v>
      </c>
      <c r="I102" s="19" t="str">
        <f t="shared" si="4"/>
        <v>PASS</v>
      </c>
      <c r="J102" s="19" t="str">
        <f t="shared" si="5"/>
        <v>1</v>
      </c>
    </row>
    <row r="103" ht="14.25" customHeight="1" spans="4:10">
      <c r="D103" s="19">
        <f>'SUB-4'!D102</f>
        <v>88</v>
      </c>
      <c r="E103" s="22" t="str">
        <f>'SUB-4'!E102</f>
        <v>BTMC24O1088</v>
      </c>
      <c r="F103" s="19" t="s">
        <v>600</v>
      </c>
      <c r="G103" s="19">
        <v>36</v>
      </c>
      <c r="H103" s="19">
        <f t="shared" si="3"/>
        <v>36</v>
      </c>
      <c r="I103" s="19" t="str">
        <f t="shared" si="4"/>
        <v>PASS</v>
      </c>
      <c r="J103" s="19" t="str">
        <f t="shared" si="5"/>
        <v>1</v>
      </c>
    </row>
    <row r="104" ht="14.25" customHeight="1" spans="4:10">
      <c r="D104" s="19">
        <f>'SUB-4'!D103</f>
        <v>89</v>
      </c>
      <c r="E104" s="22" t="str">
        <f>'SUB-4'!E103</f>
        <v>BTMC24O1089</v>
      </c>
      <c r="F104" s="19" t="s">
        <v>600</v>
      </c>
      <c r="G104" s="19">
        <v>30</v>
      </c>
      <c r="H104" s="19">
        <f t="shared" si="3"/>
        <v>30</v>
      </c>
      <c r="I104" s="19" t="str">
        <f t="shared" si="4"/>
        <v>PASS</v>
      </c>
      <c r="J104" s="19" t="str">
        <f t="shared" si="5"/>
        <v>1</v>
      </c>
    </row>
    <row r="105" ht="14.25" customHeight="1" spans="4:10">
      <c r="D105" s="19">
        <f>'SUB-4'!D104</f>
        <v>90</v>
      </c>
      <c r="E105" s="22" t="str">
        <f>'SUB-4'!E104</f>
        <v>BTMC24O1090</v>
      </c>
      <c r="F105" s="19" t="s">
        <v>600</v>
      </c>
      <c r="G105" s="19">
        <v>31</v>
      </c>
      <c r="H105" s="19">
        <f t="shared" si="3"/>
        <v>31</v>
      </c>
      <c r="I105" s="19" t="str">
        <f t="shared" si="4"/>
        <v>PASS</v>
      </c>
      <c r="J105" s="19" t="str">
        <f t="shared" si="5"/>
        <v>1</v>
      </c>
    </row>
    <row r="106" ht="14.25" customHeight="1" spans="4:10">
      <c r="D106" s="19">
        <f>'SUB-4'!D105</f>
        <v>91</v>
      </c>
      <c r="E106" s="22" t="str">
        <f>'SUB-4'!E105</f>
        <v>BTMC24O1091</v>
      </c>
      <c r="F106" s="19" t="s">
        <v>600</v>
      </c>
      <c r="G106" s="19">
        <v>3</v>
      </c>
      <c r="H106" s="19">
        <f t="shared" si="3"/>
        <v>3</v>
      </c>
      <c r="I106" s="19" t="str">
        <f t="shared" si="4"/>
        <v>FAIL</v>
      </c>
      <c r="J106" s="19" t="str">
        <f t="shared" si="5"/>
        <v>0</v>
      </c>
    </row>
    <row r="107" ht="14.25" customHeight="1" spans="4:10">
      <c r="D107" s="19">
        <f>'SUB-4'!D106</f>
        <v>92</v>
      </c>
      <c r="E107" s="22" t="str">
        <f>'SUB-4'!E106</f>
        <v>BTMC24O1092</v>
      </c>
      <c r="F107" s="19" t="s">
        <v>600</v>
      </c>
      <c r="G107" s="19">
        <v>13</v>
      </c>
      <c r="H107" s="19">
        <f t="shared" si="3"/>
        <v>13</v>
      </c>
      <c r="I107" s="19" t="str">
        <f t="shared" si="4"/>
        <v>FAIL</v>
      </c>
      <c r="J107" s="19" t="str">
        <f t="shared" si="5"/>
        <v>0</v>
      </c>
    </row>
    <row r="108" ht="14.25" customHeight="1" spans="4:10">
      <c r="D108" s="19">
        <f>'SUB-4'!D107</f>
        <v>93</v>
      </c>
      <c r="E108" s="22" t="str">
        <f>'SUB-4'!E107</f>
        <v>BTMC24O1093</v>
      </c>
      <c r="F108" s="19" t="s">
        <v>600</v>
      </c>
      <c r="G108" s="19">
        <v>49</v>
      </c>
      <c r="H108" s="19">
        <f t="shared" si="3"/>
        <v>49</v>
      </c>
      <c r="I108" s="19" t="str">
        <f t="shared" si="4"/>
        <v>PASS</v>
      </c>
      <c r="J108" s="19" t="str">
        <f t="shared" si="5"/>
        <v>1</v>
      </c>
    </row>
    <row r="109" ht="14.25" customHeight="1" spans="4:10">
      <c r="D109" s="19">
        <f>'SUB-4'!D108</f>
        <v>94</v>
      </c>
      <c r="E109" s="22" t="str">
        <f>'SUB-4'!E108</f>
        <v>BTMC24O1094</v>
      </c>
      <c r="F109" s="19" t="s">
        <v>600</v>
      </c>
      <c r="G109" s="19">
        <v>38</v>
      </c>
      <c r="H109" s="19">
        <f t="shared" si="3"/>
        <v>38</v>
      </c>
      <c r="I109" s="19" t="str">
        <f t="shared" si="4"/>
        <v>PASS</v>
      </c>
      <c r="J109" s="19" t="str">
        <f t="shared" si="5"/>
        <v>1</v>
      </c>
    </row>
    <row r="110" ht="14.25" customHeight="1" spans="4:10">
      <c r="D110" s="19">
        <f>'SUB-4'!D109</f>
        <v>95</v>
      </c>
      <c r="E110" s="22" t="str">
        <f>'SUB-4'!E109</f>
        <v>BTMC24O1095</v>
      </c>
      <c r="F110" s="19" t="s">
        <v>600</v>
      </c>
      <c r="G110" s="19">
        <v>31</v>
      </c>
      <c r="H110" s="19">
        <f t="shared" si="3"/>
        <v>31</v>
      </c>
      <c r="I110" s="19" t="str">
        <f t="shared" si="4"/>
        <v>PASS</v>
      </c>
      <c r="J110" s="19" t="str">
        <f t="shared" si="5"/>
        <v>1</v>
      </c>
    </row>
    <row r="111" ht="14.25" customHeight="1" spans="4:10">
      <c r="D111" s="19">
        <f>'SUB-4'!D110</f>
        <v>96</v>
      </c>
      <c r="E111" s="22" t="str">
        <f>'SUB-4'!E110</f>
        <v>BTMC24O1096</v>
      </c>
      <c r="F111" s="19" t="s">
        <v>600</v>
      </c>
      <c r="G111" s="19">
        <v>3</v>
      </c>
      <c r="H111" s="19">
        <f t="shared" si="3"/>
        <v>3</v>
      </c>
      <c r="I111" s="19" t="str">
        <f t="shared" si="4"/>
        <v>FAIL</v>
      </c>
      <c r="J111" s="19" t="str">
        <f t="shared" si="5"/>
        <v>0</v>
      </c>
    </row>
    <row r="112" ht="14.25" customHeight="1" spans="4:10">
      <c r="D112" s="19">
        <f>'SUB-4'!D111</f>
        <v>97</v>
      </c>
      <c r="E112" s="22" t="str">
        <f>'SUB-4'!E111</f>
        <v>BTMC24O1097</v>
      </c>
      <c r="F112" s="19" t="s">
        <v>600</v>
      </c>
      <c r="G112" s="19">
        <v>34</v>
      </c>
      <c r="H112" s="19">
        <f t="shared" si="3"/>
        <v>34</v>
      </c>
      <c r="I112" s="19" t="str">
        <f t="shared" si="4"/>
        <v>PASS</v>
      </c>
      <c r="J112" s="19" t="str">
        <f t="shared" si="5"/>
        <v>1</v>
      </c>
    </row>
    <row r="113" ht="14.25" customHeight="1" spans="4:10">
      <c r="D113" s="19">
        <f>'SUB-4'!D112</f>
        <v>98</v>
      </c>
      <c r="E113" s="22" t="str">
        <f>'SUB-4'!E112</f>
        <v>BTMC24O1098</v>
      </c>
      <c r="F113" s="19" t="s">
        <v>600</v>
      </c>
      <c r="G113" s="19">
        <v>49</v>
      </c>
      <c r="H113" s="19">
        <f t="shared" si="3"/>
        <v>49</v>
      </c>
      <c r="I113" s="19" t="str">
        <f t="shared" si="4"/>
        <v>PASS</v>
      </c>
      <c r="J113" s="19" t="str">
        <f t="shared" si="5"/>
        <v>1</v>
      </c>
    </row>
    <row r="114" ht="14.25" customHeight="1" spans="4:10">
      <c r="D114" s="19">
        <f>'SUB-4'!D113</f>
        <v>99</v>
      </c>
      <c r="E114" s="22" t="str">
        <f>'SUB-4'!E113</f>
        <v>BTMC24O1099</v>
      </c>
      <c r="F114" s="19" t="s">
        <v>600</v>
      </c>
      <c r="G114" s="19">
        <v>8</v>
      </c>
      <c r="H114" s="19">
        <f t="shared" si="3"/>
        <v>8</v>
      </c>
      <c r="I114" s="19" t="str">
        <f t="shared" si="4"/>
        <v>FAIL</v>
      </c>
      <c r="J114" s="19" t="str">
        <f t="shared" si="5"/>
        <v>0</v>
      </c>
    </row>
    <row r="115" ht="14.25" customHeight="1" spans="4:10">
      <c r="D115" s="19">
        <f>'SUB-4'!D114</f>
        <v>100</v>
      </c>
      <c r="E115" s="22" t="str">
        <f>'SUB-4'!E114</f>
        <v>BTMC24O1100</v>
      </c>
      <c r="F115" s="19" t="s">
        <v>600</v>
      </c>
      <c r="G115" s="19">
        <v>27</v>
      </c>
      <c r="H115" s="19">
        <f t="shared" si="3"/>
        <v>27</v>
      </c>
      <c r="I115" s="19" t="str">
        <f t="shared" si="4"/>
        <v>PASS</v>
      </c>
      <c r="J115" s="19" t="str">
        <f t="shared" si="5"/>
        <v>1</v>
      </c>
    </row>
  </sheetData>
  <mergeCells count="8">
    <mergeCell ref="D4:Q4"/>
    <mergeCell ref="D5:Q5"/>
    <mergeCell ref="D6:Q6"/>
    <mergeCell ref="G7:L7"/>
    <mergeCell ref="D8:Q8"/>
    <mergeCell ref="D9:Q9"/>
    <mergeCell ref="L14:M14"/>
    <mergeCell ref="D2:Q3"/>
  </mergeCells>
  <conditionalFormatting sqref="E16:E115">
    <cfRule type="expression" dxfId="2" priority="4">
      <formula>COUNTIF($E$16:$E$115,E16)&gt;1</formula>
    </cfRule>
  </conditionalFormatting>
  <conditionalFormatting sqref="G16:G115">
    <cfRule type="expression" dxfId="2" priority="3">
      <formula>OR(G16&lt;0,G16&gt;50,NOT(ISNUMBER(G16)))</formula>
    </cfRule>
  </conditionalFormatting>
  <conditionalFormatting sqref="I16:I115">
    <cfRule type="containsText" dxfId="0" priority="2" operator="between" text="FAIL">
      <formula>NOT(ISERROR(SEARCH("FAIL",I16)))</formula>
    </cfRule>
  </conditionalFormatting>
  <dataValidations count="2">
    <dataValidation type="textLength" operator="equal" allowBlank="1" showErrorMessage="1" errorTitle="Invalid enrollment no." error="Enrollment number must be 11 characters (e.g. BTMC24O1001)" sqref="E16:E115">
      <formula1>11</formula1>
    </dataValidation>
    <dataValidation type="decimal" operator="between" allowBlank="1" showErrorMessage="1" errorTitle="Invalid mark" error="Enter a number between 0 and 50" sqref="G16:G115">
      <formula1>0</formula1>
      <formula2>50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C1:Q114"/>
  <sheetViews>
    <sheetView zoomScale="90" zoomScaleNormal="90" workbookViewId="0">
      <selection activeCell="H12" sqref="H12"/>
    </sheetView>
  </sheetViews>
  <sheetFormatPr defaultColWidth="9" defaultRowHeight="14.4"/>
  <cols>
    <col min="4" max="4" width="6.5462962962963" style="1" customWidth="1"/>
    <col min="5" max="5" width="16.7222222222222" style="1" customWidth="1"/>
    <col min="6" max="6" width="10.4537037037037" style="1" customWidth="1"/>
    <col min="7" max="7" width="10.7222222222222" style="1" customWidth="1"/>
    <col min="8" max="8" width="11.4537037037037" style="1" customWidth="1"/>
    <col min="9" max="9" width="10.8055555555556" style="1" customWidth="1"/>
    <col min="10" max="10" width="16.6296296296296" style="1" customWidth="1"/>
    <col min="11" max="11" width="10.4537037037037" style="1" customWidth="1"/>
    <col min="12" max="12" width="9.80555555555556" style="1" customWidth="1"/>
    <col min="14" max="14" width="13.8055555555556" style="1" customWidth="1"/>
    <col min="15" max="15" width="13.1759259259259" style="1" customWidth="1"/>
  </cols>
  <sheetData>
    <row r="1" ht="14.25" customHeight="1" spans="3:17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</row>
    <row r="2" ht="14.25" customHeight="1" spans="3:17">
      <c r="C2" s="9"/>
      <c r="D2" s="11" t="s">
        <v>26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4.25" customHeight="1" spans="3:17"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21" customHeight="1" spans="3:17">
      <c r="C4" s="9"/>
      <c r="D4" s="12" t="s">
        <v>27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ht="21" customHeight="1" spans="3:17">
      <c r="C5" s="9"/>
      <c r="D5" s="13" t="s">
        <v>28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21" customHeight="1" spans="3:17">
      <c r="C6" s="9"/>
      <c r="D6" s="14" t="s">
        <v>29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3:17">
      <c r="C7" s="9"/>
      <c r="D7" s="15"/>
      <c r="E7" s="9"/>
      <c r="F7" s="9"/>
      <c r="G7" s="13" t="s">
        <v>30</v>
      </c>
      <c r="H7" s="13"/>
      <c r="I7" s="13"/>
      <c r="J7" s="13"/>
      <c r="K7" s="13"/>
      <c r="L7" s="13"/>
      <c r="M7" s="9"/>
      <c r="N7" s="9"/>
      <c r="O7" s="9"/>
      <c r="P7" s="9"/>
      <c r="Q7" s="10"/>
    </row>
    <row r="8" ht="21" customHeight="1" spans="3:17">
      <c r="C8" s="9"/>
      <c r="D8" s="16" t="s">
        <v>60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1" customHeight="1" spans="3:17">
      <c r="C9" s="10"/>
      <c r="D9" s="16" t="s">
        <v>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1" ht="18" customHeight="1" spans="3:17">
      <c r="E11" s="17">
        <v>25241112</v>
      </c>
      <c r="H11" s="17" t="s">
        <v>697</v>
      </c>
    </row>
    <row r="12" ht="14.25" customHeight="1" spans="3:17">
      <c r="D12" s="18" t="s">
        <v>62</v>
      </c>
      <c r="E12" s="18" t="s">
        <v>63</v>
      </c>
      <c r="F12" s="18" t="s">
        <v>622</v>
      </c>
      <c r="G12" s="18" t="s">
        <v>623</v>
      </c>
      <c r="H12" s="18" t="s">
        <v>624</v>
      </c>
      <c r="I12" s="18" t="s">
        <v>625</v>
      </c>
      <c r="J12" s="18" t="s">
        <v>626</v>
      </c>
      <c r="K12" s="18" t="s">
        <v>627</v>
      </c>
      <c r="L12" s="18" t="s">
        <v>75</v>
      </c>
      <c r="M12" s="18" t="s">
        <v>47</v>
      </c>
      <c r="N12" s="18" t="s">
        <v>77</v>
      </c>
    </row>
    <row r="13" ht="14.25" customHeight="1" spans="3:17">
      <c r="D13" s="19"/>
      <c r="E13" s="19"/>
      <c r="F13" s="20">
        <v>20</v>
      </c>
      <c r="G13" s="20">
        <v>20</v>
      </c>
      <c r="H13" s="20">
        <v>10</v>
      </c>
      <c r="I13" s="20">
        <v>20</v>
      </c>
      <c r="J13" s="20">
        <v>30</v>
      </c>
      <c r="K13" s="20">
        <v>30</v>
      </c>
      <c r="L13" s="20">
        <v>100</v>
      </c>
      <c r="M13" s="20">
        <v>3</v>
      </c>
      <c r="N13" s="20" t="s">
        <v>79</v>
      </c>
      <c r="P13" s="1" t="s">
        <v>628</v>
      </c>
    </row>
    <row r="14" ht="14.25" customHeight="1" spans="3:17">
      <c r="D14" s="19"/>
      <c r="E14" s="19"/>
      <c r="F14" s="19"/>
      <c r="G14" s="19"/>
      <c r="H14" s="19"/>
      <c r="I14" s="19"/>
      <c r="J14" s="19"/>
      <c r="K14" s="19"/>
      <c r="L14" s="21"/>
      <c r="M14" s="21"/>
      <c r="N14" s="19"/>
      <c r="P14" s="1" t="s">
        <v>673</v>
      </c>
      <c r="Q14" s="1">
        <f>COUNTIF(N15:N114,"PASS")</f>
        <v>89</v>
      </c>
    </row>
    <row r="15" ht="14.25" customHeight="1" spans="3:17">
      <c r="D15" s="19">
        <v>1</v>
      </c>
      <c r="E15" s="22" t="s">
        <v>90</v>
      </c>
      <c r="F15" s="19">
        <v>10</v>
      </c>
      <c r="G15" s="19">
        <v>10</v>
      </c>
      <c r="H15" s="19">
        <v>8</v>
      </c>
      <c r="I15" s="19">
        <v>13</v>
      </c>
      <c r="J15" s="19">
        <f t="shared" ref="J15:J78" si="0">H15+I15</f>
        <v>21</v>
      </c>
      <c r="K15" s="23">
        <v>18</v>
      </c>
      <c r="L15" s="19">
        <f t="shared" ref="L15:L78" si="1">K15+J15+G15+F15</f>
        <v>59</v>
      </c>
      <c r="M15" s="19">
        <f t="shared" ref="M15:M78" si="2">IF(L15&gt;75,3,IF(L15&gt;50,2,IF(L15&gt;35,1,0)))</f>
        <v>2</v>
      </c>
      <c r="N15" s="24" t="str">
        <f t="shared" ref="N15:N78" si="3">IF(L15&lt;35,"FAIL","PASS")</f>
        <v>PASS</v>
      </c>
      <c r="P15" s="1" t="s">
        <v>655</v>
      </c>
      <c r="Q15" s="1">
        <f>COUNTIF(N15:N114,"FAIL")</f>
        <v>11</v>
      </c>
    </row>
    <row r="16" ht="14.25" customHeight="1" spans="3:17">
      <c r="D16" s="19">
        <v>2</v>
      </c>
      <c r="E16" s="22" t="s">
        <v>97</v>
      </c>
      <c r="F16" s="19">
        <v>0</v>
      </c>
      <c r="G16" s="19">
        <v>11</v>
      </c>
      <c r="H16" s="19">
        <v>4</v>
      </c>
      <c r="I16" s="19">
        <v>15</v>
      </c>
      <c r="J16" s="19">
        <f t="shared" si="0"/>
        <v>19</v>
      </c>
      <c r="K16" s="23">
        <v>2</v>
      </c>
      <c r="L16" s="19">
        <f t="shared" si="1"/>
        <v>32</v>
      </c>
      <c r="M16" s="19">
        <f t="shared" si="2"/>
        <v>0</v>
      </c>
      <c r="N16" s="24" t="str">
        <f t="shared" si="3"/>
        <v>FAIL</v>
      </c>
    </row>
    <row r="17" ht="14.25" customHeight="1" spans="4:14">
      <c r="D17" s="19">
        <v>3</v>
      </c>
      <c r="E17" s="22" t="s">
        <v>102</v>
      </c>
      <c r="F17" s="19">
        <v>9</v>
      </c>
      <c r="G17" s="19">
        <v>15</v>
      </c>
      <c r="H17" s="19">
        <v>0</v>
      </c>
      <c r="I17" s="19">
        <v>10</v>
      </c>
      <c r="J17" s="19">
        <f t="shared" si="0"/>
        <v>10</v>
      </c>
      <c r="K17" s="23">
        <v>28</v>
      </c>
      <c r="L17" s="19">
        <f t="shared" si="1"/>
        <v>62</v>
      </c>
      <c r="M17" s="19">
        <f t="shared" si="2"/>
        <v>2</v>
      </c>
      <c r="N17" s="24" t="str">
        <f t="shared" si="3"/>
        <v>PASS</v>
      </c>
    </row>
    <row r="18" ht="14.25" customHeight="1" spans="4:14">
      <c r="D18" s="19">
        <v>4</v>
      </c>
      <c r="E18" s="22" t="s">
        <v>107</v>
      </c>
      <c r="F18" s="19">
        <v>7</v>
      </c>
      <c r="G18" s="19">
        <v>12</v>
      </c>
      <c r="H18" s="19">
        <v>5</v>
      </c>
      <c r="I18" s="19">
        <v>15</v>
      </c>
      <c r="J18" s="19">
        <f t="shared" si="0"/>
        <v>20</v>
      </c>
      <c r="K18" s="23">
        <v>4</v>
      </c>
      <c r="L18" s="19">
        <f t="shared" si="1"/>
        <v>43</v>
      </c>
      <c r="M18" s="19">
        <f t="shared" si="2"/>
        <v>1</v>
      </c>
      <c r="N18" s="24" t="str">
        <f t="shared" si="3"/>
        <v>PASS</v>
      </c>
    </row>
    <row r="19" ht="14.25" customHeight="1" spans="4:14">
      <c r="D19" s="19">
        <v>5</v>
      </c>
      <c r="E19" s="22" t="s">
        <v>112</v>
      </c>
      <c r="F19" s="19">
        <v>8</v>
      </c>
      <c r="G19" s="19">
        <v>11</v>
      </c>
      <c r="H19" s="19">
        <v>9</v>
      </c>
      <c r="I19" s="19">
        <v>4</v>
      </c>
      <c r="J19" s="19">
        <f t="shared" si="0"/>
        <v>13</v>
      </c>
      <c r="K19" s="23">
        <v>25</v>
      </c>
      <c r="L19" s="19">
        <f t="shared" si="1"/>
        <v>57</v>
      </c>
      <c r="M19" s="19">
        <f t="shared" si="2"/>
        <v>2</v>
      </c>
      <c r="N19" s="24" t="str">
        <f t="shared" si="3"/>
        <v>PASS</v>
      </c>
    </row>
    <row r="20" ht="14.25" customHeight="1" spans="4:14">
      <c r="D20" s="19">
        <v>6</v>
      </c>
      <c r="E20" s="22" t="s">
        <v>117</v>
      </c>
      <c r="F20" s="19">
        <v>8</v>
      </c>
      <c r="G20" s="19">
        <v>10</v>
      </c>
      <c r="H20" s="19">
        <v>5</v>
      </c>
      <c r="I20" s="19">
        <v>11</v>
      </c>
      <c r="J20" s="19">
        <f t="shared" si="0"/>
        <v>16</v>
      </c>
      <c r="K20" s="23">
        <v>9</v>
      </c>
      <c r="L20" s="19">
        <f t="shared" si="1"/>
        <v>43</v>
      </c>
      <c r="M20" s="19">
        <f t="shared" si="2"/>
        <v>1</v>
      </c>
      <c r="N20" s="24" t="str">
        <f t="shared" si="3"/>
        <v>PASS</v>
      </c>
    </row>
    <row r="21" ht="14.25" customHeight="1" spans="4:14">
      <c r="D21" s="19">
        <v>7</v>
      </c>
      <c r="E21" s="22" t="s">
        <v>122</v>
      </c>
      <c r="F21" s="19">
        <v>2</v>
      </c>
      <c r="G21" s="19">
        <v>6</v>
      </c>
      <c r="H21" s="19">
        <v>9</v>
      </c>
      <c r="I21" s="19">
        <v>10</v>
      </c>
      <c r="J21" s="19">
        <f t="shared" si="0"/>
        <v>19</v>
      </c>
      <c r="K21" s="23">
        <v>15</v>
      </c>
      <c r="L21" s="19">
        <f t="shared" si="1"/>
        <v>42</v>
      </c>
      <c r="M21" s="19">
        <f t="shared" si="2"/>
        <v>1</v>
      </c>
      <c r="N21" s="24" t="str">
        <f t="shared" si="3"/>
        <v>PASS</v>
      </c>
    </row>
    <row r="22" ht="14.25" customHeight="1" spans="4:14">
      <c r="D22" s="19">
        <v>8</v>
      </c>
      <c r="E22" s="22" t="s">
        <v>127</v>
      </c>
      <c r="F22" s="19">
        <v>15</v>
      </c>
      <c r="G22" s="19">
        <v>3</v>
      </c>
      <c r="H22" s="19">
        <v>0</v>
      </c>
      <c r="I22" s="19">
        <v>6</v>
      </c>
      <c r="J22" s="19">
        <f t="shared" si="0"/>
        <v>6</v>
      </c>
      <c r="K22" s="23">
        <v>9</v>
      </c>
      <c r="L22" s="19">
        <f t="shared" si="1"/>
        <v>33</v>
      </c>
      <c r="M22" s="19">
        <f t="shared" si="2"/>
        <v>0</v>
      </c>
      <c r="N22" s="24" t="str">
        <f t="shared" si="3"/>
        <v>FAIL</v>
      </c>
    </row>
    <row r="23" ht="14.25" customHeight="1" spans="4:14">
      <c r="D23" s="19">
        <v>9</v>
      </c>
      <c r="E23" s="22" t="s">
        <v>132</v>
      </c>
      <c r="F23" s="19">
        <v>10</v>
      </c>
      <c r="G23" s="19">
        <v>14</v>
      </c>
      <c r="H23" s="19">
        <v>8</v>
      </c>
      <c r="I23" s="19">
        <v>19</v>
      </c>
      <c r="J23" s="19">
        <f t="shared" si="0"/>
        <v>27</v>
      </c>
      <c r="K23" s="23">
        <v>23</v>
      </c>
      <c r="L23" s="19">
        <f t="shared" si="1"/>
        <v>74</v>
      </c>
      <c r="M23" s="19">
        <f t="shared" si="2"/>
        <v>2</v>
      </c>
      <c r="N23" s="24" t="str">
        <f t="shared" si="3"/>
        <v>PASS</v>
      </c>
    </row>
    <row r="24" ht="14.25" customHeight="1" spans="4:14">
      <c r="D24" s="19">
        <v>10</v>
      </c>
      <c r="E24" s="22" t="s">
        <v>137</v>
      </c>
      <c r="F24" s="19">
        <v>4</v>
      </c>
      <c r="G24" s="19">
        <v>2</v>
      </c>
      <c r="H24" s="19">
        <v>1</v>
      </c>
      <c r="I24" s="19">
        <v>0</v>
      </c>
      <c r="J24" s="19">
        <f t="shared" si="0"/>
        <v>1</v>
      </c>
      <c r="K24" s="23">
        <v>14</v>
      </c>
      <c r="L24" s="19">
        <f t="shared" si="1"/>
        <v>21</v>
      </c>
      <c r="M24" s="19">
        <f t="shared" si="2"/>
        <v>0</v>
      </c>
      <c r="N24" s="24" t="str">
        <f t="shared" si="3"/>
        <v>FAIL</v>
      </c>
    </row>
    <row r="25" ht="14.25" customHeight="1" spans="4:14">
      <c r="D25" s="19">
        <v>11</v>
      </c>
      <c r="E25" s="22" t="s">
        <v>141</v>
      </c>
      <c r="F25" s="19">
        <v>1</v>
      </c>
      <c r="G25" s="19">
        <v>9</v>
      </c>
      <c r="H25" s="19">
        <v>1</v>
      </c>
      <c r="I25" s="19">
        <v>11</v>
      </c>
      <c r="J25" s="19">
        <f t="shared" si="0"/>
        <v>12</v>
      </c>
      <c r="K25" s="23">
        <v>28</v>
      </c>
      <c r="L25" s="19">
        <f t="shared" si="1"/>
        <v>50</v>
      </c>
      <c r="M25" s="19">
        <f t="shared" si="2"/>
        <v>1</v>
      </c>
      <c r="N25" s="24" t="str">
        <f t="shared" si="3"/>
        <v>PASS</v>
      </c>
    </row>
    <row r="26" ht="14.25" customHeight="1" spans="4:14">
      <c r="D26" s="19">
        <v>12</v>
      </c>
      <c r="E26" s="22" t="s">
        <v>146</v>
      </c>
      <c r="F26" s="19">
        <v>15</v>
      </c>
      <c r="G26" s="19">
        <v>12</v>
      </c>
      <c r="H26" s="19">
        <v>6</v>
      </c>
      <c r="I26" s="19">
        <v>19</v>
      </c>
      <c r="J26" s="19">
        <f t="shared" si="0"/>
        <v>25</v>
      </c>
      <c r="K26" s="23">
        <v>25</v>
      </c>
      <c r="L26" s="19">
        <f t="shared" si="1"/>
        <v>77</v>
      </c>
      <c r="M26" s="19">
        <f t="shared" si="2"/>
        <v>3</v>
      </c>
      <c r="N26" s="24" t="str">
        <f t="shared" si="3"/>
        <v>PASS</v>
      </c>
    </row>
    <row r="27" ht="14.25" customHeight="1" spans="4:14">
      <c r="D27" s="19">
        <v>13</v>
      </c>
      <c r="E27" s="22" t="s">
        <v>151</v>
      </c>
      <c r="F27" s="19">
        <v>9</v>
      </c>
      <c r="G27" s="19">
        <v>11</v>
      </c>
      <c r="H27" s="19">
        <v>10</v>
      </c>
      <c r="I27" s="19">
        <v>18</v>
      </c>
      <c r="J27" s="19">
        <f t="shared" si="0"/>
        <v>28</v>
      </c>
      <c r="K27" s="23">
        <v>14</v>
      </c>
      <c r="L27" s="19">
        <f t="shared" si="1"/>
        <v>62</v>
      </c>
      <c r="M27" s="19">
        <f t="shared" si="2"/>
        <v>2</v>
      </c>
      <c r="N27" s="24" t="str">
        <f t="shared" si="3"/>
        <v>PASS</v>
      </c>
    </row>
    <row r="28" ht="14.25" customHeight="1" spans="4:14">
      <c r="D28" s="19">
        <v>14</v>
      </c>
      <c r="E28" s="22" t="s">
        <v>156</v>
      </c>
      <c r="F28" s="19">
        <v>14</v>
      </c>
      <c r="G28" s="19">
        <v>18</v>
      </c>
      <c r="H28" s="19">
        <v>9</v>
      </c>
      <c r="I28" s="19">
        <v>1</v>
      </c>
      <c r="J28" s="19">
        <f t="shared" si="0"/>
        <v>10</v>
      </c>
      <c r="K28" s="23">
        <v>2</v>
      </c>
      <c r="L28" s="19">
        <f t="shared" si="1"/>
        <v>44</v>
      </c>
      <c r="M28" s="19">
        <f t="shared" si="2"/>
        <v>1</v>
      </c>
      <c r="N28" s="24" t="str">
        <f t="shared" si="3"/>
        <v>PASS</v>
      </c>
    </row>
    <row r="29" ht="14.25" customHeight="1" spans="4:14">
      <c r="D29" s="19">
        <v>15</v>
      </c>
      <c r="E29" s="22" t="s">
        <v>161</v>
      </c>
      <c r="F29" s="19">
        <v>9</v>
      </c>
      <c r="G29" s="19">
        <v>3</v>
      </c>
      <c r="H29" s="19">
        <v>9</v>
      </c>
      <c r="I29" s="19">
        <v>16</v>
      </c>
      <c r="J29" s="19">
        <f t="shared" si="0"/>
        <v>25</v>
      </c>
      <c r="K29" s="23">
        <v>10</v>
      </c>
      <c r="L29" s="19">
        <f t="shared" si="1"/>
        <v>47</v>
      </c>
      <c r="M29" s="19">
        <f t="shared" si="2"/>
        <v>1</v>
      </c>
      <c r="N29" s="24" t="str">
        <f t="shared" si="3"/>
        <v>PASS</v>
      </c>
    </row>
    <row r="30" ht="14.25" customHeight="1" spans="4:14">
      <c r="D30" s="19">
        <v>16</v>
      </c>
      <c r="E30" s="22" t="s">
        <v>166</v>
      </c>
      <c r="F30" s="19">
        <v>11</v>
      </c>
      <c r="G30" s="19">
        <v>9</v>
      </c>
      <c r="H30" s="19">
        <v>0</v>
      </c>
      <c r="I30" s="19">
        <v>5</v>
      </c>
      <c r="J30" s="19">
        <f t="shared" si="0"/>
        <v>5</v>
      </c>
      <c r="K30" s="23">
        <v>8</v>
      </c>
      <c r="L30" s="19">
        <f t="shared" si="1"/>
        <v>33</v>
      </c>
      <c r="M30" s="19">
        <f t="shared" si="2"/>
        <v>0</v>
      </c>
      <c r="N30" s="24" t="str">
        <f t="shared" si="3"/>
        <v>FAIL</v>
      </c>
    </row>
    <row r="31" ht="14.25" customHeight="1" spans="4:14">
      <c r="D31" s="19">
        <v>17</v>
      </c>
      <c r="E31" s="22" t="s">
        <v>171</v>
      </c>
      <c r="F31" s="19">
        <v>18</v>
      </c>
      <c r="G31" s="19">
        <v>6</v>
      </c>
      <c r="H31" s="19">
        <v>8</v>
      </c>
      <c r="I31" s="19">
        <v>15</v>
      </c>
      <c r="J31" s="19">
        <f t="shared" si="0"/>
        <v>23</v>
      </c>
      <c r="K31" s="23">
        <v>25</v>
      </c>
      <c r="L31" s="19">
        <f t="shared" si="1"/>
        <v>72</v>
      </c>
      <c r="M31" s="19">
        <f t="shared" si="2"/>
        <v>2</v>
      </c>
      <c r="N31" s="24" t="str">
        <f t="shared" si="3"/>
        <v>PASS</v>
      </c>
    </row>
    <row r="32" ht="14.25" customHeight="1" spans="4:14">
      <c r="D32" s="19">
        <v>18</v>
      </c>
      <c r="E32" s="22" t="s">
        <v>176</v>
      </c>
      <c r="F32" s="19">
        <v>15</v>
      </c>
      <c r="G32" s="19">
        <v>3</v>
      </c>
      <c r="H32" s="19">
        <v>7</v>
      </c>
      <c r="I32" s="19">
        <v>1</v>
      </c>
      <c r="J32" s="19">
        <f t="shared" si="0"/>
        <v>8</v>
      </c>
      <c r="K32" s="23">
        <v>29</v>
      </c>
      <c r="L32" s="19">
        <f t="shared" si="1"/>
        <v>55</v>
      </c>
      <c r="M32" s="19">
        <f t="shared" si="2"/>
        <v>2</v>
      </c>
      <c r="N32" s="24" t="str">
        <f t="shared" si="3"/>
        <v>PASS</v>
      </c>
    </row>
    <row r="33" ht="14.25" customHeight="1" spans="4:14">
      <c r="D33" s="19">
        <v>19</v>
      </c>
      <c r="E33" s="22" t="s">
        <v>181</v>
      </c>
      <c r="F33" s="19">
        <v>5</v>
      </c>
      <c r="G33" s="19">
        <v>3</v>
      </c>
      <c r="H33" s="19">
        <v>8</v>
      </c>
      <c r="I33" s="19">
        <v>10</v>
      </c>
      <c r="J33" s="19">
        <f t="shared" si="0"/>
        <v>18</v>
      </c>
      <c r="K33" s="23">
        <v>20</v>
      </c>
      <c r="L33" s="19">
        <f t="shared" si="1"/>
        <v>46</v>
      </c>
      <c r="M33" s="19">
        <f t="shared" si="2"/>
        <v>1</v>
      </c>
      <c r="N33" s="24" t="str">
        <f t="shared" si="3"/>
        <v>PASS</v>
      </c>
    </row>
    <row r="34" ht="14.25" customHeight="1" spans="4:14">
      <c r="D34" s="19">
        <v>20</v>
      </c>
      <c r="E34" s="22" t="s">
        <v>186</v>
      </c>
      <c r="F34" s="19">
        <v>8</v>
      </c>
      <c r="G34" s="19">
        <v>15</v>
      </c>
      <c r="H34" s="19">
        <v>1</v>
      </c>
      <c r="I34" s="19">
        <v>5</v>
      </c>
      <c r="J34" s="19">
        <f t="shared" si="0"/>
        <v>6</v>
      </c>
      <c r="K34" s="23">
        <v>24</v>
      </c>
      <c r="L34" s="19">
        <f t="shared" si="1"/>
        <v>53</v>
      </c>
      <c r="M34" s="19">
        <f t="shared" si="2"/>
        <v>2</v>
      </c>
      <c r="N34" s="24" t="str">
        <f t="shared" si="3"/>
        <v>PASS</v>
      </c>
    </row>
    <row r="35" ht="14.25" customHeight="1" spans="4:14">
      <c r="D35" s="19">
        <f>'SUB-3'!D35</f>
        <v>21</v>
      </c>
      <c r="E35" s="22" t="str">
        <f>'SUB-3'!E35</f>
        <v>BTMC24O1021</v>
      </c>
      <c r="F35" s="19">
        <v>19</v>
      </c>
      <c r="G35" s="19">
        <v>19</v>
      </c>
      <c r="H35" s="19">
        <v>9</v>
      </c>
      <c r="I35" s="19">
        <v>19</v>
      </c>
      <c r="J35" s="19">
        <f t="shared" si="0"/>
        <v>28</v>
      </c>
      <c r="K35" s="23">
        <v>30</v>
      </c>
      <c r="L35" s="19">
        <f t="shared" si="1"/>
        <v>96</v>
      </c>
      <c r="M35" s="19">
        <f t="shared" si="2"/>
        <v>3</v>
      </c>
      <c r="N35" s="24" t="str">
        <f t="shared" si="3"/>
        <v>PASS</v>
      </c>
    </row>
    <row r="36" ht="14.25" customHeight="1" spans="4:14">
      <c r="D36" s="19">
        <f>'SUB-3'!D36</f>
        <v>22</v>
      </c>
      <c r="E36" s="22" t="str">
        <f>'SUB-3'!E36</f>
        <v>BTMC24O1022</v>
      </c>
      <c r="F36" s="19">
        <v>11</v>
      </c>
      <c r="G36" s="19">
        <v>6</v>
      </c>
      <c r="H36" s="19">
        <v>0</v>
      </c>
      <c r="I36" s="19">
        <v>7</v>
      </c>
      <c r="J36" s="19">
        <f t="shared" si="0"/>
        <v>7</v>
      </c>
      <c r="K36" s="23">
        <v>30</v>
      </c>
      <c r="L36" s="19">
        <f t="shared" si="1"/>
        <v>54</v>
      </c>
      <c r="M36" s="19">
        <f t="shared" si="2"/>
        <v>2</v>
      </c>
      <c r="N36" s="24" t="str">
        <f t="shared" si="3"/>
        <v>PASS</v>
      </c>
    </row>
    <row r="37" ht="14.25" customHeight="1" spans="4:14">
      <c r="D37" s="19">
        <f>'SUB-3'!D37</f>
        <v>23</v>
      </c>
      <c r="E37" s="22" t="str">
        <f>'SUB-3'!E37</f>
        <v>BTMC24O1023</v>
      </c>
      <c r="F37" s="19">
        <v>19</v>
      </c>
      <c r="G37" s="19">
        <v>5</v>
      </c>
      <c r="H37" s="19">
        <v>10</v>
      </c>
      <c r="I37" s="19">
        <v>11</v>
      </c>
      <c r="J37" s="19">
        <f t="shared" si="0"/>
        <v>21</v>
      </c>
      <c r="K37" s="23">
        <v>0</v>
      </c>
      <c r="L37" s="19">
        <f t="shared" si="1"/>
        <v>45</v>
      </c>
      <c r="M37" s="19">
        <f t="shared" si="2"/>
        <v>1</v>
      </c>
      <c r="N37" s="24" t="str">
        <f t="shared" si="3"/>
        <v>PASS</v>
      </c>
    </row>
    <row r="38" ht="14.25" customHeight="1" spans="4:14">
      <c r="D38" s="19">
        <f>'SUB-3'!D38</f>
        <v>24</v>
      </c>
      <c r="E38" s="22" t="str">
        <f>'SUB-3'!E38</f>
        <v>BTMC24O1024</v>
      </c>
      <c r="F38" s="19">
        <v>20</v>
      </c>
      <c r="G38" s="19">
        <v>14</v>
      </c>
      <c r="H38" s="19">
        <v>7</v>
      </c>
      <c r="I38" s="19">
        <v>12</v>
      </c>
      <c r="J38" s="19">
        <f t="shared" si="0"/>
        <v>19</v>
      </c>
      <c r="K38" s="23">
        <v>4</v>
      </c>
      <c r="L38" s="19">
        <f t="shared" si="1"/>
        <v>57</v>
      </c>
      <c r="M38" s="19">
        <f t="shared" si="2"/>
        <v>2</v>
      </c>
      <c r="N38" s="24" t="str">
        <f t="shared" si="3"/>
        <v>PASS</v>
      </c>
    </row>
    <row r="39" ht="14.25" customHeight="1" spans="4:14">
      <c r="D39" s="19">
        <f>'SUB-3'!D39</f>
        <v>25</v>
      </c>
      <c r="E39" s="22" t="str">
        <f>'SUB-3'!E39</f>
        <v>BTMC24O1025</v>
      </c>
      <c r="F39" s="19">
        <v>15</v>
      </c>
      <c r="G39" s="19">
        <v>1</v>
      </c>
      <c r="H39" s="19">
        <v>4</v>
      </c>
      <c r="I39" s="19">
        <v>4</v>
      </c>
      <c r="J39" s="19">
        <f t="shared" si="0"/>
        <v>8</v>
      </c>
      <c r="K39" s="23">
        <v>7</v>
      </c>
      <c r="L39" s="19">
        <f t="shared" si="1"/>
        <v>31</v>
      </c>
      <c r="M39" s="19">
        <f t="shared" si="2"/>
        <v>0</v>
      </c>
      <c r="N39" s="24" t="str">
        <f t="shared" si="3"/>
        <v>FAIL</v>
      </c>
    </row>
    <row r="40" ht="14.25" customHeight="1" spans="4:14">
      <c r="D40" s="19">
        <f>'SUB-3'!D40</f>
        <v>26</v>
      </c>
      <c r="E40" s="22" t="str">
        <f>'SUB-3'!E40</f>
        <v>BTMC24O1026</v>
      </c>
      <c r="F40" s="19">
        <v>20</v>
      </c>
      <c r="G40" s="19">
        <v>12</v>
      </c>
      <c r="H40" s="19">
        <v>10</v>
      </c>
      <c r="I40" s="19">
        <v>3</v>
      </c>
      <c r="J40" s="19">
        <f t="shared" si="0"/>
        <v>13</v>
      </c>
      <c r="K40" s="23">
        <v>29</v>
      </c>
      <c r="L40" s="19">
        <f t="shared" si="1"/>
        <v>74</v>
      </c>
      <c r="M40" s="19">
        <f t="shared" si="2"/>
        <v>2</v>
      </c>
      <c r="N40" s="24" t="str">
        <f t="shared" si="3"/>
        <v>PASS</v>
      </c>
    </row>
    <row r="41" ht="14.25" customHeight="1" spans="4:14">
      <c r="D41" s="19">
        <f>'SUB-3'!D41</f>
        <v>27</v>
      </c>
      <c r="E41" s="22" t="str">
        <f>'SUB-3'!E41</f>
        <v>BTMC24O1027</v>
      </c>
      <c r="F41" s="19">
        <v>14</v>
      </c>
      <c r="G41" s="19">
        <v>10</v>
      </c>
      <c r="H41" s="19">
        <v>5</v>
      </c>
      <c r="I41" s="19">
        <v>8</v>
      </c>
      <c r="J41" s="19">
        <f t="shared" si="0"/>
        <v>13</v>
      </c>
      <c r="K41" s="23">
        <v>24</v>
      </c>
      <c r="L41" s="19">
        <f t="shared" si="1"/>
        <v>61</v>
      </c>
      <c r="M41" s="19">
        <f t="shared" si="2"/>
        <v>2</v>
      </c>
      <c r="N41" s="24" t="str">
        <f t="shared" si="3"/>
        <v>PASS</v>
      </c>
    </row>
    <row r="42" ht="14.25" customHeight="1" spans="4:14">
      <c r="D42" s="19">
        <f>'SUB-3'!D42</f>
        <v>28</v>
      </c>
      <c r="E42" s="22" t="str">
        <f>'SUB-3'!E42</f>
        <v>BTMC24O1028</v>
      </c>
      <c r="F42" s="19">
        <v>16</v>
      </c>
      <c r="G42" s="19">
        <v>12</v>
      </c>
      <c r="H42" s="19">
        <v>2</v>
      </c>
      <c r="I42" s="19">
        <v>8</v>
      </c>
      <c r="J42" s="19">
        <f t="shared" si="0"/>
        <v>10</v>
      </c>
      <c r="K42" s="23">
        <v>27</v>
      </c>
      <c r="L42" s="19">
        <f t="shared" si="1"/>
        <v>65</v>
      </c>
      <c r="M42" s="19">
        <f t="shared" si="2"/>
        <v>2</v>
      </c>
      <c r="N42" s="24" t="str">
        <f t="shared" si="3"/>
        <v>PASS</v>
      </c>
    </row>
    <row r="43" ht="14.25" customHeight="1" spans="4:14">
      <c r="D43" s="19">
        <f>'SUB-3'!D43</f>
        <v>29</v>
      </c>
      <c r="E43" s="22" t="str">
        <f>'SUB-3'!E43</f>
        <v>BTMC24O1029</v>
      </c>
      <c r="F43" s="19">
        <v>16</v>
      </c>
      <c r="G43" s="19">
        <v>11</v>
      </c>
      <c r="H43" s="19">
        <v>3</v>
      </c>
      <c r="I43" s="19">
        <v>18</v>
      </c>
      <c r="J43" s="19">
        <f t="shared" si="0"/>
        <v>21</v>
      </c>
      <c r="K43" s="23">
        <v>11</v>
      </c>
      <c r="L43" s="19">
        <f t="shared" si="1"/>
        <v>59</v>
      </c>
      <c r="M43" s="19">
        <f t="shared" si="2"/>
        <v>2</v>
      </c>
      <c r="N43" s="24" t="str">
        <f t="shared" si="3"/>
        <v>PASS</v>
      </c>
    </row>
    <row r="44" ht="14.25" customHeight="1" spans="4:14">
      <c r="D44" s="19">
        <f>'SUB-3'!D44</f>
        <v>30</v>
      </c>
      <c r="E44" s="22" t="str">
        <f>'SUB-3'!E44</f>
        <v>BTMC24O1030</v>
      </c>
      <c r="F44" s="19">
        <v>2</v>
      </c>
      <c r="G44" s="19">
        <v>8</v>
      </c>
      <c r="H44" s="19">
        <v>2</v>
      </c>
      <c r="I44" s="19">
        <v>14</v>
      </c>
      <c r="J44" s="19">
        <f t="shared" si="0"/>
        <v>16</v>
      </c>
      <c r="K44" s="23">
        <v>19</v>
      </c>
      <c r="L44" s="19">
        <f t="shared" si="1"/>
        <v>45</v>
      </c>
      <c r="M44" s="19">
        <f t="shared" si="2"/>
        <v>1</v>
      </c>
      <c r="N44" s="24" t="str">
        <f t="shared" si="3"/>
        <v>PASS</v>
      </c>
    </row>
    <row r="45" ht="14.25" customHeight="1" spans="4:14">
      <c r="D45" s="19">
        <f>'SUB-3'!D45</f>
        <v>31</v>
      </c>
      <c r="E45" s="22" t="str">
        <f>'SUB-3'!E45</f>
        <v>BTMC24O1031</v>
      </c>
      <c r="F45" s="19">
        <v>19</v>
      </c>
      <c r="G45" s="19">
        <v>6</v>
      </c>
      <c r="H45" s="19">
        <v>5</v>
      </c>
      <c r="I45" s="19">
        <v>20</v>
      </c>
      <c r="J45" s="19">
        <f t="shared" si="0"/>
        <v>25</v>
      </c>
      <c r="K45" s="23">
        <v>9</v>
      </c>
      <c r="L45" s="19">
        <f t="shared" si="1"/>
        <v>59</v>
      </c>
      <c r="M45" s="19">
        <f t="shared" si="2"/>
        <v>2</v>
      </c>
      <c r="N45" s="24" t="str">
        <f t="shared" si="3"/>
        <v>PASS</v>
      </c>
    </row>
    <row r="46" ht="14.25" customHeight="1" spans="4:14">
      <c r="D46" s="19">
        <f>'SUB-3'!D46</f>
        <v>32</v>
      </c>
      <c r="E46" s="22" t="str">
        <f>'SUB-3'!E46</f>
        <v>BTMC24O1032</v>
      </c>
      <c r="F46" s="19">
        <v>0</v>
      </c>
      <c r="G46" s="19">
        <v>20</v>
      </c>
      <c r="H46" s="19">
        <v>6</v>
      </c>
      <c r="I46" s="19">
        <v>2</v>
      </c>
      <c r="J46" s="19">
        <f t="shared" si="0"/>
        <v>8</v>
      </c>
      <c r="K46" s="23">
        <v>3</v>
      </c>
      <c r="L46" s="19">
        <f t="shared" si="1"/>
        <v>31</v>
      </c>
      <c r="M46" s="19">
        <f t="shared" si="2"/>
        <v>0</v>
      </c>
      <c r="N46" s="24" t="str">
        <f t="shared" si="3"/>
        <v>FAIL</v>
      </c>
    </row>
    <row r="47" ht="14.25" customHeight="1" spans="4:14">
      <c r="D47" s="19">
        <f>'SUB-3'!D47</f>
        <v>33</v>
      </c>
      <c r="E47" s="22" t="str">
        <f>'SUB-3'!E47</f>
        <v>BTMC24O1033</v>
      </c>
      <c r="F47" s="19">
        <v>15</v>
      </c>
      <c r="G47" s="19">
        <v>17</v>
      </c>
      <c r="H47" s="19">
        <v>2</v>
      </c>
      <c r="I47" s="19">
        <v>15</v>
      </c>
      <c r="J47" s="19">
        <f t="shared" si="0"/>
        <v>17</v>
      </c>
      <c r="K47" s="23">
        <v>12</v>
      </c>
      <c r="L47" s="19">
        <f t="shared" si="1"/>
        <v>61</v>
      </c>
      <c r="M47" s="19">
        <f t="shared" si="2"/>
        <v>2</v>
      </c>
      <c r="N47" s="24" t="str">
        <f t="shared" si="3"/>
        <v>PASS</v>
      </c>
    </row>
    <row r="48" ht="14.25" customHeight="1" spans="4:14">
      <c r="D48" s="19">
        <f>'SUB-3'!D48</f>
        <v>34</v>
      </c>
      <c r="E48" s="22" t="str">
        <f>'SUB-3'!E48</f>
        <v>BTMC24O1034</v>
      </c>
      <c r="F48" s="19">
        <v>11</v>
      </c>
      <c r="G48" s="19">
        <v>10</v>
      </c>
      <c r="H48" s="19">
        <v>6</v>
      </c>
      <c r="I48" s="19">
        <v>19</v>
      </c>
      <c r="J48" s="19">
        <f t="shared" si="0"/>
        <v>25</v>
      </c>
      <c r="K48" s="23">
        <v>20</v>
      </c>
      <c r="L48" s="19">
        <f t="shared" si="1"/>
        <v>66</v>
      </c>
      <c r="M48" s="19">
        <f t="shared" si="2"/>
        <v>2</v>
      </c>
      <c r="N48" s="24" t="str">
        <f t="shared" si="3"/>
        <v>PASS</v>
      </c>
    </row>
    <row r="49" ht="14.25" customHeight="1" spans="4:14">
      <c r="D49" s="19">
        <f>'SUB-3'!D49</f>
        <v>35</v>
      </c>
      <c r="E49" s="22" t="str">
        <f>'SUB-3'!E49</f>
        <v>BTMC24O1035</v>
      </c>
      <c r="F49" s="19">
        <v>4</v>
      </c>
      <c r="G49" s="19">
        <v>0</v>
      </c>
      <c r="H49" s="19">
        <v>6</v>
      </c>
      <c r="I49" s="19">
        <v>20</v>
      </c>
      <c r="J49" s="19">
        <f t="shared" si="0"/>
        <v>26</v>
      </c>
      <c r="K49" s="23">
        <v>26</v>
      </c>
      <c r="L49" s="19">
        <f t="shared" si="1"/>
        <v>56</v>
      </c>
      <c r="M49" s="19">
        <f t="shared" si="2"/>
        <v>2</v>
      </c>
      <c r="N49" s="24" t="str">
        <f t="shared" si="3"/>
        <v>PASS</v>
      </c>
    </row>
    <row r="50" ht="14.25" customHeight="1" spans="4:14">
      <c r="D50" s="19">
        <f>'SUB-3'!D50</f>
        <v>36</v>
      </c>
      <c r="E50" s="22" t="str">
        <f>'SUB-3'!E50</f>
        <v>BTMC24O1036</v>
      </c>
      <c r="F50" s="19">
        <v>15</v>
      </c>
      <c r="G50" s="19">
        <v>6</v>
      </c>
      <c r="H50" s="19">
        <v>0</v>
      </c>
      <c r="I50" s="19">
        <v>9</v>
      </c>
      <c r="J50" s="19">
        <f t="shared" si="0"/>
        <v>9</v>
      </c>
      <c r="K50" s="23">
        <v>28</v>
      </c>
      <c r="L50" s="19">
        <f t="shared" si="1"/>
        <v>58</v>
      </c>
      <c r="M50" s="19">
        <f t="shared" si="2"/>
        <v>2</v>
      </c>
      <c r="N50" s="24" t="str">
        <f t="shared" si="3"/>
        <v>PASS</v>
      </c>
    </row>
    <row r="51" ht="14.25" customHeight="1" spans="4:14">
      <c r="D51" s="19">
        <f>'SUB-3'!D51</f>
        <v>37</v>
      </c>
      <c r="E51" s="22" t="str">
        <f>'SUB-3'!E51</f>
        <v>BTMC24O1037</v>
      </c>
      <c r="F51" s="19">
        <v>7</v>
      </c>
      <c r="G51" s="19">
        <v>17</v>
      </c>
      <c r="H51" s="19">
        <v>4</v>
      </c>
      <c r="I51" s="19">
        <v>1</v>
      </c>
      <c r="J51" s="19">
        <f t="shared" si="0"/>
        <v>5</v>
      </c>
      <c r="K51" s="23">
        <v>7</v>
      </c>
      <c r="L51" s="19">
        <f t="shared" si="1"/>
        <v>36</v>
      </c>
      <c r="M51" s="19">
        <f t="shared" si="2"/>
        <v>1</v>
      </c>
      <c r="N51" s="24" t="str">
        <f t="shared" si="3"/>
        <v>PASS</v>
      </c>
    </row>
    <row r="52" ht="14.25" customHeight="1" spans="4:14">
      <c r="D52" s="19">
        <f>'SUB-3'!D52</f>
        <v>38</v>
      </c>
      <c r="E52" s="22" t="str">
        <f>'SUB-3'!E52</f>
        <v>BTMC24O1038</v>
      </c>
      <c r="F52" s="19">
        <v>12</v>
      </c>
      <c r="G52" s="19">
        <v>17</v>
      </c>
      <c r="H52" s="19">
        <v>7</v>
      </c>
      <c r="I52" s="19">
        <v>16</v>
      </c>
      <c r="J52" s="19">
        <f t="shared" si="0"/>
        <v>23</v>
      </c>
      <c r="K52" s="23">
        <v>13</v>
      </c>
      <c r="L52" s="19">
        <f t="shared" si="1"/>
        <v>65</v>
      </c>
      <c r="M52" s="19">
        <f t="shared" si="2"/>
        <v>2</v>
      </c>
      <c r="N52" s="24" t="str">
        <f t="shared" si="3"/>
        <v>PASS</v>
      </c>
    </row>
    <row r="53" ht="14.25" customHeight="1" spans="4:14">
      <c r="D53" s="19">
        <f>'SUB-3'!D53</f>
        <v>39</v>
      </c>
      <c r="E53" s="22" t="str">
        <f>'SUB-3'!E53</f>
        <v>BTMC24O1039</v>
      </c>
      <c r="F53" s="19">
        <v>16</v>
      </c>
      <c r="G53" s="19">
        <v>3</v>
      </c>
      <c r="H53" s="19">
        <v>5</v>
      </c>
      <c r="I53" s="19">
        <v>14</v>
      </c>
      <c r="J53" s="19">
        <f t="shared" si="0"/>
        <v>19</v>
      </c>
      <c r="K53" s="23">
        <v>3</v>
      </c>
      <c r="L53" s="19">
        <f t="shared" si="1"/>
        <v>41</v>
      </c>
      <c r="M53" s="19">
        <f t="shared" si="2"/>
        <v>1</v>
      </c>
      <c r="N53" s="24" t="str">
        <f t="shared" si="3"/>
        <v>PASS</v>
      </c>
    </row>
    <row r="54" ht="14.25" customHeight="1" spans="4:14">
      <c r="D54" s="19">
        <f>'SUB-3'!D54</f>
        <v>40</v>
      </c>
      <c r="E54" s="22" t="str">
        <f>'SUB-3'!E54</f>
        <v>BTMC24O1040</v>
      </c>
      <c r="F54" s="19">
        <v>0</v>
      </c>
      <c r="G54" s="19">
        <v>18</v>
      </c>
      <c r="H54" s="19">
        <v>5</v>
      </c>
      <c r="I54" s="19">
        <v>13</v>
      </c>
      <c r="J54" s="19">
        <f t="shared" si="0"/>
        <v>18</v>
      </c>
      <c r="K54" s="23">
        <v>19</v>
      </c>
      <c r="L54" s="19">
        <f t="shared" si="1"/>
        <v>55</v>
      </c>
      <c r="M54" s="19">
        <f t="shared" si="2"/>
        <v>2</v>
      </c>
      <c r="N54" s="24" t="str">
        <f t="shared" si="3"/>
        <v>PASS</v>
      </c>
    </row>
    <row r="55" ht="14.25" customHeight="1" spans="4:14">
      <c r="D55" s="19">
        <f>'SUB-3'!D55</f>
        <v>41</v>
      </c>
      <c r="E55" s="22" t="str">
        <f>'SUB-3'!E55</f>
        <v>BTMC24O1041</v>
      </c>
      <c r="F55" s="19">
        <v>18</v>
      </c>
      <c r="G55" s="19">
        <v>14</v>
      </c>
      <c r="H55" s="19">
        <v>8</v>
      </c>
      <c r="I55" s="19">
        <v>19</v>
      </c>
      <c r="J55" s="19">
        <f t="shared" si="0"/>
        <v>27</v>
      </c>
      <c r="K55" s="23">
        <v>18</v>
      </c>
      <c r="L55" s="19">
        <f t="shared" si="1"/>
        <v>77</v>
      </c>
      <c r="M55" s="19">
        <f t="shared" si="2"/>
        <v>3</v>
      </c>
      <c r="N55" s="24" t="str">
        <f t="shared" si="3"/>
        <v>PASS</v>
      </c>
    </row>
    <row r="56" ht="14.25" customHeight="1" spans="4:14">
      <c r="D56" s="19">
        <f>'SUB-3'!D56</f>
        <v>42</v>
      </c>
      <c r="E56" s="22" t="str">
        <f>'SUB-3'!E56</f>
        <v>BTMC24O1042</v>
      </c>
      <c r="F56" s="19">
        <v>20</v>
      </c>
      <c r="G56" s="19">
        <v>5</v>
      </c>
      <c r="H56" s="19">
        <v>6</v>
      </c>
      <c r="I56" s="19">
        <v>0</v>
      </c>
      <c r="J56" s="19">
        <f t="shared" si="0"/>
        <v>6</v>
      </c>
      <c r="K56" s="23">
        <v>22</v>
      </c>
      <c r="L56" s="19">
        <f t="shared" si="1"/>
        <v>53</v>
      </c>
      <c r="M56" s="19">
        <f t="shared" si="2"/>
        <v>2</v>
      </c>
      <c r="N56" s="24" t="str">
        <f t="shared" si="3"/>
        <v>PASS</v>
      </c>
    </row>
    <row r="57" ht="14.25" customHeight="1" spans="4:14">
      <c r="D57" s="19">
        <f>'SUB-3'!D57</f>
        <v>43</v>
      </c>
      <c r="E57" s="22" t="str">
        <f>'SUB-3'!E57</f>
        <v>BTMC24O1043</v>
      </c>
      <c r="F57" s="19">
        <v>6</v>
      </c>
      <c r="G57" s="19">
        <v>7</v>
      </c>
      <c r="H57" s="19">
        <v>2</v>
      </c>
      <c r="I57" s="19">
        <v>12</v>
      </c>
      <c r="J57" s="19">
        <f t="shared" si="0"/>
        <v>14</v>
      </c>
      <c r="K57" s="23">
        <v>15</v>
      </c>
      <c r="L57" s="19">
        <f t="shared" si="1"/>
        <v>42</v>
      </c>
      <c r="M57" s="19">
        <f t="shared" si="2"/>
        <v>1</v>
      </c>
      <c r="N57" s="24" t="str">
        <f t="shared" si="3"/>
        <v>PASS</v>
      </c>
    </row>
    <row r="58" ht="14.25" customHeight="1" spans="4:14">
      <c r="D58" s="19">
        <f>'SUB-3'!D58</f>
        <v>44</v>
      </c>
      <c r="E58" s="22" t="str">
        <f>'SUB-3'!E58</f>
        <v>BTMC24O1044</v>
      </c>
      <c r="F58" s="19">
        <v>3</v>
      </c>
      <c r="G58" s="19">
        <v>14</v>
      </c>
      <c r="H58" s="19">
        <v>9</v>
      </c>
      <c r="I58" s="19">
        <v>19</v>
      </c>
      <c r="J58" s="19">
        <f t="shared" si="0"/>
        <v>28</v>
      </c>
      <c r="K58" s="23">
        <v>12</v>
      </c>
      <c r="L58" s="19">
        <f t="shared" si="1"/>
        <v>57</v>
      </c>
      <c r="M58" s="19">
        <f t="shared" si="2"/>
        <v>2</v>
      </c>
      <c r="N58" s="24" t="str">
        <f t="shared" si="3"/>
        <v>PASS</v>
      </c>
    </row>
    <row r="59" ht="14.25" customHeight="1" spans="4:14">
      <c r="D59" s="19">
        <f>'SUB-3'!D59</f>
        <v>45</v>
      </c>
      <c r="E59" s="22" t="str">
        <f>'SUB-3'!E59</f>
        <v>BTMC24O1045</v>
      </c>
      <c r="F59" s="19">
        <v>10</v>
      </c>
      <c r="G59" s="19">
        <v>19</v>
      </c>
      <c r="H59" s="19">
        <v>1</v>
      </c>
      <c r="I59" s="19">
        <v>7</v>
      </c>
      <c r="J59" s="19">
        <f t="shared" si="0"/>
        <v>8</v>
      </c>
      <c r="K59" s="23">
        <v>27</v>
      </c>
      <c r="L59" s="19">
        <f t="shared" si="1"/>
        <v>64</v>
      </c>
      <c r="M59" s="19">
        <f t="shared" si="2"/>
        <v>2</v>
      </c>
      <c r="N59" s="24" t="str">
        <f t="shared" si="3"/>
        <v>PASS</v>
      </c>
    </row>
    <row r="60" ht="14.25" customHeight="1" spans="4:14">
      <c r="D60" s="19">
        <f>'SUB-3'!D60</f>
        <v>46</v>
      </c>
      <c r="E60" s="22" t="str">
        <f>'SUB-3'!E60</f>
        <v>BTMC24O1046</v>
      </c>
      <c r="F60" s="19">
        <v>19</v>
      </c>
      <c r="G60" s="19">
        <v>5</v>
      </c>
      <c r="H60" s="19">
        <v>4</v>
      </c>
      <c r="I60" s="19">
        <v>17</v>
      </c>
      <c r="J60" s="19">
        <f t="shared" si="0"/>
        <v>21</v>
      </c>
      <c r="K60" s="23">
        <v>22</v>
      </c>
      <c r="L60" s="19">
        <f t="shared" si="1"/>
        <v>67</v>
      </c>
      <c r="M60" s="19">
        <f t="shared" si="2"/>
        <v>2</v>
      </c>
      <c r="N60" s="24" t="str">
        <f t="shared" si="3"/>
        <v>PASS</v>
      </c>
    </row>
    <row r="61" ht="14.25" customHeight="1" spans="4:14">
      <c r="D61" s="19">
        <f>'SUB-3'!D61</f>
        <v>47</v>
      </c>
      <c r="E61" s="22" t="str">
        <f>'SUB-3'!E61</f>
        <v>BTMC24O1047</v>
      </c>
      <c r="F61" s="19">
        <v>8</v>
      </c>
      <c r="G61" s="19">
        <v>13</v>
      </c>
      <c r="H61" s="19">
        <v>9</v>
      </c>
      <c r="I61" s="19">
        <v>4</v>
      </c>
      <c r="J61" s="19">
        <f t="shared" si="0"/>
        <v>13</v>
      </c>
      <c r="K61" s="23">
        <v>15</v>
      </c>
      <c r="L61" s="19">
        <f t="shared" si="1"/>
        <v>49</v>
      </c>
      <c r="M61" s="19">
        <f t="shared" si="2"/>
        <v>1</v>
      </c>
      <c r="N61" s="24" t="str">
        <f t="shared" si="3"/>
        <v>PASS</v>
      </c>
    </row>
    <row r="62" ht="14.25" customHeight="1" spans="4:14">
      <c r="D62" s="19">
        <f>'SUB-3'!D62</f>
        <v>48</v>
      </c>
      <c r="E62" s="22" t="str">
        <f>'SUB-3'!E62</f>
        <v>BTMC24O1048</v>
      </c>
      <c r="F62" s="19">
        <v>19</v>
      </c>
      <c r="G62" s="19">
        <v>10</v>
      </c>
      <c r="H62" s="19">
        <v>2</v>
      </c>
      <c r="I62" s="19">
        <v>0</v>
      </c>
      <c r="J62" s="19">
        <f t="shared" si="0"/>
        <v>2</v>
      </c>
      <c r="K62" s="23">
        <v>30</v>
      </c>
      <c r="L62" s="19">
        <f t="shared" si="1"/>
        <v>61</v>
      </c>
      <c r="M62" s="19">
        <f t="shared" si="2"/>
        <v>2</v>
      </c>
      <c r="N62" s="24" t="str">
        <f t="shared" si="3"/>
        <v>PASS</v>
      </c>
    </row>
    <row r="63" ht="14.25" customHeight="1" spans="4:14">
      <c r="D63" s="19">
        <f>'SUB-3'!D63</f>
        <v>49</v>
      </c>
      <c r="E63" s="22" t="str">
        <f>'SUB-3'!E63</f>
        <v>BTMC24O1049</v>
      </c>
      <c r="F63" s="19">
        <v>1</v>
      </c>
      <c r="G63" s="19">
        <v>12</v>
      </c>
      <c r="H63" s="19">
        <v>4</v>
      </c>
      <c r="I63" s="19">
        <v>15</v>
      </c>
      <c r="J63" s="19">
        <f t="shared" si="0"/>
        <v>19</v>
      </c>
      <c r="K63" s="23">
        <v>19</v>
      </c>
      <c r="L63" s="19">
        <f t="shared" si="1"/>
        <v>51</v>
      </c>
      <c r="M63" s="19">
        <f t="shared" si="2"/>
        <v>2</v>
      </c>
      <c r="N63" s="24" t="str">
        <f t="shared" si="3"/>
        <v>PASS</v>
      </c>
    </row>
    <row r="64" ht="14.25" customHeight="1" spans="4:14">
      <c r="D64" s="19">
        <f>'SUB-3'!D64</f>
        <v>50</v>
      </c>
      <c r="E64" s="22" t="str">
        <f>'SUB-3'!E64</f>
        <v>BTMC24O1050</v>
      </c>
      <c r="F64" s="19">
        <v>16</v>
      </c>
      <c r="G64" s="19">
        <v>12</v>
      </c>
      <c r="H64" s="19">
        <v>4</v>
      </c>
      <c r="I64" s="19">
        <v>13</v>
      </c>
      <c r="J64" s="19">
        <f t="shared" si="0"/>
        <v>17</v>
      </c>
      <c r="K64" s="23">
        <v>19</v>
      </c>
      <c r="L64" s="19">
        <f t="shared" si="1"/>
        <v>64</v>
      </c>
      <c r="M64" s="19">
        <f t="shared" si="2"/>
        <v>2</v>
      </c>
      <c r="N64" s="24" t="str">
        <f t="shared" si="3"/>
        <v>PASS</v>
      </c>
    </row>
    <row r="65" ht="14.25" customHeight="1" spans="4:14">
      <c r="D65" s="19">
        <f>'SUB-3'!D65</f>
        <v>51</v>
      </c>
      <c r="E65" s="22" t="str">
        <f>'SUB-3'!E65</f>
        <v>BTMC24O1051</v>
      </c>
      <c r="F65" s="19">
        <v>19</v>
      </c>
      <c r="G65" s="19">
        <v>5</v>
      </c>
      <c r="H65" s="19">
        <v>6</v>
      </c>
      <c r="I65" s="19">
        <v>20</v>
      </c>
      <c r="J65" s="19">
        <f t="shared" si="0"/>
        <v>26</v>
      </c>
      <c r="K65" s="23">
        <v>21</v>
      </c>
      <c r="L65" s="19">
        <f t="shared" si="1"/>
        <v>71</v>
      </c>
      <c r="M65" s="19">
        <f t="shared" si="2"/>
        <v>2</v>
      </c>
      <c r="N65" s="24" t="str">
        <f t="shared" si="3"/>
        <v>PASS</v>
      </c>
    </row>
    <row r="66" ht="14.25" customHeight="1" spans="4:14">
      <c r="D66" s="19">
        <f>'SUB-3'!D66</f>
        <v>52</v>
      </c>
      <c r="E66" s="22" t="str">
        <f>'SUB-3'!E66</f>
        <v>BTMC24O1052</v>
      </c>
      <c r="F66" s="19">
        <v>20</v>
      </c>
      <c r="G66" s="19">
        <v>10</v>
      </c>
      <c r="H66" s="19">
        <v>0</v>
      </c>
      <c r="I66" s="19">
        <v>10</v>
      </c>
      <c r="J66" s="19">
        <f t="shared" si="0"/>
        <v>10</v>
      </c>
      <c r="K66" s="23">
        <v>18</v>
      </c>
      <c r="L66" s="19">
        <f t="shared" si="1"/>
        <v>58</v>
      </c>
      <c r="M66" s="19">
        <f t="shared" si="2"/>
        <v>2</v>
      </c>
      <c r="N66" s="24" t="str">
        <f t="shared" si="3"/>
        <v>PASS</v>
      </c>
    </row>
    <row r="67" ht="14.25" customHeight="1" spans="4:14">
      <c r="D67" s="19">
        <f>'SUB-3'!D67</f>
        <v>53</v>
      </c>
      <c r="E67" s="22" t="str">
        <f>'SUB-3'!E67</f>
        <v>BTMC24O1053</v>
      </c>
      <c r="F67" s="19">
        <v>3</v>
      </c>
      <c r="G67" s="19">
        <v>15</v>
      </c>
      <c r="H67" s="19">
        <v>6</v>
      </c>
      <c r="I67" s="19">
        <v>11</v>
      </c>
      <c r="J67" s="19">
        <f t="shared" si="0"/>
        <v>17</v>
      </c>
      <c r="K67" s="23">
        <v>21</v>
      </c>
      <c r="L67" s="19">
        <f t="shared" si="1"/>
        <v>56</v>
      </c>
      <c r="M67" s="19">
        <f t="shared" si="2"/>
        <v>2</v>
      </c>
      <c r="N67" s="24" t="str">
        <f t="shared" si="3"/>
        <v>PASS</v>
      </c>
    </row>
    <row r="68" ht="14.25" customHeight="1" spans="4:14">
      <c r="D68" s="19">
        <f>'SUB-3'!D68</f>
        <v>54</v>
      </c>
      <c r="E68" s="22" t="str">
        <f>'SUB-3'!E68</f>
        <v>BTMC24O1054</v>
      </c>
      <c r="F68" s="19">
        <v>8</v>
      </c>
      <c r="G68" s="19">
        <v>19</v>
      </c>
      <c r="H68" s="19">
        <v>5</v>
      </c>
      <c r="I68" s="19">
        <v>8</v>
      </c>
      <c r="J68" s="19">
        <f t="shared" si="0"/>
        <v>13</v>
      </c>
      <c r="K68" s="23">
        <v>22</v>
      </c>
      <c r="L68" s="19">
        <f t="shared" si="1"/>
        <v>62</v>
      </c>
      <c r="M68" s="19">
        <f t="shared" si="2"/>
        <v>2</v>
      </c>
      <c r="N68" s="24" t="str">
        <f t="shared" si="3"/>
        <v>PASS</v>
      </c>
    </row>
    <row r="69" ht="14.25" customHeight="1" spans="4:14">
      <c r="D69" s="19">
        <f>'SUB-3'!D69</f>
        <v>55</v>
      </c>
      <c r="E69" s="22" t="str">
        <f>'SUB-3'!E69</f>
        <v>BTMC24O1055</v>
      </c>
      <c r="F69" s="19">
        <v>10</v>
      </c>
      <c r="G69" s="19">
        <v>0</v>
      </c>
      <c r="H69" s="19">
        <v>1</v>
      </c>
      <c r="I69" s="19">
        <v>19</v>
      </c>
      <c r="J69" s="19">
        <f t="shared" si="0"/>
        <v>20</v>
      </c>
      <c r="K69" s="23">
        <v>13</v>
      </c>
      <c r="L69" s="19">
        <f t="shared" si="1"/>
        <v>43</v>
      </c>
      <c r="M69" s="19">
        <f t="shared" si="2"/>
        <v>1</v>
      </c>
      <c r="N69" s="24" t="str">
        <f t="shared" si="3"/>
        <v>PASS</v>
      </c>
    </row>
    <row r="70" ht="14.25" customHeight="1" spans="4:14">
      <c r="D70" s="19">
        <f>'SUB-3'!D70</f>
        <v>56</v>
      </c>
      <c r="E70" s="22" t="str">
        <f>'SUB-3'!E70</f>
        <v>BTMC24O1056</v>
      </c>
      <c r="F70" s="19">
        <v>4</v>
      </c>
      <c r="G70" s="19">
        <v>15</v>
      </c>
      <c r="H70" s="19">
        <v>9</v>
      </c>
      <c r="I70" s="19">
        <v>8</v>
      </c>
      <c r="J70" s="19">
        <f t="shared" si="0"/>
        <v>17</v>
      </c>
      <c r="K70" s="23">
        <v>9</v>
      </c>
      <c r="L70" s="19">
        <f t="shared" si="1"/>
        <v>45</v>
      </c>
      <c r="M70" s="19">
        <f t="shared" si="2"/>
        <v>1</v>
      </c>
      <c r="N70" s="24" t="str">
        <f t="shared" si="3"/>
        <v>PASS</v>
      </c>
    </row>
    <row r="71" ht="14.25" customHeight="1" spans="4:14">
      <c r="D71" s="19">
        <f>'SUB-3'!D71</f>
        <v>57</v>
      </c>
      <c r="E71" s="22" t="str">
        <f>'SUB-3'!E71</f>
        <v>BTMC24O1057</v>
      </c>
      <c r="F71" s="19">
        <v>7</v>
      </c>
      <c r="G71" s="19">
        <v>11</v>
      </c>
      <c r="H71" s="19">
        <v>2</v>
      </c>
      <c r="I71" s="19">
        <v>14</v>
      </c>
      <c r="J71" s="19">
        <f t="shared" si="0"/>
        <v>16</v>
      </c>
      <c r="K71" s="23">
        <v>16</v>
      </c>
      <c r="L71" s="19">
        <f t="shared" si="1"/>
        <v>50</v>
      </c>
      <c r="M71" s="19">
        <f t="shared" si="2"/>
        <v>1</v>
      </c>
      <c r="N71" s="24" t="str">
        <f t="shared" si="3"/>
        <v>PASS</v>
      </c>
    </row>
    <row r="72" ht="14.25" customHeight="1" spans="4:14">
      <c r="D72" s="19">
        <f>'SUB-3'!D72</f>
        <v>58</v>
      </c>
      <c r="E72" s="22" t="str">
        <f>'SUB-3'!E72</f>
        <v>BTMC24O1058</v>
      </c>
      <c r="F72" s="19">
        <v>11</v>
      </c>
      <c r="G72" s="19">
        <v>1</v>
      </c>
      <c r="H72" s="19">
        <v>5</v>
      </c>
      <c r="I72" s="19">
        <v>16</v>
      </c>
      <c r="J72" s="19">
        <f t="shared" si="0"/>
        <v>21</v>
      </c>
      <c r="K72" s="23">
        <v>10</v>
      </c>
      <c r="L72" s="19">
        <f t="shared" si="1"/>
        <v>43</v>
      </c>
      <c r="M72" s="19">
        <f t="shared" si="2"/>
        <v>1</v>
      </c>
      <c r="N72" s="24" t="str">
        <f t="shared" si="3"/>
        <v>PASS</v>
      </c>
    </row>
    <row r="73" ht="14.25" customHeight="1" spans="4:14">
      <c r="D73" s="19">
        <f>'SUB-3'!D73</f>
        <v>59</v>
      </c>
      <c r="E73" s="22" t="str">
        <f>'SUB-3'!E73</f>
        <v>BTMC24O1059</v>
      </c>
      <c r="F73" s="19">
        <v>9</v>
      </c>
      <c r="G73" s="19">
        <v>15</v>
      </c>
      <c r="H73" s="19">
        <v>1</v>
      </c>
      <c r="I73" s="19">
        <v>18</v>
      </c>
      <c r="J73" s="19">
        <f t="shared" si="0"/>
        <v>19</v>
      </c>
      <c r="K73" s="23">
        <v>17</v>
      </c>
      <c r="L73" s="19">
        <f t="shared" si="1"/>
        <v>60</v>
      </c>
      <c r="M73" s="19">
        <f t="shared" si="2"/>
        <v>2</v>
      </c>
      <c r="N73" s="24" t="str">
        <f t="shared" si="3"/>
        <v>PASS</v>
      </c>
    </row>
    <row r="74" ht="14.25" customHeight="1" spans="4:14">
      <c r="D74" s="19">
        <f>'SUB-3'!D74</f>
        <v>60</v>
      </c>
      <c r="E74" s="22" t="str">
        <f>'SUB-3'!E74</f>
        <v>BTMC24O1060</v>
      </c>
      <c r="F74" s="19">
        <v>4</v>
      </c>
      <c r="G74" s="19">
        <v>8</v>
      </c>
      <c r="H74" s="19">
        <v>7</v>
      </c>
      <c r="I74" s="19">
        <v>2</v>
      </c>
      <c r="J74" s="19">
        <f t="shared" si="0"/>
        <v>9</v>
      </c>
      <c r="K74" s="23">
        <v>20</v>
      </c>
      <c r="L74" s="19">
        <f t="shared" si="1"/>
        <v>41</v>
      </c>
      <c r="M74" s="19">
        <f t="shared" si="2"/>
        <v>1</v>
      </c>
      <c r="N74" s="24" t="str">
        <f t="shared" si="3"/>
        <v>PASS</v>
      </c>
    </row>
    <row r="75" ht="14.25" customHeight="1" spans="4:14">
      <c r="D75" s="19">
        <f>'SUB-3'!D75</f>
        <v>61</v>
      </c>
      <c r="E75" s="22" t="str">
        <f>'SUB-3'!E75</f>
        <v>BTMC24O1061</v>
      </c>
      <c r="F75" s="19">
        <v>16</v>
      </c>
      <c r="G75" s="19">
        <v>18</v>
      </c>
      <c r="H75" s="19">
        <v>7</v>
      </c>
      <c r="I75" s="19">
        <v>2</v>
      </c>
      <c r="J75" s="19">
        <f t="shared" si="0"/>
        <v>9</v>
      </c>
      <c r="K75" s="23">
        <v>11</v>
      </c>
      <c r="L75" s="19">
        <f t="shared" si="1"/>
        <v>54</v>
      </c>
      <c r="M75" s="19">
        <f t="shared" si="2"/>
        <v>2</v>
      </c>
      <c r="N75" s="24" t="str">
        <f t="shared" si="3"/>
        <v>PASS</v>
      </c>
    </row>
    <row r="76" ht="14.25" customHeight="1" spans="4:14">
      <c r="D76" s="19">
        <f>'SUB-3'!D76</f>
        <v>62</v>
      </c>
      <c r="E76" s="22" t="str">
        <f>'SUB-3'!E76</f>
        <v>BTMC24O1062</v>
      </c>
      <c r="F76" s="19">
        <v>1</v>
      </c>
      <c r="G76" s="19">
        <v>9</v>
      </c>
      <c r="H76" s="19">
        <v>3</v>
      </c>
      <c r="I76" s="19">
        <v>20</v>
      </c>
      <c r="J76" s="19">
        <f t="shared" si="0"/>
        <v>23</v>
      </c>
      <c r="K76" s="23">
        <v>22</v>
      </c>
      <c r="L76" s="19">
        <f t="shared" si="1"/>
        <v>55</v>
      </c>
      <c r="M76" s="19">
        <f t="shared" si="2"/>
        <v>2</v>
      </c>
      <c r="N76" s="24" t="str">
        <f t="shared" si="3"/>
        <v>PASS</v>
      </c>
    </row>
    <row r="77" ht="14.25" customHeight="1" spans="4:14">
      <c r="D77" s="19">
        <f>'SUB-3'!D77</f>
        <v>63</v>
      </c>
      <c r="E77" s="22" t="str">
        <f>'SUB-3'!E77</f>
        <v>BTMC24O1063</v>
      </c>
      <c r="F77" s="19">
        <v>6</v>
      </c>
      <c r="G77" s="19">
        <v>15</v>
      </c>
      <c r="H77" s="19">
        <v>6</v>
      </c>
      <c r="I77" s="19">
        <v>15</v>
      </c>
      <c r="J77" s="19">
        <f t="shared" si="0"/>
        <v>21</v>
      </c>
      <c r="K77" s="23">
        <v>16</v>
      </c>
      <c r="L77" s="19">
        <f t="shared" si="1"/>
        <v>58</v>
      </c>
      <c r="M77" s="19">
        <f t="shared" si="2"/>
        <v>2</v>
      </c>
      <c r="N77" s="24" t="str">
        <f t="shared" si="3"/>
        <v>PASS</v>
      </c>
    </row>
    <row r="78" ht="14.25" customHeight="1" spans="4:14">
      <c r="D78" s="19">
        <f>'SUB-3'!D78</f>
        <v>64</v>
      </c>
      <c r="E78" s="22" t="str">
        <f>'SUB-3'!E78</f>
        <v>BTMC24O1064</v>
      </c>
      <c r="F78" s="19">
        <v>5</v>
      </c>
      <c r="G78" s="19">
        <v>9</v>
      </c>
      <c r="H78" s="19">
        <v>1</v>
      </c>
      <c r="I78" s="19">
        <v>11</v>
      </c>
      <c r="J78" s="19">
        <f t="shared" si="0"/>
        <v>12</v>
      </c>
      <c r="K78" s="23">
        <v>8</v>
      </c>
      <c r="L78" s="19">
        <f t="shared" si="1"/>
        <v>34</v>
      </c>
      <c r="M78" s="19">
        <f t="shared" si="2"/>
        <v>0</v>
      </c>
      <c r="N78" s="24" t="str">
        <f t="shared" si="3"/>
        <v>FAIL</v>
      </c>
    </row>
    <row r="79" ht="14.25" customHeight="1" spans="4:14">
      <c r="D79" s="19">
        <f>'SUB-3'!D79</f>
        <v>65</v>
      </c>
      <c r="E79" s="22" t="str">
        <f>'SUB-3'!E79</f>
        <v>BTMC24O1065</v>
      </c>
      <c r="F79" s="19">
        <v>4</v>
      </c>
      <c r="G79" s="19">
        <v>11</v>
      </c>
      <c r="H79" s="19">
        <v>4</v>
      </c>
      <c r="I79" s="19">
        <v>5</v>
      </c>
      <c r="J79" s="19">
        <f t="shared" ref="J79:J114" si="4">H79+I79</f>
        <v>9</v>
      </c>
      <c r="K79" s="23">
        <v>10</v>
      </c>
      <c r="L79" s="19">
        <f t="shared" ref="L79:L114" si="5">K79+J79+G79+F79</f>
        <v>34</v>
      </c>
      <c r="M79" s="19">
        <f t="shared" ref="M79:M114" si="6">IF(L79&gt;75,3,IF(L79&gt;50,2,IF(L79&gt;35,1,0)))</f>
        <v>0</v>
      </c>
      <c r="N79" s="24" t="str">
        <f t="shared" ref="N79:N114" si="7">IF(L79&lt;35,"FAIL","PASS")</f>
        <v>FAIL</v>
      </c>
    </row>
    <row r="80" ht="14.25" customHeight="1" spans="4:14">
      <c r="D80" s="19">
        <f>'SUB-3'!D80</f>
        <v>66</v>
      </c>
      <c r="E80" s="22" t="str">
        <f>'SUB-3'!E80</f>
        <v>BTMC24O1066</v>
      </c>
      <c r="F80" s="19">
        <v>15</v>
      </c>
      <c r="G80" s="19">
        <v>14</v>
      </c>
      <c r="H80" s="19">
        <v>5</v>
      </c>
      <c r="I80" s="19">
        <v>18</v>
      </c>
      <c r="J80" s="19">
        <f t="shared" si="4"/>
        <v>23</v>
      </c>
      <c r="K80" s="23">
        <v>6</v>
      </c>
      <c r="L80" s="19">
        <f t="shared" si="5"/>
        <v>58</v>
      </c>
      <c r="M80" s="19">
        <f t="shared" si="6"/>
        <v>2</v>
      </c>
      <c r="N80" s="24" t="str">
        <f t="shared" si="7"/>
        <v>PASS</v>
      </c>
    </row>
    <row r="81" ht="14.25" customHeight="1" spans="4:14">
      <c r="D81" s="19">
        <f>'SUB-3'!D81</f>
        <v>67</v>
      </c>
      <c r="E81" s="22" t="str">
        <f>'SUB-3'!E81</f>
        <v>BTMC24O1067</v>
      </c>
      <c r="F81" s="19">
        <v>0</v>
      </c>
      <c r="G81" s="19">
        <v>20</v>
      </c>
      <c r="H81" s="19">
        <v>7</v>
      </c>
      <c r="I81" s="19">
        <v>20</v>
      </c>
      <c r="J81" s="19">
        <f t="shared" si="4"/>
        <v>27</v>
      </c>
      <c r="K81" s="23">
        <v>30</v>
      </c>
      <c r="L81" s="19">
        <f t="shared" si="5"/>
        <v>77</v>
      </c>
      <c r="M81" s="19">
        <f t="shared" si="6"/>
        <v>3</v>
      </c>
      <c r="N81" s="24" t="str">
        <f t="shared" si="7"/>
        <v>PASS</v>
      </c>
    </row>
    <row r="82" ht="14.25" customHeight="1" spans="4:14">
      <c r="D82" s="19">
        <f>'SUB-3'!D82</f>
        <v>68</v>
      </c>
      <c r="E82" s="22" t="str">
        <f>'SUB-3'!E82</f>
        <v>BTMC24O1068</v>
      </c>
      <c r="F82" s="19">
        <v>13</v>
      </c>
      <c r="G82" s="19">
        <v>2</v>
      </c>
      <c r="H82" s="19">
        <v>9</v>
      </c>
      <c r="I82" s="19">
        <v>3</v>
      </c>
      <c r="J82" s="19">
        <f t="shared" si="4"/>
        <v>12</v>
      </c>
      <c r="K82" s="23">
        <v>7</v>
      </c>
      <c r="L82" s="19">
        <f t="shared" si="5"/>
        <v>34</v>
      </c>
      <c r="M82" s="19">
        <f t="shared" si="6"/>
        <v>0</v>
      </c>
      <c r="N82" s="24" t="str">
        <f t="shared" si="7"/>
        <v>FAIL</v>
      </c>
    </row>
    <row r="83" ht="14.25" customHeight="1" spans="4:14">
      <c r="D83" s="19">
        <f>'SUB-3'!D83</f>
        <v>69</v>
      </c>
      <c r="E83" s="22" t="str">
        <f>'SUB-3'!E83</f>
        <v>BTMC24O1069</v>
      </c>
      <c r="F83" s="19">
        <v>5</v>
      </c>
      <c r="G83" s="19">
        <v>11</v>
      </c>
      <c r="H83" s="19">
        <v>3</v>
      </c>
      <c r="I83" s="19">
        <v>5</v>
      </c>
      <c r="J83" s="19">
        <f t="shared" si="4"/>
        <v>8</v>
      </c>
      <c r="K83" s="23">
        <v>5</v>
      </c>
      <c r="L83" s="19">
        <f t="shared" si="5"/>
        <v>29</v>
      </c>
      <c r="M83" s="19">
        <f t="shared" si="6"/>
        <v>0</v>
      </c>
      <c r="N83" s="24" t="str">
        <f t="shared" si="7"/>
        <v>FAIL</v>
      </c>
    </row>
    <row r="84" ht="14.25" customHeight="1" spans="4:14">
      <c r="D84" s="19">
        <f>'SUB-3'!D84</f>
        <v>70</v>
      </c>
      <c r="E84" s="22" t="str">
        <f>'SUB-3'!E84</f>
        <v>BTMC24O1070</v>
      </c>
      <c r="F84" s="19">
        <v>16</v>
      </c>
      <c r="G84" s="19">
        <v>19</v>
      </c>
      <c r="H84" s="19">
        <v>6</v>
      </c>
      <c r="I84" s="19">
        <v>13</v>
      </c>
      <c r="J84" s="19">
        <f t="shared" si="4"/>
        <v>19</v>
      </c>
      <c r="K84" s="23">
        <v>14</v>
      </c>
      <c r="L84" s="19">
        <f t="shared" si="5"/>
        <v>68</v>
      </c>
      <c r="M84" s="19">
        <f t="shared" si="6"/>
        <v>2</v>
      </c>
      <c r="N84" s="24" t="str">
        <f t="shared" si="7"/>
        <v>PASS</v>
      </c>
    </row>
    <row r="85" ht="14.25" customHeight="1" spans="4:14">
      <c r="D85" s="19">
        <f>'SUB-3'!D85</f>
        <v>71</v>
      </c>
      <c r="E85" s="22" t="str">
        <f>'SUB-3'!E85</f>
        <v>BTMC24O1071</v>
      </c>
      <c r="F85" s="19">
        <v>1</v>
      </c>
      <c r="G85" s="19">
        <v>9</v>
      </c>
      <c r="H85" s="19">
        <v>4</v>
      </c>
      <c r="I85" s="19">
        <v>20</v>
      </c>
      <c r="J85" s="19">
        <f t="shared" si="4"/>
        <v>24</v>
      </c>
      <c r="K85" s="23">
        <v>20</v>
      </c>
      <c r="L85" s="19">
        <f t="shared" si="5"/>
        <v>54</v>
      </c>
      <c r="M85" s="19">
        <f t="shared" si="6"/>
        <v>2</v>
      </c>
      <c r="N85" s="24" t="str">
        <f t="shared" si="7"/>
        <v>PASS</v>
      </c>
    </row>
    <row r="86" ht="14.25" customHeight="1" spans="4:14">
      <c r="D86" s="19">
        <f>'SUB-3'!D86</f>
        <v>72</v>
      </c>
      <c r="E86" s="22" t="str">
        <f>'SUB-3'!E86</f>
        <v>BTMC24O1072</v>
      </c>
      <c r="F86" s="19">
        <v>20</v>
      </c>
      <c r="G86" s="19">
        <v>11</v>
      </c>
      <c r="H86" s="19">
        <v>2</v>
      </c>
      <c r="I86" s="19">
        <v>17</v>
      </c>
      <c r="J86" s="19">
        <f t="shared" si="4"/>
        <v>19</v>
      </c>
      <c r="K86" s="23">
        <v>9</v>
      </c>
      <c r="L86" s="19">
        <f t="shared" si="5"/>
        <v>59</v>
      </c>
      <c r="M86" s="19">
        <f t="shared" si="6"/>
        <v>2</v>
      </c>
      <c r="N86" s="24" t="str">
        <f t="shared" si="7"/>
        <v>PASS</v>
      </c>
    </row>
    <row r="87" ht="14.25" customHeight="1" spans="4:14">
      <c r="D87" s="19">
        <f>'SUB-3'!D87</f>
        <v>73</v>
      </c>
      <c r="E87" s="22" t="str">
        <f>'SUB-3'!E87</f>
        <v>BTMC24O1073</v>
      </c>
      <c r="F87" s="19">
        <v>6</v>
      </c>
      <c r="G87" s="19">
        <v>19</v>
      </c>
      <c r="H87" s="19">
        <v>3</v>
      </c>
      <c r="I87" s="19">
        <v>18</v>
      </c>
      <c r="J87" s="19">
        <f t="shared" si="4"/>
        <v>21</v>
      </c>
      <c r="K87" s="23">
        <v>1</v>
      </c>
      <c r="L87" s="19">
        <f t="shared" si="5"/>
        <v>47</v>
      </c>
      <c r="M87" s="19">
        <f t="shared" si="6"/>
        <v>1</v>
      </c>
      <c r="N87" s="24" t="str">
        <f t="shared" si="7"/>
        <v>PASS</v>
      </c>
    </row>
    <row r="88" ht="14.25" customHeight="1" spans="4:14">
      <c r="D88" s="19">
        <f>'SUB-3'!D88</f>
        <v>74</v>
      </c>
      <c r="E88" s="22" t="str">
        <f>'SUB-3'!E88</f>
        <v>BTMC24O1074</v>
      </c>
      <c r="F88" s="19">
        <v>16</v>
      </c>
      <c r="G88" s="19">
        <v>14</v>
      </c>
      <c r="H88" s="19">
        <v>8</v>
      </c>
      <c r="I88" s="19">
        <v>14</v>
      </c>
      <c r="J88" s="19">
        <f t="shared" si="4"/>
        <v>22</v>
      </c>
      <c r="K88" s="23">
        <v>11</v>
      </c>
      <c r="L88" s="19">
        <f t="shared" si="5"/>
        <v>63</v>
      </c>
      <c r="M88" s="19">
        <f t="shared" si="6"/>
        <v>2</v>
      </c>
      <c r="N88" s="24" t="str">
        <f t="shared" si="7"/>
        <v>PASS</v>
      </c>
    </row>
    <row r="89" ht="14.25" customHeight="1" spans="4:14">
      <c r="D89" s="19">
        <f>'SUB-3'!D89</f>
        <v>75</v>
      </c>
      <c r="E89" s="22" t="str">
        <f>'SUB-3'!E89</f>
        <v>BTMC24O1075</v>
      </c>
      <c r="F89" s="19">
        <v>12</v>
      </c>
      <c r="G89" s="19">
        <v>17</v>
      </c>
      <c r="H89" s="19">
        <v>6</v>
      </c>
      <c r="I89" s="19">
        <v>11</v>
      </c>
      <c r="J89" s="19">
        <f t="shared" si="4"/>
        <v>17</v>
      </c>
      <c r="K89" s="23">
        <v>4</v>
      </c>
      <c r="L89" s="19">
        <f t="shared" si="5"/>
        <v>50</v>
      </c>
      <c r="M89" s="19">
        <f t="shared" si="6"/>
        <v>1</v>
      </c>
      <c r="N89" s="24" t="str">
        <f t="shared" si="7"/>
        <v>PASS</v>
      </c>
    </row>
    <row r="90" ht="14.25" customHeight="1" spans="4:14">
      <c r="D90" s="19">
        <f>'SUB-3'!D90</f>
        <v>76</v>
      </c>
      <c r="E90" s="22" t="str">
        <f>'SUB-3'!E90</f>
        <v>BTMC24O1076</v>
      </c>
      <c r="F90" s="19">
        <v>9</v>
      </c>
      <c r="G90" s="19">
        <v>0</v>
      </c>
      <c r="H90" s="19">
        <v>6</v>
      </c>
      <c r="I90" s="19">
        <v>0</v>
      </c>
      <c r="J90" s="19">
        <f t="shared" si="4"/>
        <v>6</v>
      </c>
      <c r="K90" s="23">
        <v>30</v>
      </c>
      <c r="L90" s="19">
        <f t="shared" si="5"/>
        <v>45</v>
      </c>
      <c r="M90" s="19">
        <f t="shared" si="6"/>
        <v>1</v>
      </c>
      <c r="N90" s="24" t="str">
        <f t="shared" si="7"/>
        <v>PASS</v>
      </c>
    </row>
    <row r="91" ht="14.25" customHeight="1" spans="4:14">
      <c r="D91" s="19">
        <f>'SUB-3'!D91</f>
        <v>77</v>
      </c>
      <c r="E91" s="22" t="str">
        <f>'SUB-3'!E91</f>
        <v>BTMC24O1077</v>
      </c>
      <c r="F91" s="19">
        <v>19</v>
      </c>
      <c r="G91" s="19">
        <v>6</v>
      </c>
      <c r="H91" s="19">
        <v>6</v>
      </c>
      <c r="I91" s="19">
        <v>4</v>
      </c>
      <c r="J91" s="19">
        <f t="shared" si="4"/>
        <v>10</v>
      </c>
      <c r="K91" s="23">
        <v>10</v>
      </c>
      <c r="L91" s="19">
        <f t="shared" si="5"/>
        <v>45</v>
      </c>
      <c r="M91" s="19">
        <f t="shared" si="6"/>
        <v>1</v>
      </c>
      <c r="N91" s="24" t="str">
        <f t="shared" si="7"/>
        <v>PASS</v>
      </c>
    </row>
    <row r="92" ht="14.25" customHeight="1" spans="4:14">
      <c r="D92" s="19">
        <f>'SUB-3'!D92</f>
        <v>78</v>
      </c>
      <c r="E92" s="22" t="str">
        <f>'SUB-3'!E92</f>
        <v>BTMC24O1078</v>
      </c>
      <c r="F92" s="19">
        <v>11</v>
      </c>
      <c r="G92" s="19">
        <v>8</v>
      </c>
      <c r="H92" s="19">
        <v>9</v>
      </c>
      <c r="I92" s="19">
        <v>8</v>
      </c>
      <c r="J92" s="19">
        <f t="shared" si="4"/>
        <v>17</v>
      </c>
      <c r="K92" s="23">
        <v>25</v>
      </c>
      <c r="L92" s="19">
        <f t="shared" si="5"/>
        <v>61</v>
      </c>
      <c r="M92" s="19">
        <f t="shared" si="6"/>
        <v>2</v>
      </c>
      <c r="N92" s="24" t="str">
        <f t="shared" si="7"/>
        <v>PASS</v>
      </c>
    </row>
    <row r="93" ht="14.25" customHeight="1" spans="4:14">
      <c r="D93" s="19">
        <f>'SUB-3'!D93</f>
        <v>79</v>
      </c>
      <c r="E93" s="22" t="str">
        <f>'SUB-3'!E93</f>
        <v>BTMC24O1079</v>
      </c>
      <c r="F93" s="19">
        <v>20</v>
      </c>
      <c r="G93" s="19">
        <v>12</v>
      </c>
      <c r="H93" s="19">
        <v>9</v>
      </c>
      <c r="I93" s="19">
        <v>10</v>
      </c>
      <c r="J93" s="19">
        <f t="shared" si="4"/>
        <v>19</v>
      </c>
      <c r="K93" s="23">
        <v>17</v>
      </c>
      <c r="L93" s="19">
        <f t="shared" si="5"/>
        <v>68</v>
      </c>
      <c r="M93" s="19">
        <f t="shared" si="6"/>
        <v>2</v>
      </c>
      <c r="N93" s="24" t="str">
        <f t="shared" si="7"/>
        <v>PASS</v>
      </c>
    </row>
    <row r="94" ht="14.25" customHeight="1" spans="4:14">
      <c r="D94" s="19">
        <f>'SUB-3'!D94</f>
        <v>80</v>
      </c>
      <c r="E94" s="22" t="str">
        <f>'SUB-3'!E94</f>
        <v>BTMC24O1080</v>
      </c>
      <c r="F94" s="19">
        <v>5</v>
      </c>
      <c r="G94" s="19">
        <v>14</v>
      </c>
      <c r="H94" s="19">
        <v>6</v>
      </c>
      <c r="I94" s="19">
        <v>16</v>
      </c>
      <c r="J94" s="19">
        <f t="shared" si="4"/>
        <v>22</v>
      </c>
      <c r="K94" s="23">
        <v>17</v>
      </c>
      <c r="L94" s="19">
        <f t="shared" si="5"/>
        <v>58</v>
      </c>
      <c r="M94" s="19">
        <f t="shared" si="6"/>
        <v>2</v>
      </c>
      <c r="N94" s="24" t="str">
        <f t="shared" si="7"/>
        <v>PASS</v>
      </c>
    </row>
    <row r="95" ht="14.25" customHeight="1" spans="4:14">
      <c r="D95" s="19">
        <f>'SUB-3'!D95</f>
        <v>81</v>
      </c>
      <c r="E95" s="22" t="str">
        <f>'SUB-3'!E95</f>
        <v>BTMC24O1081</v>
      </c>
      <c r="F95" s="19">
        <v>1</v>
      </c>
      <c r="G95" s="19">
        <v>15</v>
      </c>
      <c r="H95" s="19">
        <v>4</v>
      </c>
      <c r="I95" s="19">
        <v>9</v>
      </c>
      <c r="J95" s="19">
        <f t="shared" si="4"/>
        <v>13</v>
      </c>
      <c r="K95" s="23">
        <v>9</v>
      </c>
      <c r="L95" s="19">
        <f t="shared" si="5"/>
        <v>38</v>
      </c>
      <c r="M95" s="19">
        <f t="shared" si="6"/>
        <v>1</v>
      </c>
      <c r="N95" s="24" t="str">
        <f t="shared" si="7"/>
        <v>PASS</v>
      </c>
    </row>
    <row r="96" ht="14.25" customHeight="1" spans="4:14">
      <c r="D96" s="19">
        <f>'SUB-3'!D96</f>
        <v>82</v>
      </c>
      <c r="E96" s="22" t="str">
        <f>'SUB-3'!E96</f>
        <v>BTMC24O1082</v>
      </c>
      <c r="F96" s="19">
        <v>16</v>
      </c>
      <c r="G96" s="19">
        <v>4</v>
      </c>
      <c r="H96" s="19">
        <v>6</v>
      </c>
      <c r="I96" s="19">
        <v>15</v>
      </c>
      <c r="J96" s="19">
        <f t="shared" si="4"/>
        <v>21</v>
      </c>
      <c r="K96" s="23">
        <v>24</v>
      </c>
      <c r="L96" s="19">
        <f t="shared" si="5"/>
        <v>65</v>
      </c>
      <c r="M96" s="19">
        <f t="shared" si="6"/>
        <v>2</v>
      </c>
      <c r="N96" s="24" t="str">
        <f t="shared" si="7"/>
        <v>PASS</v>
      </c>
    </row>
    <row r="97" ht="14.25" customHeight="1" spans="4:14">
      <c r="D97" s="19">
        <f>'SUB-3'!D97</f>
        <v>83</v>
      </c>
      <c r="E97" s="22" t="str">
        <f>'SUB-3'!E97</f>
        <v>BTMC24O1083</v>
      </c>
      <c r="F97" s="19">
        <v>8</v>
      </c>
      <c r="G97" s="19">
        <v>8</v>
      </c>
      <c r="H97" s="19">
        <v>10</v>
      </c>
      <c r="I97" s="19">
        <v>6</v>
      </c>
      <c r="J97" s="19">
        <f t="shared" si="4"/>
        <v>16</v>
      </c>
      <c r="K97" s="23">
        <v>20</v>
      </c>
      <c r="L97" s="19">
        <f t="shared" si="5"/>
        <v>52</v>
      </c>
      <c r="M97" s="19">
        <f t="shared" si="6"/>
        <v>2</v>
      </c>
      <c r="N97" s="24" t="str">
        <f t="shared" si="7"/>
        <v>PASS</v>
      </c>
    </row>
    <row r="98" ht="14.25" customHeight="1" spans="4:14">
      <c r="D98" s="19">
        <f>'SUB-3'!D98</f>
        <v>84</v>
      </c>
      <c r="E98" s="22" t="str">
        <f>'SUB-3'!E98</f>
        <v>BTMC24O1084</v>
      </c>
      <c r="F98" s="19">
        <v>9</v>
      </c>
      <c r="G98" s="19">
        <v>16</v>
      </c>
      <c r="H98" s="19">
        <v>4</v>
      </c>
      <c r="I98" s="19">
        <v>9</v>
      </c>
      <c r="J98" s="19">
        <f t="shared" si="4"/>
        <v>13</v>
      </c>
      <c r="K98" s="23">
        <v>1</v>
      </c>
      <c r="L98" s="19">
        <f t="shared" si="5"/>
        <v>39</v>
      </c>
      <c r="M98" s="19">
        <f t="shared" si="6"/>
        <v>1</v>
      </c>
      <c r="N98" s="24" t="str">
        <f t="shared" si="7"/>
        <v>PASS</v>
      </c>
    </row>
    <row r="99" ht="14.25" customHeight="1" spans="4:14">
      <c r="D99" s="19">
        <f>'SUB-3'!D99</f>
        <v>85</v>
      </c>
      <c r="E99" s="22" t="str">
        <f>'SUB-3'!E99</f>
        <v>BTMC24O1085</v>
      </c>
      <c r="F99" s="19">
        <v>7</v>
      </c>
      <c r="G99" s="19">
        <v>7</v>
      </c>
      <c r="H99" s="19">
        <v>4</v>
      </c>
      <c r="I99" s="19">
        <v>2</v>
      </c>
      <c r="J99" s="19">
        <f t="shared" si="4"/>
        <v>6</v>
      </c>
      <c r="K99" s="23">
        <v>24</v>
      </c>
      <c r="L99" s="19">
        <f t="shared" si="5"/>
        <v>44</v>
      </c>
      <c r="M99" s="19">
        <f t="shared" si="6"/>
        <v>1</v>
      </c>
      <c r="N99" s="24" t="str">
        <f t="shared" si="7"/>
        <v>PASS</v>
      </c>
    </row>
    <row r="100" ht="14.25" customHeight="1" spans="4:14">
      <c r="D100" s="19">
        <f>'SUB-3'!D100</f>
        <v>86</v>
      </c>
      <c r="E100" s="22" t="str">
        <f>'SUB-3'!E100</f>
        <v>BTMC24O1086</v>
      </c>
      <c r="F100" s="19">
        <v>17</v>
      </c>
      <c r="G100" s="19">
        <v>4</v>
      </c>
      <c r="H100" s="19">
        <v>3</v>
      </c>
      <c r="I100" s="19">
        <v>2</v>
      </c>
      <c r="J100" s="19">
        <f t="shared" si="4"/>
        <v>5</v>
      </c>
      <c r="K100" s="23">
        <v>11</v>
      </c>
      <c r="L100" s="19">
        <f t="shared" si="5"/>
        <v>37</v>
      </c>
      <c r="M100" s="19">
        <f t="shared" si="6"/>
        <v>1</v>
      </c>
      <c r="N100" s="24" t="str">
        <f t="shared" si="7"/>
        <v>PASS</v>
      </c>
    </row>
    <row r="101" ht="14.25" customHeight="1" spans="4:14">
      <c r="D101" s="19">
        <f>'SUB-3'!D101</f>
        <v>87</v>
      </c>
      <c r="E101" s="22" t="str">
        <f>'SUB-3'!E101</f>
        <v>BTMC24O1087</v>
      </c>
      <c r="F101" s="19">
        <v>20</v>
      </c>
      <c r="G101" s="19">
        <v>20</v>
      </c>
      <c r="H101" s="19">
        <v>10</v>
      </c>
      <c r="I101" s="19">
        <v>16</v>
      </c>
      <c r="J101" s="19">
        <f t="shared" si="4"/>
        <v>26</v>
      </c>
      <c r="K101" s="23">
        <v>27</v>
      </c>
      <c r="L101" s="19">
        <f t="shared" si="5"/>
        <v>93</v>
      </c>
      <c r="M101" s="19">
        <f t="shared" si="6"/>
        <v>3</v>
      </c>
      <c r="N101" s="24" t="str">
        <f t="shared" si="7"/>
        <v>PASS</v>
      </c>
    </row>
    <row r="102" ht="14.25" customHeight="1" spans="4:14">
      <c r="D102" s="19">
        <f>'SUB-3'!D102</f>
        <v>88</v>
      </c>
      <c r="E102" s="22" t="str">
        <f>'SUB-3'!E102</f>
        <v>BTMC24O1088</v>
      </c>
      <c r="F102" s="19">
        <v>20</v>
      </c>
      <c r="G102" s="19">
        <v>20</v>
      </c>
      <c r="H102" s="19">
        <v>10</v>
      </c>
      <c r="I102" s="19">
        <v>13</v>
      </c>
      <c r="J102" s="19">
        <f t="shared" si="4"/>
        <v>23</v>
      </c>
      <c r="K102" s="23">
        <v>27</v>
      </c>
      <c r="L102" s="19">
        <f t="shared" si="5"/>
        <v>90</v>
      </c>
      <c r="M102" s="19">
        <f t="shared" si="6"/>
        <v>3</v>
      </c>
      <c r="N102" s="24" t="str">
        <f t="shared" si="7"/>
        <v>PASS</v>
      </c>
    </row>
    <row r="103" ht="14.25" customHeight="1" spans="4:14">
      <c r="D103" s="19">
        <f>'SUB-3'!D103</f>
        <v>89</v>
      </c>
      <c r="E103" s="22" t="str">
        <f>'SUB-3'!E103</f>
        <v>BTMC24O1089</v>
      </c>
      <c r="F103" s="19">
        <v>5</v>
      </c>
      <c r="G103" s="19">
        <v>5</v>
      </c>
      <c r="H103" s="19">
        <v>2</v>
      </c>
      <c r="I103" s="19">
        <v>0</v>
      </c>
      <c r="J103" s="19">
        <f t="shared" si="4"/>
        <v>2</v>
      </c>
      <c r="K103" s="23">
        <v>30</v>
      </c>
      <c r="L103" s="19">
        <f t="shared" si="5"/>
        <v>42</v>
      </c>
      <c r="M103" s="19">
        <f t="shared" si="6"/>
        <v>1</v>
      </c>
      <c r="N103" s="24" t="str">
        <f t="shared" si="7"/>
        <v>PASS</v>
      </c>
    </row>
    <row r="104" ht="14.25" customHeight="1" spans="4:14">
      <c r="D104" s="19">
        <f>'SUB-3'!D104</f>
        <v>90</v>
      </c>
      <c r="E104" s="22" t="str">
        <f>'SUB-3'!E104</f>
        <v>BTMC24O1090</v>
      </c>
      <c r="F104" s="19">
        <v>13</v>
      </c>
      <c r="G104" s="19">
        <v>14</v>
      </c>
      <c r="H104" s="19">
        <v>7</v>
      </c>
      <c r="I104" s="19">
        <v>4</v>
      </c>
      <c r="J104" s="19">
        <f t="shared" si="4"/>
        <v>11</v>
      </c>
      <c r="K104" s="23">
        <v>22</v>
      </c>
      <c r="L104" s="19">
        <f t="shared" si="5"/>
        <v>60</v>
      </c>
      <c r="M104" s="19">
        <f t="shared" si="6"/>
        <v>2</v>
      </c>
      <c r="N104" s="24" t="str">
        <f t="shared" si="7"/>
        <v>PASS</v>
      </c>
    </row>
    <row r="105" ht="14.25" customHeight="1" spans="4:14">
      <c r="D105" s="19">
        <f>'SUB-3'!D105</f>
        <v>91</v>
      </c>
      <c r="E105" s="22" t="str">
        <f>'SUB-3'!E105</f>
        <v>BTMC24O1091</v>
      </c>
      <c r="F105" s="19">
        <v>18</v>
      </c>
      <c r="G105" s="19">
        <v>7</v>
      </c>
      <c r="H105" s="19">
        <v>0</v>
      </c>
      <c r="I105" s="19">
        <v>7</v>
      </c>
      <c r="J105" s="19">
        <f t="shared" si="4"/>
        <v>7</v>
      </c>
      <c r="K105" s="23">
        <v>29</v>
      </c>
      <c r="L105" s="19">
        <f t="shared" si="5"/>
        <v>61</v>
      </c>
      <c r="M105" s="19">
        <f t="shared" si="6"/>
        <v>2</v>
      </c>
      <c r="N105" s="24" t="str">
        <f t="shared" si="7"/>
        <v>PASS</v>
      </c>
    </row>
    <row r="106" ht="14.25" customHeight="1" spans="4:14">
      <c r="D106" s="19">
        <f>'SUB-3'!D106</f>
        <v>92</v>
      </c>
      <c r="E106" s="22" t="str">
        <f>'SUB-3'!E106</f>
        <v>BTMC24O1092</v>
      </c>
      <c r="F106" s="19">
        <v>3</v>
      </c>
      <c r="G106" s="19">
        <v>1</v>
      </c>
      <c r="H106" s="19">
        <v>3</v>
      </c>
      <c r="I106" s="19">
        <v>10</v>
      </c>
      <c r="J106" s="19">
        <f t="shared" si="4"/>
        <v>13</v>
      </c>
      <c r="K106" s="23">
        <v>30</v>
      </c>
      <c r="L106" s="19">
        <f t="shared" si="5"/>
        <v>47</v>
      </c>
      <c r="M106" s="19">
        <f t="shared" si="6"/>
        <v>1</v>
      </c>
      <c r="N106" s="24" t="str">
        <f t="shared" si="7"/>
        <v>PASS</v>
      </c>
    </row>
    <row r="107" ht="14.25" customHeight="1" spans="4:14">
      <c r="D107" s="19">
        <f>'SUB-3'!D107</f>
        <v>93</v>
      </c>
      <c r="E107" s="22" t="str">
        <f>'SUB-3'!E107</f>
        <v>BTMC24O1093</v>
      </c>
      <c r="F107" s="19">
        <v>13</v>
      </c>
      <c r="G107" s="19">
        <v>1</v>
      </c>
      <c r="H107" s="19">
        <v>5</v>
      </c>
      <c r="I107" s="19">
        <v>6</v>
      </c>
      <c r="J107" s="19">
        <f t="shared" si="4"/>
        <v>11</v>
      </c>
      <c r="K107" s="23">
        <v>9</v>
      </c>
      <c r="L107" s="19">
        <f t="shared" si="5"/>
        <v>34</v>
      </c>
      <c r="M107" s="19">
        <f t="shared" si="6"/>
        <v>0</v>
      </c>
      <c r="N107" s="24" t="str">
        <f t="shared" si="7"/>
        <v>FAIL</v>
      </c>
    </row>
    <row r="108" ht="14.25" customHeight="1" spans="4:14">
      <c r="D108" s="19">
        <f>'SUB-3'!D108</f>
        <v>94</v>
      </c>
      <c r="E108" s="22" t="str">
        <f>'SUB-3'!E108</f>
        <v>BTMC24O1094</v>
      </c>
      <c r="F108" s="19">
        <v>9</v>
      </c>
      <c r="G108" s="19">
        <v>18</v>
      </c>
      <c r="H108" s="19">
        <v>4</v>
      </c>
      <c r="I108" s="19">
        <v>12</v>
      </c>
      <c r="J108" s="19">
        <f t="shared" si="4"/>
        <v>16</v>
      </c>
      <c r="K108" s="23">
        <v>16</v>
      </c>
      <c r="L108" s="19">
        <f t="shared" si="5"/>
        <v>59</v>
      </c>
      <c r="M108" s="19">
        <f t="shared" si="6"/>
        <v>2</v>
      </c>
      <c r="N108" s="24" t="str">
        <f t="shared" si="7"/>
        <v>PASS</v>
      </c>
    </row>
    <row r="109" ht="14.25" customHeight="1" spans="4:14">
      <c r="D109" s="19">
        <f>'SUB-3'!D109</f>
        <v>95</v>
      </c>
      <c r="E109" s="22" t="str">
        <f>'SUB-3'!E109</f>
        <v>BTMC24O1095</v>
      </c>
      <c r="F109" s="19">
        <v>15</v>
      </c>
      <c r="G109" s="19">
        <v>2</v>
      </c>
      <c r="H109" s="19">
        <v>8</v>
      </c>
      <c r="I109" s="19">
        <v>20</v>
      </c>
      <c r="J109" s="19">
        <f t="shared" si="4"/>
        <v>28</v>
      </c>
      <c r="K109" s="23">
        <v>18</v>
      </c>
      <c r="L109" s="19">
        <f t="shared" si="5"/>
        <v>63</v>
      </c>
      <c r="M109" s="19">
        <f t="shared" si="6"/>
        <v>2</v>
      </c>
      <c r="N109" s="24" t="str">
        <f t="shared" si="7"/>
        <v>PASS</v>
      </c>
    </row>
    <row r="110" ht="14.25" customHeight="1" spans="4:14">
      <c r="D110" s="19">
        <f>'SUB-3'!D110</f>
        <v>96</v>
      </c>
      <c r="E110" s="22" t="str">
        <f>'SUB-3'!E110</f>
        <v>BTMC24O1096</v>
      </c>
      <c r="F110" s="19">
        <v>10</v>
      </c>
      <c r="G110" s="19">
        <v>19</v>
      </c>
      <c r="H110" s="19">
        <v>1</v>
      </c>
      <c r="I110" s="19">
        <v>0</v>
      </c>
      <c r="J110" s="19">
        <f t="shared" si="4"/>
        <v>1</v>
      </c>
      <c r="K110" s="23">
        <v>20</v>
      </c>
      <c r="L110" s="19">
        <f t="shared" si="5"/>
        <v>50</v>
      </c>
      <c r="M110" s="19">
        <f t="shared" si="6"/>
        <v>1</v>
      </c>
      <c r="N110" s="24" t="str">
        <f t="shared" si="7"/>
        <v>PASS</v>
      </c>
    </row>
    <row r="111" ht="14.25" customHeight="1" spans="4:14">
      <c r="D111" s="19">
        <f>'SUB-3'!D111</f>
        <v>97</v>
      </c>
      <c r="E111" s="22" t="str">
        <f>'SUB-3'!E111</f>
        <v>BTMC24O1097</v>
      </c>
      <c r="F111" s="19">
        <v>17</v>
      </c>
      <c r="G111" s="19">
        <v>18</v>
      </c>
      <c r="H111" s="19">
        <v>7</v>
      </c>
      <c r="I111" s="19">
        <v>5</v>
      </c>
      <c r="J111" s="19">
        <f t="shared" si="4"/>
        <v>12</v>
      </c>
      <c r="K111" s="23">
        <v>5</v>
      </c>
      <c r="L111" s="19">
        <f t="shared" si="5"/>
        <v>52</v>
      </c>
      <c r="M111" s="19">
        <f t="shared" si="6"/>
        <v>2</v>
      </c>
      <c r="N111" s="24" t="str">
        <f t="shared" si="7"/>
        <v>PASS</v>
      </c>
    </row>
    <row r="112" ht="14.25" customHeight="1" spans="4:14">
      <c r="D112" s="19">
        <f>'SUB-3'!D112</f>
        <v>98</v>
      </c>
      <c r="E112" s="22" t="str">
        <f>'SUB-3'!E112</f>
        <v>BTMC24O1098</v>
      </c>
      <c r="F112" s="19">
        <v>19</v>
      </c>
      <c r="G112" s="19">
        <v>11</v>
      </c>
      <c r="H112" s="19">
        <v>7</v>
      </c>
      <c r="I112" s="19">
        <v>20</v>
      </c>
      <c r="J112" s="19">
        <f t="shared" si="4"/>
        <v>27</v>
      </c>
      <c r="K112" s="23">
        <v>18</v>
      </c>
      <c r="L112" s="19">
        <f t="shared" si="5"/>
        <v>75</v>
      </c>
      <c r="M112" s="19">
        <f t="shared" si="6"/>
        <v>2</v>
      </c>
      <c r="N112" s="24" t="str">
        <f t="shared" si="7"/>
        <v>PASS</v>
      </c>
    </row>
    <row r="113" ht="14.25" customHeight="1" spans="4:14">
      <c r="D113" s="19">
        <f>'SUB-3'!D113</f>
        <v>99</v>
      </c>
      <c r="E113" s="22" t="str">
        <f>'SUB-3'!E113</f>
        <v>BTMC24O1099</v>
      </c>
      <c r="F113" s="19">
        <v>16</v>
      </c>
      <c r="G113" s="19">
        <v>16</v>
      </c>
      <c r="H113" s="19">
        <v>1</v>
      </c>
      <c r="I113" s="19">
        <v>15</v>
      </c>
      <c r="J113" s="19">
        <f t="shared" si="4"/>
        <v>16</v>
      </c>
      <c r="K113" s="23">
        <v>8</v>
      </c>
      <c r="L113" s="19">
        <f t="shared" si="5"/>
        <v>56</v>
      </c>
      <c r="M113" s="19">
        <f t="shared" si="6"/>
        <v>2</v>
      </c>
      <c r="N113" s="24" t="str">
        <f t="shared" si="7"/>
        <v>PASS</v>
      </c>
    </row>
    <row r="114" ht="14.25" customHeight="1" spans="4:14">
      <c r="D114" s="19">
        <f>'SUB-3'!D114</f>
        <v>100</v>
      </c>
      <c r="E114" s="22" t="str">
        <f>'SUB-3'!E114</f>
        <v>BTMC24O1100</v>
      </c>
      <c r="F114" s="19">
        <v>11</v>
      </c>
      <c r="G114" s="19">
        <v>7</v>
      </c>
      <c r="H114" s="19">
        <v>6</v>
      </c>
      <c r="I114" s="19">
        <v>5</v>
      </c>
      <c r="J114" s="19">
        <f t="shared" si="4"/>
        <v>11</v>
      </c>
      <c r="K114" s="23">
        <v>19</v>
      </c>
      <c r="L114" s="19">
        <f t="shared" si="5"/>
        <v>48</v>
      </c>
      <c r="M114" s="19">
        <f t="shared" si="6"/>
        <v>1</v>
      </c>
      <c r="N114" s="24" t="str">
        <f t="shared" si="7"/>
        <v>PASS</v>
      </c>
    </row>
  </sheetData>
  <mergeCells count="7">
    <mergeCell ref="D4:Q4"/>
    <mergeCell ref="D5:Q5"/>
    <mergeCell ref="D6:Q6"/>
    <mergeCell ref="G7:L7"/>
    <mergeCell ref="D8:Q8"/>
    <mergeCell ref="D9:Q9"/>
    <mergeCell ref="D2:Q3"/>
  </mergeCells>
  <conditionalFormatting sqref="E15:E114">
    <cfRule type="expression" dxfId="2" priority="8">
      <formula>COUNTIF($E$15:$E$114,E15)&gt;1</formula>
    </cfRule>
  </conditionalFormatting>
  <conditionalFormatting sqref="F15:F114">
    <cfRule type="expression" dxfId="2" priority="2">
      <formula>OR(F15&lt;0,F15&gt;20,NOT(ISNUMBER(F15)))</formula>
    </cfRule>
  </conditionalFormatting>
  <conditionalFormatting sqref="G15:G114">
    <cfRule type="expression" dxfId="2" priority="4">
      <formula>OR(G15&lt;0,G15&gt;20,NOT(ISNUMBER(G15)))</formula>
    </cfRule>
  </conditionalFormatting>
  <conditionalFormatting sqref="H15:H114">
    <cfRule type="expression" dxfId="2" priority="5">
      <formula>OR(H15&lt;0,H15&gt;10,NOT(ISNUMBER(H15)))</formula>
    </cfRule>
  </conditionalFormatting>
  <conditionalFormatting sqref="I15:I114">
    <cfRule type="expression" dxfId="2" priority="6">
      <formula>OR(I15&lt;0,I15&gt;20,NOT(ISNUMBER(I15)))</formula>
    </cfRule>
  </conditionalFormatting>
  <conditionalFormatting sqref="K15:K114">
    <cfRule type="expression" dxfId="2" priority="7">
      <formula>OR(K15&lt;0,K15&gt;30,NOT(ISNUMBER(K15)))</formula>
    </cfRule>
  </conditionalFormatting>
  <conditionalFormatting sqref="N15:N114">
    <cfRule type="containsText" dxfId="0" priority="3" operator="between" text="FAIL">
      <formula>NOT(ISERROR(SEARCH("FAIL",N15)))</formula>
    </cfRule>
  </conditionalFormatting>
  <dataValidations count="4">
    <dataValidation type="textLength" operator="equal" allowBlank="1" showErrorMessage="1" errorTitle="Invalid enrollment no." error="Enrollment number must be 11 characters (e.g. BTMC24O1001)" sqref="E15:E114">
      <formula1>11</formula1>
    </dataValidation>
    <dataValidation type="decimal" operator="between" allowBlank="1" showErrorMessage="1" errorTitle="Invalid mark" error="Enter a number between 0 and 10" sqref="H15:H114">
      <formula1>0</formula1>
      <formula2>10</formula2>
    </dataValidation>
    <dataValidation type="decimal" operator="between" allowBlank="1" showErrorMessage="1" errorTitle="Invalid mark" error="Enter a number between 0 and 20" sqref="I15:I114 F15:G114">
      <formula1>0</formula1>
      <formula2>20</formula2>
    </dataValidation>
    <dataValidation type="decimal" operator="between" allowBlank="1" showErrorMessage="1" errorTitle="Invalid mark" error="Enter a number between 0 and 30" sqref="K15:K114">
      <formula1>0</formula1>
      <formula2>30</formula2>
    </dataValidation>
  </dataValidation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G18"/>
  <sheetViews>
    <sheetView tabSelected="1" workbookViewId="0">
      <selection activeCell="C10" sqref="C10"/>
    </sheetView>
  </sheetViews>
  <sheetFormatPr defaultColWidth="8.67592592592593" defaultRowHeight="14.4" outlineLevelCol="6"/>
  <cols>
    <col min="1" max="2" width="16" style="1" customWidth="1"/>
    <col min="3" max="3" width="22" style="1" customWidth="1"/>
    <col min="4" max="5" width="18" style="1" customWidth="1"/>
    <col min="6" max="6" width="26" style="1" customWidth="1"/>
    <col min="7" max="7" width="16" style="1" customWidth="1"/>
  </cols>
  <sheetData>
    <row r="1" ht="17.25" customHeight="1" spans="1:7">
      <c r="A1" s="2" t="s">
        <v>698</v>
      </c>
    </row>
    <row r="2" ht="15" customHeight="1" spans="1:7">
      <c r="A2" s="3" t="s">
        <v>699</v>
      </c>
    </row>
    <row r="4" ht="26.25" customHeight="1" spans="1:7">
      <c r="A4" s="4" t="s">
        <v>700</v>
      </c>
      <c r="B4" s="4" t="s">
        <v>701</v>
      </c>
      <c r="C4" s="4" t="s">
        <v>702</v>
      </c>
      <c r="D4" s="4" t="s">
        <v>703</v>
      </c>
      <c r="E4" s="4" t="s">
        <v>704</v>
      </c>
      <c r="F4" s="4" t="s">
        <v>705</v>
      </c>
      <c r="G4" s="4" t="s">
        <v>706</v>
      </c>
    </row>
    <row r="5" ht="15" customHeight="1" spans="1:7">
      <c r="A5" s="5" t="s">
        <v>707</v>
      </c>
      <c r="B5" s="5">
        <f>COUNTA('SUB-1'!$E$15:$E$114)</f>
        <v>100</v>
      </c>
      <c r="C5" s="5">
        <f>SUMPRODUCT((COUNTIF('SUB-1'!$E$15:$E$114,'SUB-1'!$E$15:$E$114)&gt;1)*1)</f>
        <v>0</v>
      </c>
      <c r="D5" s="5">
        <f>COUNTBLANK('SUB-1'!$F$15:$F$114)+COUNTBLANK('SUB-1'!$G$15:$G$114)+COUNTBLANK('SUB-1'!$H$15:$H$114)+COUNTBLANK('SUB-1'!$I$15:$I$114)+COUNTBLANK('SUB-1'!$K$15:$K$114)</f>
        <v>0</v>
      </c>
      <c r="E5" s="5">
        <f>SUMPRODUCT(('SUB-1'!$F$15:$F$114&lt;&gt;"")*(('SUB-1'!$F$15:$F$114&lt;0)+('SUB-1'!$F$15:$F$114&gt;20)))+SUMPRODUCT(('SUB-1'!$G$15:$G$114&lt;&gt;"")*(('SUB-1'!$G$15:$G$114&lt;0)+('SUB-1'!$G$15:$G$114&gt;20)))+SUMPRODUCT(('SUB-1'!$H$15:$H$114&lt;&gt;"")*(('SUB-1'!$H$15:$H$114&lt;0)+('SUB-1'!$H$15:$H$114&gt;10)))+SUMPRODUCT(('SUB-1'!$I$15:$I$114&lt;&gt;"")*(('SUB-1'!$I$15:$I$114&lt;0)+('SUB-1'!$I$15:$I$114&gt;20)))+SUMPRODUCT(('SUB-1'!$K$15:$K$114&lt;&gt;"")*(('SUB-1'!$K$15:$K$114&lt;0)+('SUB-1'!$K$15:$K$114&gt;30)))</f>
        <v>0</v>
      </c>
      <c r="F5" s="5">
        <f>SUMPRODUCT(--ISNA(MATCH('SUB-1'!$E$15:$E$114,'STUDENT INFO'!$C$15:$C$114,0)))</f>
        <v>0</v>
      </c>
      <c r="G5" s="6" t="str">
        <f t="shared" ref="G5:G16" si="0">IF(SUM(C5:F5)=0,"CLEAN","REVIEW NEEDED")</f>
        <v>CLEAN</v>
      </c>
    </row>
    <row r="6" ht="15" customHeight="1" spans="1:7">
      <c r="A6" s="5" t="s">
        <v>708</v>
      </c>
      <c r="B6" s="5">
        <f>COUNTA('SUB- 2'!$D$15:$D$114)</f>
        <v>100</v>
      </c>
      <c r="C6" s="5">
        <f>SUMPRODUCT((COUNTIF('SUB- 2'!$D$15:$D$114,'SUB- 2'!$D$15:$D$114)&gt;1)*1)</f>
        <v>0</v>
      </c>
      <c r="D6" s="5">
        <f>COUNTBLANK('SUB- 2'!$E$15:$E$114)+COUNTBLANK('SUB- 2'!$F$15:$F$114)+COUNTBLANK('SUB- 2'!$G$15:$G$114)+COUNTBLANK('SUB- 2'!$H$15:$H$114)+COUNTBLANK('SUB- 2'!$J$15:$J$114)</f>
        <v>0</v>
      </c>
      <c r="E6" s="5">
        <f>SUMPRODUCT(('SUB- 2'!$E$15:$E$114&lt;&gt;"")*(('SUB- 2'!$E$15:$E$114&lt;0)+('SUB- 2'!$E$15:$E$114&gt;20)))+SUMPRODUCT(('SUB- 2'!$F$15:$F$114&lt;&gt;"")*(('SUB- 2'!$F$15:$F$114&lt;0)+('SUB- 2'!$F$15:$F$114&gt;20)))+SUMPRODUCT(('SUB- 2'!$G$15:$G$114&lt;&gt;"")*(('SUB- 2'!$G$15:$G$114&lt;0)+('SUB- 2'!$G$15:$G$114&gt;10)))+SUMPRODUCT(('SUB- 2'!$H$15:$H$114&lt;&gt;"")*(('SUB- 2'!$H$15:$H$114&lt;0)+('SUB- 2'!$H$15:$H$114&gt;20)))+SUMPRODUCT(('SUB- 2'!$J$15:$J$114&lt;&gt;"")*(('SUB- 2'!$J$15:$J$114&lt;0)+('SUB- 2'!$J$15:$J$114&gt;30)))</f>
        <v>0</v>
      </c>
      <c r="F6" s="5">
        <f>SUMPRODUCT(--ISNA(MATCH('SUB- 2'!$D$15:$D$114,'STUDENT INFO'!$C$15:$C$114,0)))</f>
        <v>0</v>
      </c>
      <c r="G6" s="6" t="str">
        <f t="shared" si="0"/>
        <v>CLEAN</v>
      </c>
    </row>
    <row r="7" ht="15" customHeight="1" spans="1:7">
      <c r="A7" s="5" t="s">
        <v>709</v>
      </c>
      <c r="B7" s="5">
        <f>COUNTA('SUB-3'!$E$15:$E$114)</f>
        <v>100</v>
      </c>
      <c r="C7" s="5">
        <f>SUMPRODUCT((COUNTIF('SUB-3'!$E$15:$E$114,'SUB-3'!$E$15:$E$114)&gt;1)*1)</f>
        <v>0</v>
      </c>
      <c r="D7" s="5">
        <f>COUNTBLANK('SUB-3'!$F$15:$F$114)+COUNTBLANK('SUB-3'!$G$15:$G$114)+COUNTBLANK('SUB-3'!$H$15:$H$114)+COUNTBLANK('SUB-3'!$I$15:$I$114)+COUNTBLANK('SUB-3'!$K$15:$K$114)</f>
        <v>0</v>
      </c>
      <c r="E7" s="5">
        <f>SUMPRODUCT(('SUB-3'!$F$15:$F$114&lt;&gt;"")*(('SUB-3'!$F$15:$F$114&lt;0)+('SUB-3'!$F$15:$F$114&gt;20)))+SUMPRODUCT(('SUB-3'!$G$15:$G$114&lt;&gt;"")*(('SUB-3'!$G$15:$G$114&lt;0)+('SUB-3'!$G$15:$G$114&gt;20)))+SUMPRODUCT(('SUB-3'!$H$15:$H$114&lt;&gt;"")*(('SUB-3'!$H$15:$H$114&lt;0)+('SUB-3'!$H$15:$H$114&gt;10)))+SUMPRODUCT(('SUB-3'!$I$15:$I$114&lt;&gt;"")*(('SUB-3'!$I$15:$I$114&lt;0)+('SUB-3'!$I$15:$I$114&gt;20)))+SUMPRODUCT(('SUB-3'!$K$15:$K$114&lt;&gt;"")*(('SUB-3'!$K$15:$K$114&lt;0)+('SUB-3'!$K$15:$K$114&gt;30)))</f>
        <v>0</v>
      </c>
      <c r="F7" s="5">
        <f>SUMPRODUCT(--ISNA(MATCH('SUB-3'!$E$15:$E$114,'STUDENT INFO'!$C$15:$C$114,0)))</f>
        <v>0</v>
      </c>
      <c r="G7" s="6" t="str">
        <f t="shared" si="0"/>
        <v>CLEAN</v>
      </c>
    </row>
    <row r="8" ht="15" customHeight="1" spans="1:7">
      <c r="A8" s="5" t="s">
        <v>710</v>
      </c>
      <c r="B8" s="5">
        <f>COUNTA('SUB-4'!$E$15:$E$114)</f>
        <v>100</v>
      </c>
      <c r="C8" s="5">
        <f>SUMPRODUCT((COUNTIF('SUB-4'!$E$15:$E$114,'SUB-4'!$E$15:$E$114)&gt;1)*1)</f>
        <v>0</v>
      </c>
      <c r="D8" s="5">
        <f>COUNTBLANK('SUB-4'!$F$15:$F$114)+COUNTBLANK('SUB-4'!$G$15:$G$114)+COUNTBLANK('SUB-4'!$H$15:$H$114)+COUNTBLANK('SUB-4'!$I$15:$I$114)+COUNTBLANK('SUB-4'!$K$15:$K$114)</f>
        <v>0</v>
      </c>
      <c r="E8" s="5">
        <f>SUMPRODUCT(('SUB-4'!$F$15:$F$114&lt;&gt;"")*(('SUB-4'!$F$15:$F$114&lt;0)+('SUB-4'!$F$15:$F$114&gt;20)))+SUMPRODUCT(('SUB-4'!$G$15:$G$114&lt;&gt;"")*(('SUB-4'!$G$15:$G$114&lt;0)+('SUB-4'!$G$15:$G$114&gt;20)))+SUMPRODUCT(('SUB-4'!$H$15:$H$114&lt;&gt;"")*(('SUB-4'!$H$15:$H$114&lt;0)+('SUB-4'!$H$15:$H$114&gt;10)))+SUMPRODUCT(('SUB-4'!$I$15:$I$114&lt;&gt;"")*(('SUB-4'!$I$15:$I$114&lt;0)+('SUB-4'!$I$15:$I$114&gt;20)))+SUMPRODUCT(('SUB-4'!$K$15:$K$114&lt;&gt;"")*(('SUB-4'!$K$15:$K$114&lt;0)+('SUB-4'!$K$15:$K$114&gt;30)))</f>
        <v>0</v>
      </c>
      <c r="F8" s="5">
        <f>SUMPRODUCT(--ISNA(MATCH('SUB-4'!$E$15:$E$114,'STUDENT INFO'!$C$15:$C$114,0)))</f>
        <v>0</v>
      </c>
      <c r="G8" s="6" t="str">
        <f t="shared" si="0"/>
        <v>CLEAN</v>
      </c>
    </row>
    <row r="9" ht="15" customHeight="1" spans="1:7">
      <c r="A9" s="5" t="s">
        <v>711</v>
      </c>
      <c r="B9" s="5">
        <f>COUNTA('SUB-5'!$E$15:$E$114)</f>
        <v>100</v>
      </c>
      <c r="C9" s="5">
        <f>SUMPRODUCT((COUNTIF('SUB-5'!$E$15:$E$114,'SUB-5'!$E$15:$E$114)&gt;1)*1)</f>
        <v>0</v>
      </c>
      <c r="D9" s="5">
        <f>COUNTBLANK('SUB-5'!$F$15:$F$114)+COUNTBLANK('SUB-5'!$G$15:$G$114)+COUNTBLANK('SUB-5'!$H$15:$H$114)+COUNTBLANK('SUB-5'!$I$15:$I$114)+COUNTBLANK('SUB-5'!$K$15:$K$114)</f>
        <v>0</v>
      </c>
      <c r="E9" s="5">
        <f>SUMPRODUCT(('SUB-5'!$F$15:$F$114&lt;&gt;"")*(('SUB-5'!$F$15:$F$114&lt;0)+('SUB-5'!$F$15:$F$114&gt;20)))+SUMPRODUCT(('SUB-5'!$G$15:$G$114&lt;&gt;"")*(('SUB-5'!$G$15:$G$114&lt;0)+('SUB-5'!$G$15:$G$114&gt;20)))+SUMPRODUCT(('SUB-5'!$H$15:$H$114&lt;&gt;"")*(('SUB-5'!$H$15:$H$114&lt;0)+('SUB-5'!$H$15:$H$114&gt;10)))+SUMPRODUCT(('SUB-5'!$I$15:$I$114&lt;&gt;"")*(('SUB-5'!$I$15:$I$114&lt;0)+('SUB-5'!$I$15:$I$114&gt;20)))+SUMPRODUCT(('SUB-5'!$K$15:$K$114&lt;&gt;"")*(('SUB-5'!$K$15:$K$114&lt;0)+('SUB-5'!$K$15:$K$114&gt;30)))</f>
        <v>0</v>
      </c>
      <c r="F9" s="5">
        <f>SUMPRODUCT(--ISNA(MATCH('SUB-5'!$E$15:$E$114,'STUDENT INFO'!$C$15:$C$114,0)))</f>
        <v>0</v>
      </c>
      <c r="G9" s="6" t="str">
        <f t="shared" si="0"/>
        <v>CLEAN</v>
      </c>
    </row>
    <row r="10" ht="15" customHeight="1" spans="1:7">
      <c r="A10" s="5" t="s">
        <v>712</v>
      </c>
      <c r="B10" s="5">
        <f>COUNTA('SUB-6'!$E$16:$E$115)</f>
        <v>100</v>
      </c>
      <c r="C10" s="5">
        <f>SUMPRODUCT((COUNTIF('SUB-6'!$E$16:$E$115,'SUB-6'!$E$16:$E$115)&gt;1)*1)</f>
        <v>0</v>
      </c>
      <c r="D10" s="5">
        <f>COUNTBLANK('SUB-6'!$F$16:$F$115)+COUNTBLANK('SUB-6'!$G$16:$G$115)</f>
        <v>0</v>
      </c>
      <c r="E10" s="5">
        <f>SUMPRODUCT(('SUB-6'!$F$16:$F$115&lt;&gt;"")*(('SUB-6'!$F$16:$F$115&lt;0)+('SUB-6'!$F$16:$F$115&gt;70)))+SUMPRODUCT(('SUB-6'!$G$16:$G$115&lt;&gt;"")*(('SUB-6'!$G$16:$G$115&lt;0)+('SUB-6'!$G$16:$G$115&gt;30)))</f>
        <v>0</v>
      </c>
      <c r="F10" s="5">
        <f>SUMPRODUCT(--ISNA(MATCH('SUB-6'!$E$16:$E$115,'STUDENT INFO'!$C$15:$C$114,0)))</f>
        <v>0</v>
      </c>
      <c r="G10" s="6" t="str">
        <f t="shared" si="0"/>
        <v>CLEAN</v>
      </c>
    </row>
    <row r="11" ht="15" customHeight="1" spans="1:7">
      <c r="A11" s="5" t="s">
        <v>713</v>
      </c>
      <c r="B11" s="5">
        <f>COUNTA('SUB-7'!$E$16:$E$115)</f>
        <v>100</v>
      </c>
      <c r="C11" s="5">
        <f>SUMPRODUCT((COUNTIF('SUB-7'!$E$16:$E$115,'SUB-7'!$E$16:$E$115)&gt;1)*1)</f>
        <v>0</v>
      </c>
      <c r="D11" s="5">
        <f>COUNTBLANK('SUB-7'!$F$16:$F$115)+COUNTBLANK('SUB-7'!$G$16:$G$115)</f>
        <v>0</v>
      </c>
      <c r="E11" s="5">
        <f>SUMPRODUCT(('SUB-7'!$F$16:$F$115&lt;&gt;"")*(('SUB-7'!$F$16:$F$115&lt;0)+('SUB-7'!$F$16:$F$115&gt;70)))+SUMPRODUCT(('SUB-7'!$G$16:$G$115&lt;&gt;"")*(('SUB-7'!$G$16:$G$115&lt;0)+('SUB-7'!$G$16:$G$115&gt;30)))</f>
        <v>0</v>
      </c>
      <c r="F11" s="5">
        <f>SUMPRODUCT(--ISNA(MATCH('SUB-7'!$E$16:$E$115,'STUDENT INFO'!$C$15:$C$114,0)))</f>
        <v>0</v>
      </c>
      <c r="G11" s="6" t="str">
        <f t="shared" si="0"/>
        <v>CLEAN</v>
      </c>
    </row>
    <row r="12" ht="15" customHeight="1" spans="1:7">
      <c r="A12" s="5" t="s">
        <v>714</v>
      </c>
      <c r="B12" s="5">
        <f>COUNTA('SUB-8'!$E$16:$E$115)</f>
        <v>100</v>
      </c>
      <c r="C12" s="5">
        <f>SUMPRODUCT((COUNTIF('SUB-8'!$E$16:$E$115,'SUB-8'!$E$16:$E$115)&gt;1)*1)</f>
        <v>0</v>
      </c>
      <c r="D12" s="5">
        <f>COUNTBLANK('SUB-8'!$F$16:$F$115)</f>
        <v>0</v>
      </c>
      <c r="E12" s="5">
        <f>SUMPRODUCT(('SUB-8'!$F$16:$F$115&lt;&gt;"")*(('SUB-8'!$F$16:$F$115&lt;0)+('SUB-8'!$F$16:$F$115&gt;50)))</f>
        <v>0</v>
      </c>
      <c r="F12" s="5">
        <f>SUMPRODUCT(--ISNA(MATCH('SUB-8'!$E$16:$E$115,'STUDENT INFO'!$C$15:$C$114,0)))</f>
        <v>0</v>
      </c>
      <c r="G12" s="6" t="str">
        <f t="shared" si="0"/>
        <v>CLEAN</v>
      </c>
    </row>
    <row r="13" ht="15" customHeight="1" spans="1:7">
      <c r="A13" s="5" t="s">
        <v>715</v>
      </c>
      <c r="B13" s="5">
        <f>COUNTA('SUB-9'!$E$17:$E$116)</f>
        <v>100</v>
      </c>
      <c r="C13" s="5">
        <f>SUMPRODUCT((COUNTIF('SUB-9'!$E$17:$E$116,'SUB-9'!$E$17:$E$116)&gt;1)*1)</f>
        <v>0</v>
      </c>
      <c r="D13" s="5">
        <f>COUNTBLANK('SUB-9'!$F$17:$F$116)+COUNTBLANK('SUB-9'!$G$17:$G$116)</f>
        <v>0</v>
      </c>
      <c r="E13" s="5">
        <f>SUMPRODUCT(('SUB-9'!$F$17:$F$116&lt;&gt;"")*(('SUB-9'!$F$17:$F$116&lt;0)+('SUB-9'!$F$17:$F$116&gt;70)))+SUMPRODUCT(('SUB-9'!$G$17:$G$116&lt;&gt;"")*(('SUB-9'!$G$17:$G$116&lt;0)+('SUB-9'!$G$17:$G$116&gt;30)))</f>
        <v>0</v>
      </c>
      <c r="F13" s="5">
        <f>SUMPRODUCT(--ISNA(MATCH('SUB-9'!$E$17:$E$116,'STUDENT INFO'!$C$15:$C$114,0)))</f>
        <v>0</v>
      </c>
      <c r="G13" s="6" t="str">
        <f t="shared" si="0"/>
        <v>CLEAN</v>
      </c>
    </row>
    <row r="14" ht="15" customHeight="1" spans="1:7">
      <c r="A14" s="5" t="s">
        <v>716</v>
      </c>
      <c r="B14" s="5">
        <f>COUNTA('SUB-10'!$E$16:$E$115)</f>
        <v>100</v>
      </c>
      <c r="C14" s="5">
        <f>SUMPRODUCT((COUNTIF('SUB-10'!$E$16:$E$115,'SUB-10'!$E$16:$E$115)&gt;1)*1)</f>
        <v>0</v>
      </c>
      <c r="D14" s="5">
        <f>COUNTBLANK('SUB-10'!$F$16:$F$115)+COUNTBLANK('SUB-10'!$G$16:$G$115)</f>
        <v>0</v>
      </c>
      <c r="E14" s="5">
        <f>SUMPRODUCT(('SUB-10'!$F$16:$F$115&lt;&gt;"")*(('SUB-10'!$F$16:$F$115&lt;0)+('SUB-10'!$F$16:$F$115&gt;70)))+SUMPRODUCT(('SUB-10'!$G$16:$G$115&lt;&gt;"")*(('SUB-10'!$G$16:$G$115&lt;0)+('SUB-10'!$G$16:$G$115&gt;30)))</f>
        <v>0</v>
      </c>
      <c r="F14" s="5">
        <f>SUMPRODUCT(--ISNA(MATCH('SUB-10'!$E$16:$E$115,'STUDENT INFO'!$C$15:$C$114,0)))</f>
        <v>0</v>
      </c>
      <c r="G14" s="6" t="str">
        <f t="shared" si="0"/>
        <v>CLEAN</v>
      </c>
    </row>
    <row r="15" ht="15" customHeight="1" spans="1:7">
      <c r="A15" s="5" t="s">
        <v>717</v>
      </c>
      <c r="B15" s="5">
        <f>COUNTA('SUB- NEC'!$E$16:$E$115)</f>
        <v>100</v>
      </c>
      <c r="C15" s="5">
        <f>SUMPRODUCT((COUNTIF('SUB- NEC'!$E$16:$E$115,'SUB- NEC'!$E$16:$E$115)&gt;1)*1)</f>
        <v>0</v>
      </c>
      <c r="D15" s="5">
        <f>COUNTBLANK('SUB- NEC'!$G$16:$G$115)</f>
        <v>0</v>
      </c>
      <c r="E15" s="5">
        <f>SUMPRODUCT(('SUB- NEC'!$G$16:$G$115&lt;&gt;"")*(('SUB- NEC'!$G$16:$G$115&lt;0)+('SUB- NEC'!$G$16:$G$115&gt;50)))</f>
        <v>0</v>
      </c>
      <c r="F15" s="5">
        <f>SUMPRODUCT(--ISNA(MATCH('SUB- NEC'!$E$16:$E$115,'STUDENT INFO'!$C$15:$C$114,0)))</f>
        <v>0</v>
      </c>
      <c r="G15" s="6" t="str">
        <f t="shared" si="0"/>
        <v>CLEAN</v>
      </c>
    </row>
    <row r="16" ht="15" customHeight="1" spans="1:7">
      <c r="A16" s="5" t="s">
        <v>718</v>
      </c>
      <c r="B16" s="5">
        <f>COUNTA('SUB-12'!$E$15:$E$114)</f>
        <v>100</v>
      </c>
      <c r="C16" s="5">
        <f>SUMPRODUCT((COUNTIF('SUB-12'!$E$15:$E$114,'SUB-12'!$E$15:$E$114)&gt;1)*1)</f>
        <v>0</v>
      </c>
      <c r="D16" s="5">
        <f>COUNTBLANK('SUB-12'!$F$15:$F$114)+COUNTBLANK('SUB-12'!$G$15:$G$114)+COUNTBLANK('SUB-12'!$H$15:$H$114)+COUNTBLANK('SUB-12'!$I$15:$I$114)+COUNTBLANK('SUB-12'!$K$15:$K$114)</f>
        <v>0</v>
      </c>
      <c r="E16" s="5">
        <f>SUMPRODUCT(('SUB-12'!$F$15:$F$114&lt;&gt;"")*(('SUB-12'!$F$15:$F$114&lt;0)+('SUB-12'!$F$15:$F$114&gt;20)))+SUMPRODUCT(('SUB-12'!$G$15:$G$114&lt;&gt;"")*(('SUB-12'!$G$15:$G$114&lt;0)+('SUB-12'!$G$15:$G$114&gt;20)))+SUMPRODUCT(('SUB-12'!$H$15:$H$114&lt;&gt;"")*(('SUB-12'!$H$15:$H$114&lt;0)+('SUB-12'!$H$15:$H$114&gt;10)))+SUMPRODUCT(('SUB-12'!$I$15:$I$114&lt;&gt;"")*(('SUB-12'!$I$15:$I$114&lt;0)+('SUB-12'!$I$15:$I$114&gt;20)))+SUMPRODUCT(('SUB-12'!$K$15:$K$114&lt;&gt;"")*(('SUB-12'!$K$15:$K$114&lt;0)+('SUB-12'!$K$15:$K$114&gt;30)))</f>
        <v>0</v>
      </c>
      <c r="F16" s="5">
        <f>SUMPRODUCT(--ISNA(MATCH('SUB-12'!$E$15:$E$114,'STUDENT INFO'!$C$15:$C$114,0)))</f>
        <v>0</v>
      </c>
      <c r="G16" s="6" t="str">
        <f t="shared" si="0"/>
        <v>CLEAN</v>
      </c>
    </row>
    <row r="18" ht="15" customHeight="1" spans="1:3">
      <c r="A18" s="7" t="s">
        <v>719</v>
      </c>
      <c r="C18" s="8">
        <f>SUM(C5:F16)</f>
        <v>0</v>
      </c>
    </row>
  </sheetData>
  <conditionalFormatting sqref="B5:B16">
    <cfRule type="expression" dxfId="2" priority="4">
      <formula>AND(B5&gt;0,2&lt;&gt;2)</formula>
    </cfRule>
  </conditionalFormatting>
  <conditionalFormatting sqref="C5:C16">
    <cfRule type="expression" dxfId="2" priority="5">
      <formula>AND(C5&gt;0,3&lt;&gt;2)</formula>
    </cfRule>
  </conditionalFormatting>
  <conditionalFormatting sqref="D5:D16">
    <cfRule type="expression" dxfId="2" priority="6">
      <formula>AND(D5&gt;0,4&lt;&gt;2)</formula>
    </cfRule>
  </conditionalFormatting>
  <conditionalFormatting sqref="E5:E16">
    <cfRule type="expression" dxfId="2" priority="7">
      <formula>AND(E5&gt;0,5&lt;&gt;2)</formula>
    </cfRule>
  </conditionalFormatting>
  <conditionalFormatting sqref="G5:G16">
    <cfRule type="expression" dxfId="3" priority="2">
      <formula>G5="CLEAN"</formula>
    </cfRule>
    <cfRule type="expression" dxfId="2" priority="3">
      <formula>G5="REVIEW NEEDED"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DASHBOARD</vt:lpstr>
      <vt:lpstr>MARHSHEET</vt:lpstr>
      <vt:lpstr>FINAL SHEET</vt:lpstr>
      <vt:lpstr>STUDENT INFO</vt:lpstr>
      <vt:lpstr>SCHEME</vt:lpstr>
      <vt:lpstr>SUB-1</vt:lpstr>
      <vt:lpstr>SUB- 2</vt:lpstr>
      <vt:lpstr>SUB-3</vt:lpstr>
      <vt:lpstr>SUB-4</vt:lpstr>
      <vt:lpstr>SUB-5</vt:lpstr>
      <vt:lpstr>SUB-6</vt:lpstr>
      <vt:lpstr>SUB-7</vt:lpstr>
      <vt:lpstr>SUB-8</vt:lpstr>
      <vt:lpstr>SUB-9</vt:lpstr>
      <vt:lpstr>SUB-10</vt:lpstr>
      <vt:lpstr>SUB- NEC</vt:lpstr>
      <vt:lpstr>SUB-12</vt:lpstr>
      <vt:lpstr>DATA 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Singh</dc:creator>
  <cp:lastModifiedBy>Rishita Chouksey</cp:lastModifiedBy>
  <cp:revision>3</cp:revision>
  <dcterms:created xsi:type="dcterms:W3CDTF">2024-12-22T10:04:00Z</dcterms:created>
  <dcterms:modified xsi:type="dcterms:W3CDTF">2026-07-12T20:18:08Z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387207EC7AB54AF79360B277C1F11D13_12</vt:lpwstr>
  </property>
  <property fmtid="{D5CDD505-2E9C-101B-9397-08002B2CF9AE}" pid="4" name="KSOProductBuildVer">
    <vt:lpwstr>1033-12.1.0.26880</vt:lpwstr>
  </property>
</Properties>
</file>