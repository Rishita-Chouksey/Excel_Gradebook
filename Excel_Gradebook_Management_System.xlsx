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1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showInkAnnotation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EC690B20C7C5FC9/Desktop/"/>
    </mc:Choice>
  </mc:AlternateContent>
  <xr:revisionPtr revIDLastSave="71" documentId="8_{6571A0D7-ACE7-4845-BD50-054972C525BB}" xr6:coauthVersionLast="47" xr6:coauthVersionMax="47" xr10:uidLastSave="{8782625D-1F5B-4059-B024-FDBE83660107}"/>
  <bookViews>
    <workbookView xWindow="-110" yWindow="-110" windowWidth="19420" windowHeight="11500" firstSheet="6" activeTab="5" xr2:uid="{0823DF58-706F-45CE-AFC9-D93861C3FA22}"/>
  </bookViews>
  <sheets>
    <sheet name="MARHSHEET" sheetId="22" r:id="rId1"/>
    <sheet name="FINAL SHEET" sheetId="17" r:id="rId2"/>
    <sheet name="STUDENT INFO" sheetId="20" r:id="rId3"/>
    <sheet name="SCHEME" sheetId="3" r:id="rId4"/>
    <sheet name="SUB-1" sheetId="4" r:id="rId5"/>
    <sheet name="SUB- 2" sheetId="1" r:id="rId6"/>
    <sheet name="SUB-3" sheetId="5" r:id="rId7"/>
    <sheet name="SUB-4" sheetId="6" r:id="rId8"/>
    <sheet name="SUB-5" sheetId="7" r:id="rId9"/>
    <sheet name="SUB-6" sheetId="8" r:id="rId10"/>
    <sheet name="SUB-7" sheetId="9" r:id="rId11"/>
    <sheet name="SUB-8" sheetId="10" r:id="rId12"/>
    <sheet name="SUB-9" sheetId="11" r:id="rId13"/>
    <sheet name="SUB-10" sheetId="12" r:id="rId14"/>
    <sheet name="SUB- NEC" sheetId="14" r:id="rId15"/>
    <sheet name="SUB-12" sheetId="13" r:id="rId16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8" i="4" l="1"/>
  <c r="J101" i="4"/>
  <c r="K35" i="1"/>
  <c r="H32" i="22"/>
  <c r="H12" i="22"/>
  <c r="F15" i="17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5" i="1"/>
  <c r="I20" i="22"/>
  <c r="H11" i="22"/>
  <c r="H10" i="22"/>
  <c r="C13" i="22"/>
  <c r="C12" i="22"/>
  <c r="C11" i="22"/>
  <c r="C10" i="22"/>
  <c r="F21" i="22"/>
  <c r="F22" i="22"/>
  <c r="F23" i="22"/>
  <c r="F24" i="22"/>
  <c r="F25" i="22"/>
  <c r="F26" i="22"/>
  <c r="F27" i="22"/>
  <c r="F28" i="22"/>
  <c r="F29" i="22"/>
  <c r="F30" i="22"/>
  <c r="F20" i="22"/>
  <c r="D34" i="22"/>
  <c r="D21" i="22"/>
  <c r="D22" i="22"/>
  <c r="D23" i="22"/>
  <c r="D24" i="22"/>
  <c r="D25" i="22"/>
  <c r="D26" i="22"/>
  <c r="D27" i="22"/>
  <c r="D28" i="22"/>
  <c r="D29" i="22"/>
  <c r="D30" i="22"/>
  <c r="D20" i="22"/>
  <c r="B34" i="22"/>
  <c r="B30" i="22"/>
  <c r="B29" i="22"/>
  <c r="B28" i="22"/>
  <c r="B27" i="22"/>
  <c r="B26" i="22"/>
  <c r="B25" i="22"/>
  <c r="B24" i="22"/>
  <c r="B23" i="22"/>
  <c r="B22" i="22"/>
  <c r="B21" i="22"/>
  <c r="B20" i="22"/>
  <c r="M16" i="14"/>
  <c r="M15" i="14"/>
  <c r="J114" i="4"/>
  <c r="L114" i="4" s="1"/>
  <c r="J113" i="4"/>
  <c r="L113" i="4" s="1"/>
  <c r="N113" i="4" s="1"/>
  <c r="J112" i="4"/>
  <c r="L112" i="4" s="1"/>
  <c r="L111" i="4"/>
  <c r="J111" i="4"/>
  <c r="J110" i="4"/>
  <c r="L110" i="4" s="1"/>
  <c r="F110" i="17" s="1"/>
  <c r="J109" i="4"/>
  <c r="L109" i="4" s="1"/>
  <c r="L108" i="4"/>
  <c r="F108" i="17" s="1"/>
  <c r="J108" i="4"/>
  <c r="J107" i="4"/>
  <c r="L107" i="4" s="1"/>
  <c r="L106" i="4"/>
  <c r="J106" i="4"/>
  <c r="J105" i="4"/>
  <c r="L105" i="4" s="1"/>
  <c r="J104" i="4"/>
  <c r="L104" i="4" s="1"/>
  <c r="J103" i="4"/>
  <c r="L103" i="4" s="1"/>
  <c r="J102" i="4"/>
  <c r="L102" i="4" s="1"/>
  <c r="N102" i="4" s="1"/>
  <c r="L101" i="4"/>
  <c r="M101" i="4" s="1"/>
  <c r="J100" i="4"/>
  <c r="L100" i="4" s="1"/>
  <c r="J99" i="4"/>
  <c r="L99" i="4" s="1"/>
  <c r="J98" i="4"/>
  <c r="L98" i="4" s="1"/>
  <c r="J97" i="4"/>
  <c r="L97" i="4" s="1"/>
  <c r="M97" i="4" s="1"/>
  <c r="J96" i="4"/>
  <c r="L96" i="4" s="1"/>
  <c r="J95" i="4"/>
  <c r="L95" i="4" s="1"/>
  <c r="J94" i="4"/>
  <c r="L94" i="4" s="1"/>
  <c r="J93" i="4"/>
  <c r="L93" i="4" s="1"/>
  <c r="N92" i="4"/>
  <c r="M92" i="4"/>
  <c r="J92" i="4"/>
  <c r="L92" i="4" s="1"/>
  <c r="J91" i="4"/>
  <c r="L91" i="4" s="1"/>
  <c r="J90" i="4"/>
  <c r="L90" i="4" s="1"/>
  <c r="J89" i="4"/>
  <c r="L89" i="4" s="1"/>
  <c r="J88" i="4"/>
  <c r="L88" i="4" s="1"/>
  <c r="J87" i="4"/>
  <c r="L87" i="4" s="1"/>
  <c r="J86" i="4"/>
  <c r="L86" i="4" s="1"/>
  <c r="F86" i="17" s="1"/>
  <c r="J85" i="4"/>
  <c r="L85" i="4" s="1"/>
  <c r="J84" i="4"/>
  <c r="L84" i="4" s="1"/>
  <c r="N83" i="4"/>
  <c r="J83" i="4"/>
  <c r="L83" i="4" s="1"/>
  <c r="M83" i="4" s="1"/>
  <c r="J82" i="4"/>
  <c r="L82" i="4" s="1"/>
  <c r="N81" i="4"/>
  <c r="M81" i="4"/>
  <c r="L81" i="4"/>
  <c r="J81" i="4"/>
  <c r="J80" i="4"/>
  <c r="L80" i="4" s="1"/>
  <c r="J79" i="4"/>
  <c r="L79" i="4" s="1"/>
  <c r="J78" i="4"/>
  <c r="L78" i="4" s="1"/>
  <c r="J77" i="4"/>
  <c r="L77" i="4" s="1"/>
  <c r="L76" i="4"/>
  <c r="F76" i="17" s="1"/>
  <c r="J76" i="4"/>
  <c r="L75" i="4"/>
  <c r="N75" i="4" s="1"/>
  <c r="J75" i="4"/>
  <c r="J74" i="4"/>
  <c r="L74" i="4" s="1"/>
  <c r="F74" i="17" s="1"/>
  <c r="J73" i="4"/>
  <c r="L73" i="4" s="1"/>
  <c r="J72" i="4"/>
  <c r="L72" i="4" s="1"/>
  <c r="J71" i="4"/>
  <c r="L71" i="4" s="1"/>
  <c r="J70" i="4"/>
  <c r="L70" i="4" s="1"/>
  <c r="M70" i="4" s="1"/>
  <c r="J69" i="4"/>
  <c r="L69" i="4" s="1"/>
  <c r="J68" i="4"/>
  <c r="L68" i="4" s="1"/>
  <c r="J67" i="4"/>
  <c r="L67" i="4" s="1"/>
  <c r="L66" i="4"/>
  <c r="N66" i="4" s="1"/>
  <c r="J66" i="4"/>
  <c r="N65" i="4"/>
  <c r="M65" i="4"/>
  <c r="J65" i="4"/>
  <c r="L65" i="4" s="1"/>
  <c r="J64" i="4"/>
  <c r="L64" i="4" s="1"/>
  <c r="J63" i="4"/>
  <c r="L63" i="4" s="1"/>
  <c r="J62" i="4"/>
  <c r="L62" i="4" s="1"/>
  <c r="L61" i="4"/>
  <c r="N61" i="4" s="1"/>
  <c r="J61" i="4"/>
  <c r="J60" i="4"/>
  <c r="L60" i="4" s="1"/>
  <c r="J59" i="4"/>
  <c r="L59" i="4" s="1"/>
  <c r="N59" i="4" s="1"/>
  <c r="J58" i="4"/>
  <c r="L58" i="4" s="1"/>
  <c r="J57" i="4"/>
  <c r="L57" i="4" s="1"/>
  <c r="J56" i="4"/>
  <c r="L56" i="4" s="1"/>
  <c r="F56" i="17" s="1"/>
  <c r="J55" i="4"/>
  <c r="L55" i="4" s="1"/>
  <c r="L54" i="4"/>
  <c r="F54" i="17" s="1"/>
  <c r="J54" i="4"/>
  <c r="J53" i="4"/>
  <c r="L53" i="4" s="1"/>
  <c r="J52" i="4"/>
  <c r="L52" i="4" s="1"/>
  <c r="J51" i="4"/>
  <c r="L51" i="4" s="1"/>
  <c r="J50" i="4"/>
  <c r="L50" i="4" s="1"/>
  <c r="J49" i="4"/>
  <c r="L49" i="4" s="1"/>
  <c r="L48" i="4"/>
  <c r="N48" i="4" s="1"/>
  <c r="J48" i="4"/>
  <c r="J47" i="4"/>
  <c r="L47" i="4" s="1"/>
  <c r="M47" i="4" s="1"/>
  <c r="J46" i="4"/>
  <c r="L46" i="4" s="1"/>
  <c r="J45" i="4"/>
  <c r="L45" i="4" s="1"/>
  <c r="J44" i="4"/>
  <c r="L44" i="4" s="1"/>
  <c r="J43" i="4"/>
  <c r="L43" i="4" s="1"/>
  <c r="M43" i="4" s="1"/>
  <c r="J42" i="4"/>
  <c r="L42" i="4" s="1"/>
  <c r="J41" i="4"/>
  <c r="L41" i="4" s="1"/>
  <c r="J40" i="4"/>
  <c r="L40" i="4" s="1"/>
  <c r="J39" i="4"/>
  <c r="L39" i="4" s="1"/>
  <c r="N38" i="4"/>
  <c r="M38" i="4"/>
  <c r="J38" i="4"/>
  <c r="L38" i="4" s="1"/>
  <c r="J37" i="4"/>
  <c r="L37" i="4" s="1"/>
  <c r="J36" i="4"/>
  <c r="L36" i="4" s="1"/>
  <c r="J35" i="4"/>
  <c r="L35" i="4" s="1"/>
  <c r="J34" i="4"/>
  <c r="L34" i="4" s="1"/>
  <c r="J33" i="4"/>
  <c r="L33" i="4" s="1"/>
  <c r="J32" i="4"/>
  <c r="L32" i="4" s="1"/>
  <c r="F32" i="17" s="1"/>
  <c r="J31" i="4"/>
  <c r="L31" i="4" s="1"/>
  <c r="J30" i="4"/>
  <c r="L30" i="4" s="1"/>
  <c r="J29" i="4"/>
  <c r="L29" i="4" s="1"/>
  <c r="N29" i="4" s="1"/>
  <c r="J28" i="4"/>
  <c r="L28" i="4" s="1"/>
  <c r="N27" i="4"/>
  <c r="L27" i="4"/>
  <c r="F27" i="17" s="1"/>
  <c r="J27" i="4"/>
  <c r="J26" i="4"/>
  <c r="L26" i="4" s="1"/>
  <c r="J25" i="4"/>
  <c r="L25" i="4" s="1"/>
  <c r="J24" i="4"/>
  <c r="L24" i="4" s="1"/>
  <c r="J23" i="4"/>
  <c r="L23" i="4" s="1"/>
  <c r="J22" i="4"/>
  <c r="L22" i="4" s="1"/>
  <c r="L21" i="4"/>
  <c r="F21" i="17" s="1"/>
  <c r="J21" i="4"/>
  <c r="J20" i="4"/>
  <c r="L20" i="4" s="1"/>
  <c r="M20" i="4" s="1"/>
  <c r="J19" i="4"/>
  <c r="L19" i="4" s="1"/>
  <c r="J18" i="4"/>
  <c r="L18" i="4" s="1"/>
  <c r="J17" i="4"/>
  <c r="L17" i="4" s="1"/>
  <c r="J16" i="4"/>
  <c r="L16" i="4" s="1"/>
  <c r="M16" i="4" s="1"/>
  <c r="J15" i="4"/>
  <c r="L15" i="4" s="1"/>
  <c r="N29" i="3"/>
  <c r="L29" i="3"/>
  <c r="K29" i="3"/>
  <c r="J29" i="3"/>
  <c r="I29" i="3"/>
  <c r="H29" i="3"/>
  <c r="G29" i="3"/>
  <c r="M28" i="3"/>
  <c r="M27" i="3"/>
  <c r="M26" i="3"/>
  <c r="M25" i="3"/>
  <c r="M24" i="3"/>
  <c r="M23" i="3"/>
  <c r="M22" i="3"/>
  <c r="M21" i="3"/>
  <c r="M20" i="3"/>
  <c r="M19" i="3"/>
  <c r="M29" i="3" s="1"/>
  <c r="M18" i="3"/>
  <c r="H37" i="10"/>
  <c r="M36" i="17" s="1"/>
  <c r="H38" i="10"/>
  <c r="I38" i="10" s="1"/>
  <c r="H39" i="10"/>
  <c r="M38" i="17" s="1"/>
  <c r="H41" i="10"/>
  <c r="M40" i="17" s="1"/>
  <c r="H42" i="10"/>
  <c r="M41" i="17" s="1"/>
  <c r="H50" i="10"/>
  <c r="J50" i="10" s="1"/>
  <c r="H51" i="10"/>
  <c r="J51" i="10" s="1"/>
  <c r="H52" i="10"/>
  <c r="M51" i="17" s="1"/>
  <c r="H53" i="10"/>
  <c r="I53" i="10" s="1"/>
  <c r="H57" i="10"/>
  <c r="M56" i="17" s="1"/>
  <c r="H58" i="10"/>
  <c r="M57" i="17" s="1"/>
  <c r="H59" i="10"/>
  <c r="M58" i="17" s="1"/>
  <c r="H60" i="10"/>
  <c r="M59" i="17" s="1"/>
  <c r="H64" i="10"/>
  <c r="M63" i="17" s="1"/>
  <c r="H65" i="10"/>
  <c r="J65" i="10" s="1"/>
  <c r="H69" i="10"/>
  <c r="M68" i="17" s="1"/>
  <c r="H71" i="10"/>
  <c r="M70" i="17" s="1"/>
  <c r="H75" i="10"/>
  <c r="J75" i="10" s="1"/>
  <c r="H77" i="10"/>
  <c r="M76" i="17" s="1"/>
  <c r="H78" i="10"/>
  <c r="J78" i="10" s="1"/>
  <c r="H84" i="10"/>
  <c r="J84" i="10" s="1"/>
  <c r="H85" i="10"/>
  <c r="M84" i="17" s="1"/>
  <c r="H87" i="10"/>
  <c r="M86" i="17" s="1"/>
  <c r="H88" i="10"/>
  <c r="M87" i="17" s="1"/>
  <c r="H89" i="10"/>
  <c r="M88" i="17" s="1"/>
  <c r="H91" i="10"/>
  <c r="M90" i="17" s="1"/>
  <c r="H92" i="10"/>
  <c r="I92" i="10" s="1"/>
  <c r="H93" i="10"/>
  <c r="J93" i="10" s="1"/>
  <c r="H95" i="10"/>
  <c r="M94" i="17" s="1"/>
  <c r="H96" i="10"/>
  <c r="M95" i="17" s="1"/>
  <c r="H104" i="10"/>
  <c r="I104" i="10" s="1"/>
  <c r="H105" i="10"/>
  <c r="J105" i="10" s="1"/>
  <c r="H106" i="10"/>
  <c r="M105" i="17" s="1"/>
  <c r="H107" i="10"/>
  <c r="M106" i="17" s="1"/>
  <c r="H111" i="10"/>
  <c r="J111" i="10" s="1"/>
  <c r="H112" i="10"/>
  <c r="M111" i="17" s="1"/>
  <c r="H113" i="10"/>
  <c r="M112" i="17" s="1"/>
  <c r="H114" i="10"/>
  <c r="M113" i="17" s="1"/>
  <c r="H44" i="10"/>
  <c r="M43" i="17" s="1"/>
  <c r="H45" i="10"/>
  <c r="J45" i="10" s="1"/>
  <c r="H54" i="10"/>
  <c r="M53" i="17" s="1"/>
  <c r="H62" i="10"/>
  <c r="M61" i="17" s="1"/>
  <c r="H63" i="10"/>
  <c r="M62" i="17" s="1"/>
  <c r="H68" i="10"/>
  <c r="M67" i="17" s="1"/>
  <c r="H72" i="10"/>
  <c r="M71" i="17" s="1"/>
  <c r="H80" i="10"/>
  <c r="M79" i="17" s="1"/>
  <c r="H81" i="10"/>
  <c r="J81" i="10" s="1"/>
  <c r="H86" i="10"/>
  <c r="J86" i="10" s="1"/>
  <c r="H90" i="10"/>
  <c r="M89" i="17" s="1"/>
  <c r="H98" i="10"/>
  <c r="M97" i="17" s="1"/>
  <c r="H99" i="10"/>
  <c r="J99" i="10" s="1"/>
  <c r="H108" i="10"/>
  <c r="J108" i="10" s="1"/>
  <c r="D16" i="17"/>
  <c r="E16" i="17"/>
  <c r="P16" i="17"/>
  <c r="D17" i="17"/>
  <c r="E17" i="17"/>
  <c r="P17" i="17"/>
  <c r="D18" i="17"/>
  <c r="E18" i="17"/>
  <c r="P18" i="17"/>
  <c r="D19" i="17"/>
  <c r="E19" i="17"/>
  <c r="P19" i="17"/>
  <c r="D20" i="17"/>
  <c r="E20" i="17"/>
  <c r="P20" i="17"/>
  <c r="D21" i="17"/>
  <c r="E21" i="17"/>
  <c r="P21" i="17"/>
  <c r="D22" i="17"/>
  <c r="E22" i="17"/>
  <c r="P22" i="17"/>
  <c r="D23" i="17"/>
  <c r="E23" i="17"/>
  <c r="P23" i="17"/>
  <c r="D24" i="17"/>
  <c r="E24" i="17"/>
  <c r="P24" i="17"/>
  <c r="D25" i="17"/>
  <c r="E25" i="17"/>
  <c r="P25" i="17"/>
  <c r="D26" i="17"/>
  <c r="E26" i="17"/>
  <c r="P26" i="17"/>
  <c r="D27" i="17"/>
  <c r="E27" i="17"/>
  <c r="P27" i="17"/>
  <c r="D28" i="17"/>
  <c r="E28" i="17"/>
  <c r="P28" i="17"/>
  <c r="D29" i="17"/>
  <c r="E29" i="17"/>
  <c r="P29" i="17"/>
  <c r="D30" i="17"/>
  <c r="E30" i="17"/>
  <c r="P30" i="17"/>
  <c r="D31" i="17"/>
  <c r="E31" i="17"/>
  <c r="P31" i="17"/>
  <c r="D32" i="17"/>
  <c r="E32" i="17"/>
  <c r="P32" i="17"/>
  <c r="D33" i="17"/>
  <c r="E33" i="17"/>
  <c r="P33" i="17"/>
  <c r="D34" i="17"/>
  <c r="E34" i="17"/>
  <c r="P34" i="17"/>
  <c r="D35" i="17"/>
  <c r="E35" i="17"/>
  <c r="P35" i="17"/>
  <c r="D36" i="17"/>
  <c r="E36" i="17"/>
  <c r="P36" i="17"/>
  <c r="D37" i="17"/>
  <c r="E37" i="17"/>
  <c r="P37" i="17"/>
  <c r="D38" i="17"/>
  <c r="E38" i="17"/>
  <c r="P38" i="17"/>
  <c r="D39" i="17"/>
  <c r="E39" i="17"/>
  <c r="P39" i="17"/>
  <c r="D40" i="17"/>
  <c r="E40" i="17"/>
  <c r="P40" i="17"/>
  <c r="D41" i="17"/>
  <c r="E41" i="17"/>
  <c r="P41" i="17"/>
  <c r="D42" i="17"/>
  <c r="E42" i="17"/>
  <c r="P42" i="17"/>
  <c r="D43" i="17"/>
  <c r="E43" i="17"/>
  <c r="P43" i="17"/>
  <c r="D44" i="17"/>
  <c r="E44" i="17"/>
  <c r="P44" i="17"/>
  <c r="D45" i="17"/>
  <c r="E45" i="17"/>
  <c r="P45" i="17"/>
  <c r="D46" i="17"/>
  <c r="E46" i="17"/>
  <c r="P46" i="17"/>
  <c r="D47" i="17"/>
  <c r="E47" i="17"/>
  <c r="P47" i="17"/>
  <c r="D48" i="17"/>
  <c r="E48" i="17"/>
  <c r="P48" i="17"/>
  <c r="D49" i="17"/>
  <c r="E49" i="17"/>
  <c r="P49" i="17"/>
  <c r="D50" i="17"/>
  <c r="E50" i="17"/>
  <c r="P50" i="17"/>
  <c r="D51" i="17"/>
  <c r="E51" i="17"/>
  <c r="P51" i="17"/>
  <c r="D52" i="17"/>
  <c r="E52" i="17"/>
  <c r="P52" i="17"/>
  <c r="D53" i="17"/>
  <c r="E53" i="17"/>
  <c r="P53" i="17"/>
  <c r="D54" i="17"/>
  <c r="E54" i="17"/>
  <c r="P54" i="17"/>
  <c r="D55" i="17"/>
  <c r="E55" i="17"/>
  <c r="P55" i="17"/>
  <c r="D56" i="17"/>
  <c r="E56" i="17"/>
  <c r="P56" i="17"/>
  <c r="D57" i="17"/>
  <c r="E57" i="17"/>
  <c r="P57" i="17"/>
  <c r="D58" i="17"/>
  <c r="E58" i="17"/>
  <c r="P58" i="17"/>
  <c r="D59" i="17"/>
  <c r="E59" i="17"/>
  <c r="P59" i="17"/>
  <c r="D60" i="17"/>
  <c r="E60" i="17"/>
  <c r="P60" i="17"/>
  <c r="D61" i="17"/>
  <c r="E61" i="17"/>
  <c r="P61" i="17"/>
  <c r="D62" i="17"/>
  <c r="E62" i="17"/>
  <c r="P62" i="17"/>
  <c r="D63" i="17"/>
  <c r="E63" i="17"/>
  <c r="P63" i="17"/>
  <c r="D64" i="17"/>
  <c r="E64" i="17"/>
  <c r="P64" i="17"/>
  <c r="D65" i="17"/>
  <c r="E65" i="17"/>
  <c r="P65" i="17"/>
  <c r="D66" i="17"/>
  <c r="E66" i="17"/>
  <c r="P66" i="17"/>
  <c r="D67" i="17"/>
  <c r="E67" i="17"/>
  <c r="P67" i="17"/>
  <c r="D68" i="17"/>
  <c r="E68" i="17"/>
  <c r="P68" i="17"/>
  <c r="D69" i="17"/>
  <c r="E69" i="17"/>
  <c r="P69" i="17"/>
  <c r="D70" i="17"/>
  <c r="E70" i="17"/>
  <c r="P70" i="17"/>
  <c r="D71" i="17"/>
  <c r="E71" i="17"/>
  <c r="P71" i="17"/>
  <c r="D72" i="17"/>
  <c r="E72" i="17"/>
  <c r="P72" i="17"/>
  <c r="D73" i="17"/>
  <c r="E73" i="17"/>
  <c r="P73" i="17"/>
  <c r="D74" i="17"/>
  <c r="E74" i="17"/>
  <c r="P74" i="17"/>
  <c r="D75" i="17"/>
  <c r="E75" i="17"/>
  <c r="P75" i="17"/>
  <c r="D76" i="17"/>
  <c r="E76" i="17"/>
  <c r="P76" i="17"/>
  <c r="D77" i="17"/>
  <c r="E77" i="17"/>
  <c r="P77" i="17"/>
  <c r="D78" i="17"/>
  <c r="E78" i="17"/>
  <c r="P78" i="17"/>
  <c r="D79" i="17"/>
  <c r="E79" i="17"/>
  <c r="P79" i="17"/>
  <c r="D80" i="17"/>
  <c r="E80" i="17"/>
  <c r="P80" i="17"/>
  <c r="D81" i="17"/>
  <c r="E81" i="17"/>
  <c r="P81" i="17"/>
  <c r="D82" i="17"/>
  <c r="E82" i="17"/>
  <c r="P82" i="17"/>
  <c r="D83" i="17"/>
  <c r="E83" i="17"/>
  <c r="P83" i="17"/>
  <c r="D84" i="17"/>
  <c r="E84" i="17"/>
  <c r="P84" i="17"/>
  <c r="D85" i="17"/>
  <c r="E85" i="17"/>
  <c r="P85" i="17"/>
  <c r="D86" i="17"/>
  <c r="E86" i="17"/>
  <c r="P86" i="17"/>
  <c r="D87" i="17"/>
  <c r="E87" i="17"/>
  <c r="P87" i="17"/>
  <c r="D88" i="17"/>
  <c r="E88" i="17"/>
  <c r="P88" i="17"/>
  <c r="D89" i="17"/>
  <c r="E89" i="17"/>
  <c r="P89" i="17"/>
  <c r="D90" i="17"/>
  <c r="E90" i="17"/>
  <c r="P90" i="17"/>
  <c r="D91" i="17"/>
  <c r="E91" i="17"/>
  <c r="P91" i="17"/>
  <c r="D92" i="17"/>
  <c r="E92" i="17"/>
  <c r="P92" i="17"/>
  <c r="D93" i="17"/>
  <c r="E93" i="17"/>
  <c r="P93" i="17"/>
  <c r="D94" i="17"/>
  <c r="E94" i="17"/>
  <c r="P94" i="17"/>
  <c r="D95" i="17"/>
  <c r="E95" i="17"/>
  <c r="P95" i="17"/>
  <c r="D96" i="17"/>
  <c r="E96" i="17"/>
  <c r="P96" i="17"/>
  <c r="D97" i="17"/>
  <c r="E97" i="17"/>
  <c r="P97" i="17"/>
  <c r="D98" i="17"/>
  <c r="E98" i="17"/>
  <c r="P98" i="17"/>
  <c r="D99" i="17"/>
  <c r="E99" i="17"/>
  <c r="P99" i="17"/>
  <c r="D100" i="17"/>
  <c r="E100" i="17"/>
  <c r="P100" i="17"/>
  <c r="D101" i="17"/>
  <c r="E101" i="17"/>
  <c r="P101" i="17"/>
  <c r="D102" i="17"/>
  <c r="E102" i="17"/>
  <c r="P102" i="17"/>
  <c r="D103" i="17"/>
  <c r="E103" i="17"/>
  <c r="P103" i="17"/>
  <c r="D104" i="17"/>
  <c r="E104" i="17"/>
  <c r="P104" i="17"/>
  <c r="D105" i="17"/>
  <c r="E105" i="17"/>
  <c r="P105" i="17"/>
  <c r="D106" i="17"/>
  <c r="E106" i="17"/>
  <c r="P106" i="17"/>
  <c r="D107" i="17"/>
  <c r="E107" i="17"/>
  <c r="P107" i="17"/>
  <c r="D108" i="17"/>
  <c r="E108" i="17"/>
  <c r="P108" i="17"/>
  <c r="D109" i="17"/>
  <c r="E109" i="17"/>
  <c r="P109" i="17"/>
  <c r="D110" i="17"/>
  <c r="E110" i="17"/>
  <c r="P110" i="17"/>
  <c r="D111" i="17"/>
  <c r="E111" i="17"/>
  <c r="P111" i="17"/>
  <c r="D112" i="17"/>
  <c r="E112" i="17"/>
  <c r="P112" i="17"/>
  <c r="D113" i="17"/>
  <c r="E113" i="17"/>
  <c r="P113" i="17"/>
  <c r="D114" i="17"/>
  <c r="E114" i="17"/>
  <c r="P114" i="17"/>
  <c r="P15" i="17"/>
  <c r="Q13" i="17"/>
  <c r="E15" i="17"/>
  <c r="D15" i="17"/>
  <c r="J38" i="13"/>
  <c r="J43" i="13"/>
  <c r="J46" i="13"/>
  <c r="J47" i="13"/>
  <c r="J48" i="13"/>
  <c r="L48" i="13" s="1"/>
  <c r="J50" i="13"/>
  <c r="J51" i="13"/>
  <c r="J52" i="13"/>
  <c r="J55" i="13"/>
  <c r="J56" i="13"/>
  <c r="J60" i="13"/>
  <c r="J61" i="13"/>
  <c r="L61" i="13" s="1"/>
  <c r="J66" i="13"/>
  <c r="J67" i="13"/>
  <c r="J68" i="13"/>
  <c r="J70" i="13"/>
  <c r="J74" i="13"/>
  <c r="J79" i="13"/>
  <c r="J80" i="13"/>
  <c r="J81" i="13"/>
  <c r="J83" i="13"/>
  <c r="J84" i="13"/>
  <c r="J85" i="13"/>
  <c r="J86" i="13"/>
  <c r="J88" i="13"/>
  <c r="J96" i="13"/>
  <c r="L96" i="13" s="1"/>
  <c r="J98" i="13"/>
  <c r="L98" i="13" s="1"/>
  <c r="J99" i="13"/>
  <c r="J102" i="13"/>
  <c r="L102" i="13" s="1"/>
  <c r="J103" i="13"/>
  <c r="J104" i="13"/>
  <c r="J105" i="13"/>
  <c r="L105" i="13" s="1"/>
  <c r="J106" i="13"/>
  <c r="J53" i="13"/>
  <c r="J57" i="13"/>
  <c r="L57" i="13" s="1"/>
  <c r="J58" i="13"/>
  <c r="L58" i="13" s="1"/>
  <c r="J62" i="13"/>
  <c r="J63" i="13"/>
  <c r="J64" i="13"/>
  <c r="J65" i="13"/>
  <c r="J69" i="13"/>
  <c r="J89" i="13"/>
  <c r="J93" i="13"/>
  <c r="J94" i="13"/>
  <c r="J111" i="13"/>
  <c r="J112" i="13"/>
  <c r="D36" i="13"/>
  <c r="E36" i="13"/>
  <c r="J36" i="13"/>
  <c r="D37" i="13"/>
  <c r="E37" i="13"/>
  <c r="J37" i="13"/>
  <c r="D38" i="13"/>
  <c r="E38" i="13"/>
  <c r="D39" i="13"/>
  <c r="E39" i="13"/>
  <c r="J39" i="13"/>
  <c r="D40" i="13"/>
  <c r="E40" i="13"/>
  <c r="J40" i="13"/>
  <c r="D41" i="13"/>
  <c r="E41" i="13"/>
  <c r="J41" i="13"/>
  <c r="D42" i="13"/>
  <c r="E42" i="13"/>
  <c r="J42" i="13"/>
  <c r="D43" i="13"/>
  <c r="E43" i="13"/>
  <c r="D44" i="13"/>
  <c r="E44" i="13"/>
  <c r="J44" i="13"/>
  <c r="D45" i="13"/>
  <c r="E45" i="13"/>
  <c r="J45" i="13"/>
  <c r="D46" i="13"/>
  <c r="E46" i="13"/>
  <c r="D47" i="13"/>
  <c r="E47" i="13"/>
  <c r="D48" i="13"/>
  <c r="E48" i="13"/>
  <c r="D49" i="13"/>
  <c r="E49" i="13"/>
  <c r="J49" i="13"/>
  <c r="D50" i="13"/>
  <c r="E50" i="13"/>
  <c r="D51" i="13"/>
  <c r="E51" i="13"/>
  <c r="D52" i="13"/>
  <c r="E52" i="13"/>
  <c r="D53" i="13"/>
  <c r="E53" i="13"/>
  <c r="D54" i="13"/>
  <c r="E54" i="13"/>
  <c r="J54" i="13"/>
  <c r="D55" i="13"/>
  <c r="E55" i="13"/>
  <c r="D56" i="13"/>
  <c r="E56" i="13"/>
  <c r="D57" i="13"/>
  <c r="E57" i="13"/>
  <c r="D58" i="13"/>
  <c r="E58" i="13"/>
  <c r="D59" i="13"/>
  <c r="E59" i="13"/>
  <c r="J59" i="13"/>
  <c r="D60" i="13"/>
  <c r="E60" i="13"/>
  <c r="D61" i="13"/>
  <c r="E61" i="13"/>
  <c r="D62" i="13"/>
  <c r="E62" i="13"/>
  <c r="D63" i="13"/>
  <c r="E63" i="13"/>
  <c r="D64" i="13"/>
  <c r="E64" i="13"/>
  <c r="D65" i="13"/>
  <c r="E65" i="13"/>
  <c r="D66" i="13"/>
  <c r="E66" i="13"/>
  <c r="D67" i="13"/>
  <c r="E67" i="13"/>
  <c r="D68" i="13"/>
  <c r="E68" i="13"/>
  <c r="D69" i="13"/>
  <c r="E69" i="13"/>
  <c r="D70" i="13"/>
  <c r="E70" i="13"/>
  <c r="D71" i="13"/>
  <c r="E71" i="13"/>
  <c r="J71" i="13"/>
  <c r="D72" i="13"/>
  <c r="E72" i="13"/>
  <c r="J72" i="13"/>
  <c r="D73" i="13"/>
  <c r="E73" i="13"/>
  <c r="J73" i="13"/>
  <c r="D74" i="13"/>
  <c r="E74" i="13"/>
  <c r="D75" i="13"/>
  <c r="E75" i="13"/>
  <c r="J75" i="13"/>
  <c r="D76" i="13"/>
  <c r="E76" i="13"/>
  <c r="J76" i="13"/>
  <c r="D77" i="13"/>
  <c r="E77" i="13"/>
  <c r="J77" i="13"/>
  <c r="D78" i="13"/>
  <c r="E78" i="13"/>
  <c r="J78" i="13"/>
  <c r="D79" i="13"/>
  <c r="E79" i="13"/>
  <c r="D80" i="13"/>
  <c r="E80" i="13"/>
  <c r="D81" i="13"/>
  <c r="E81" i="13"/>
  <c r="D82" i="13"/>
  <c r="E82" i="13"/>
  <c r="J82" i="13"/>
  <c r="D83" i="13"/>
  <c r="E83" i="13"/>
  <c r="D84" i="13"/>
  <c r="E84" i="13"/>
  <c r="D85" i="13"/>
  <c r="E85" i="13"/>
  <c r="D86" i="13"/>
  <c r="E86" i="13"/>
  <c r="D87" i="13"/>
  <c r="E87" i="13"/>
  <c r="J87" i="13"/>
  <c r="D88" i="13"/>
  <c r="E88" i="13"/>
  <c r="D89" i="13"/>
  <c r="E89" i="13"/>
  <c r="D90" i="13"/>
  <c r="E90" i="13"/>
  <c r="J90" i="13"/>
  <c r="D91" i="13"/>
  <c r="E91" i="13"/>
  <c r="J91" i="13"/>
  <c r="D92" i="13"/>
  <c r="E92" i="13"/>
  <c r="J92" i="13"/>
  <c r="D93" i="13"/>
  <c r="E93" i="13"/>
  <c r="D94" i="13"/>
  <c r="E94" i="13"/>
  <c r="D95" i="13"/>
  <c r="E95" i="13"/>
  <c r="J95" i="13"/>
  <c r="D96" i="13"/>
  <c r="E96" i="13"/>
  <c r="D97" i="13"/>
  <c r="E97" i="13"/>
  <c r="J97" i="13"/>
  <c r="L97" i="13"/>
  <c r="D98" i="13"/>
  <c r="E98" i="13"/>
  <c r="D99" i="13"/>
  <c r="E99" i="13"/>
  <c r="D100" i="13"/>
  <c r="E100" i="13"/>
  <c r="J100" i="13"/>
  <c r="D101" i="13"/>
  <c r="E101" i="13"/>
  <c r="J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J107" i="13"/>
  <c r="D108" i="13"/>
  <c r="E108" i="13"/>
  <c r="J108" i="13"/>
  <c r="D109" i="13"/>
  <c r="E109" i="13"/>
  <c r="J109" i="13"/>
  <c r="D110" i="13"/>
  <c r="E110" i="13"/>
  <c r="J110" i="13"/>
  <c r="D111" i="13"/>
  <c r="E111" i="13"/>
  <c r="D112" i="13"/>
  <c r="E112" i="13"/>
  <c r="D113" i="13"/>
  <c r="E113" i="13"/>
  <c r="J113" i="13"/>
  <c r="D114" i="13"/>
  <c r="E114" i="13"/>
  <c r="J114" i="13"/>
  <c r="E35" i="13"/>
  <c r="D35" i="13"/>
  <c r="H37" i="14"/>
  <c r="H38" i="14"/>
  <c r="H39" i="14"/>
  <c r="H40" i="14"/>
  <c r="H41" i="14"/>
  <c r="H42" i="14"/>
  <c r="H44" i="14"/>
  <c r="H48" i="14"/>
  <c r="H51" i="14"/>
  <c r="H52" i="14"/>
  <c r="H53" i="14"/>
  <c r="H55" i="14"/>
  <c r="H56" i="14"/>
  <c r="H57" i="14"/>
  <c r="H58" i="14"/>
  <c r="H59" i="14"/>
  <c r="H60" i="14"/>
  <c r="H62" i="14"/>
  <c r="H66" i="14"/>
  <c r="H69" i="14"/>
  <c r="H70" i="14"/>
  <c r="H71" i="14"/>
  <c r="H74" i="14"/>
  <c r="H75" i="14"/>
  <c r="H76" i="14"/>
  <c r="H77" i="14"/>
  <c r="H78" i="14"/>
  <c r="H80" i="14"/>
  <c r="H84" i="14"/>
  <c r="H87" i="14"/>
  <c r="H88" i="14"/>
  <c r="H89" i="14"/>
  <c r="H92" i="14"/>
  <c r="H93" i="14"/>
  <c r="H94" i="14"/>
  <c r="H95" i="14"/>
  <c r="H96" i="14"/>
  <c r="H98" i="14"/>
  <c r="H102" i="14"/>
  <c r="H105" i="14"/>
  <c r="H106" i="14"/>
  <c r="H107" i="14"/>
  <c r="H110" i="14"/>
  <c r="H111" i="14"/>
  <c r="H112" i="14"/>
  <c r="H113" i="14"/>
  <c r="H114" i="14"/>
  <c r="D37" i="14"/>
  <c r="D38" i="14"/>
  <c r="D39" i="14"/>
  <c r="D40" i="14"/>
  <c r="D41" i="14"/>
  <c r="D42" i="14"/>
  <c r="D43" i="14"/>
  <c r="H43" i="14"/>
  <c r="I43" i="14"/>
  <c r="J43" i="14"/>
  <c r="D44" i="14"/>
  <c r="D45" i="14"/>
  <c r="H45" i="14"/>
  <c r="I45" i="14"/>
  <c r="J45" i="14"/>
  <c r="D46" i="14"/>
  <c r="H46" i="14"/>
  <c r="I46" i="14"/>
  <c r="J46" i="14"/>
  <c r="D47" i="14"/>
  <c r="H47" i="14"/>
  <c r="I47" i="14" s="1"/>
  <c r="D48" i="14"/>
  <c r="D49" i="14"/>
  <c r="H49" i="14"/>
  <c r="J49" i="14" s="1"/>
  <c r="I49" i="14"/>
  <c r="D50" i="14"/>
  <c r="H50" i="14"/>
  <c r="I50" i="14"/>
  <c r="J50" i="14"/>
  <c r="D51" i="14"/>
  <c r="D52" i="14"/>
  <c r="D53" i="14"/>
  <c r="D54" i="14"/>
  <c r="H54" i="14"/>
  <c r="J54" i="14" s="1"/>
  <c r="D55" i="14"/>
  <c r="D56" i="14"/>
  <c r="D57" i="14"/>
  <c r="D58" i="14"/>
  <c r="D59" i="14"/>
  <c r="D60" i="14"/>
  <c r="D61" i="14"/>
  <c r="H61" i="14"/>
  <c r="I61" i="14" s="1"/>
  <c r="D62" i="14"/>
  <c r="D63" i="14"/>
  <c r="H63" i="14"/>
  <c r="I63" i="14"/>
  <c r="J63" i="14"/>
  <c r="D64" i="14"/>
  <c r="H64" i="14"/>
  <c r="I64" i="14"/>
  <c r="J64" i="14"/>
  <c r="D65" i="14"/>
  <c r="H65" i="14"/>
  <c r="I65" i="14" s="1"/>
  <c r="D66" i="14"/>
  <c r="D67" i="14"/>
  <c r="H67" i="14"/>
  <c r="J67" i="14" s="1"/>
  <c r="I67" i="14"/>
  <c r="D68" i="14"/>
  <c r="H68" i="14"/>
  <c r="I68" i="14"/>
  <c r="J68" i="14"/>
  <c r="D69" i="14"/>
  <c r="D70" i="14"/>
  <c r="D71" i="14"/>
  <c r="D72" i="14"/>
  <c r="H72" i="14"/>
  <c r="J72" i="14" s="1"/>
  <c r="I72" i="14"/>
  <c r="D73" i="14"/>
  <c r="H73" i="14"/>
  <c r="J73" i="14" s="1"/>
  <c r="I73" i="14"/>
  <c r="D74" i="14"/>
  <c r="D75" i="14"/>
  <c r="D76" i="14"/>
  <c r="D77" i="14"/>
  <c r="D78" i="14"/>
  <c r="D79" i="14"/>
  <c r="H79" i="14"/>
  <c r="I79" i="14" s="1"/>
  <c r="J79" i="14"/>
  <c r="D80" i="14"/>
  <c r="D81" i="14"/>
  <c r="H81" i="14"/>
  <c r="I81" i="14"/>
  <c r="J81" i="14"/>
  <c r="D82" i="14"/>
  <c r="H82" i="14"/>
  <c r="I82" i="14"/>
  <c r="J82" i="14"/>
  <c r="D83" i="14"/>
  <c r="H83" i="14"/>
  <c r="I83" i="14" s="1"/>
  <c r="D84" i="14"/>
  <c r="D85" i="14"/>
  <c r="H85" i="14"/>
  <c r="J85" i="14" s="1"/>
  <c r="D86" i="14"/>
  <c r="H86" i="14"/>
  <c r="J86" i="14" s="1"/>
  <c r="I86" i="14"/>
  <c r="D87" i="14"/>
  <c r="D88" i="14"/>
  <c r="D89" i="14"/>
  <c r="D90" i="14"/>
  <c r="H90" i="14"/>
  <c r="J90" i="14" s="1"/>
  <c r="I90" i="14"/>
  <c r="D91" i="14"/>
  <c r="H91" i="14"/>
  <c r="I91" i="14"/>
  <c r="J91" i="14"/>
  <c r="D92" i="14"/>
  <c r="D93" i="14"/>
  <c r="D94" i="14"/>
  <c r="D95" i="14"/>
  <c r="D96" i="14"/>
  <c r="D97" i="14"/>
  <c r="H97" i="14"/>
  <c r="I97" i="14"/>
  <c r="J97" i="14"/>
  <c r="D98" i="14"/>
  <c r="D99" i="14"/>
  <c r="H99" i="14"/>
  <c r="I99" i="14" s="1"/>
  <c r="D100" i="14"/>
  <c r="H100" i="14"/>
  <c r="I100" i="14"/>
  <c r="J100" i="14"/>
  <c r="D101" i="14"/>
  <c r="H101" i="14"/>
  <c r="I101" i="14" s="1"/>
  <c r="D102" i="14"/>
  <c r="D103" i="14"/>
  <c r="H103" i="14"/>
  <c r="J103" i="14" s="1"/>
  <c r="I103" i="14"/>
  <c r="D104" i="14"/>
  <c r="H104" i="14"/>
  <c r="I104" i="14"/>
  <c r="J104" i="14"/>
  <c r="D105" i="14"/>
  <c r="D106" i="14"/>
  <c r="D107" i="14"/>
  <c r="D108" i="14"/>
  <c r="H108" i="14"/>
  <c r="J108" i="14" s="1"/>
  <c r="I108" i="14"/>
  <c r="D109" i="14"/>
  <c r="H109" i="14"/>
  <c r="I109" i="14"/>
  <c r="J109" i="14"/>
  <c r="D110" i="14"/>
  <c r="D111" i="14"/>
  <c r="D112" i="14"/>
  <c r="D113" i="14"/>
  <c r="D114" i="14"/>
  <c r="D115" i="14"/>
  <c r="H115" i="14"/>
  <c r="I115" i="14" s="1"/>
  <c r="H36" i="14"/>
  <c r="D36" i="14"/>
  <c r="H42" i="12"/>
  <c r="O41" i="17" s="1"/>
  <c r="H43" i="12"/>
  <c r="O42" i="17" s="1"/>
  <c r="H44" i="12"/>
  <c r="H47" i="12"/>
  <c r="H48" i="12"/>
  <c r="O47" i="17" s="1"/>
  <c r="H51" i="12"/>
  <c r="H59" i="12"/>
  <c r="O58" i="17" s="1"/>
  <c r="H61" i="12"/>
  <c r="O60" i="17" s="1"/>
  <c r="H62" i="12"/>
  <c r="H64" i="12"/>
  <c r="H65" i="12"/>
  <c r="H66" i="12"/>
  <c r="O65" i="17" s="1"/>
  <c r="H70" i="12"/>
  <c r="O69" i="17" s="1"/>
  <c r="H71" i="12"/>
  <c r="O70" i="17" s="1"/>
  <c r="H77" i="12"/>
  <c r="H79" i="12"/>
  <c r="O78" i="17" s="1"/>
  <c r="H80" i="12"/>
  <c r="H86" i="12"/>
  <c r="O85" i="17" s="1"/>
  <c r="H87" i="12"/>
  <c r="O86" i="17" s="1"/>
  <c r="H93" i="12"/>
  <c r="O92" i="17" s="1"/>
  <c r="H94" i="12"/>
  <c r="O93" i="17" s="1"/>
  <c r="H95" i="12"/>
  <c r="O94" i="17" s="1"/>
  <c r="H98" i="12"/>
  <c r="H103" i="12"/>
  <c r="H104" i="12"/>
  <c r="O103" i="17" s="1"/>
  <c r="H105" i="12"/>
  <c r="O104" i="17" s="1"/>
  <c r="H107" i="12"/>
  <c r="O106" i="17" s="1"/>
  <c r="H108" i="12"/>
  <c r="O107" i="17" s="1"/>
  <c r="H115" i="12"/>
  <c r="O114" i="17" s="1"/>
  <c r="D115" i="12"/>
  <c r="E115" i="12"/>
  <c r="D37" i="12"/>
  <c r="E37" i="12"/>
  <c r="D38" i="12"/>
  <c r="E38" i="12"/>
  <c r="H38" i="12"/>
  <c r="O37" i="17" s="1"/>
  <c r="D39" i="12"/>
  <c r="E39" i="12"/>
  <c r="H39" i="12"/>
  <c r="O38" i="17" s="1"/>
  <c r="D40" i="12"/>
  <c r="E40" i="12"/>
  <c r="D41" i="12"/>
  <c r="E41" i="12"/>
  <c r="H41" i="12"/>
  <c r="O40" i="17" s="1"/>
  <c r="I41" i="12"/>
  <c r="J41" i="12"/>
  <c r="D42" i="12"/>
  <c r="E42" i="12"/>
  <c r="D43" i="12"/>
  <c r="E43" i="12"/>
  <c r="D44" i="12"/>
  <c r="E44" i="12"/>
  <c r="D45" i="12"/>
  <c r="E45" i="12"/>
  <c r="H45" i="12"/>
  <c r="D46" i="12"/>
  <c r="E46" i="12"/>
  <c r="H46" i="12"/>
  <c r="D47" i="12"/>
  <c r="E47" i="12"/>
  <c r="D48" i="12"/>
  <c r="E48" i="12"/>
  <c r="D49" i="12"/>
  <c r="E49" i="12"/>
  <c r="H49" i="12"/>
  <c r="I49" i="12"/>
  <c r="D50" i="12"/>
  <c r="E50" i="12"/>
  <c r="H50" i="12"/>
  <c r="I50" i="12"/>
  <c r="D51" i="12"/>
  <c r="E51" i="12"/>
  <c r="D52" i="12"/>
  <c r="E52" i="12"/>
  <c r="D53" i="12"/>
  <c r="E53" i="12"/>
  <c r="D54" i="12"/>
  <c r="E54" i="12"/>
  <c r="H54" i="12"/>
  <c r="D55" i="12"/>
  <c r="E55" i="12"/>
  <c r="D56" i="12"/>
  <c r="E56" i="12"/>
  <c r="H56" i="12"/>
  <c r="O55" i="17" s="1"/>
  <c r="I56" i="12"/>
  <c r="J56" i="12"/>
  <c r="D57" i="12"/>
  <c r="E57" i="12"/>
  <c r="D58" i="12"/>
  <c r="E58" i="12"/>
  <c r="D59" i="12"/>
  <c r="E59" i="12"/>
  <c r="D60" i="12"/>
  <c r="E60" i="12"/>
  <c r="D61" i="12"/>
  <c r="E61" i="12"/>
  <c r="D62" i="12"/>
  <c r="E62" i="12"/>
  <c r="D63" i="12"/>
  <c r="E63" i="12"/>
  <c r="H63" i="12"/>
  <c r="D64" i="12"/>
  <c r="E64" i="12"/>
  <c r="D65" i="12"/>
  <c r="E65" i="12"/>
  <c r="D66" i="12"/>
  <c r="E66" i="12"/>
  <c r="D67" i="12"/>
  <c r="E67" i="12"/>
  <c r="H67" i="12"/>
  <c r="O66" i="17" s="1"/>
  <c r="D68" i="12"/>
  <c r="E68" i="12"/>
  <c r="H68" i="12"/>
  <c r="O67" i="17" s="1"/>
  <c r="D69" i="12"/>
  <c r="E69" i="12"/>
  <c r="H69" i="12"/>
  <c r="D70" i="12"/>
  <c r="E70" i="12"/>
  <c r="D71" i="12"/>
  <c r="E71" i="12"/>
  <c r="D72" i="12"/>
  <c r="E72" i="12"/>
  <c r="H72" i="12"/>
  <c r="O71" i="17" s="1"/>
  <c r="I72" i="12"/>
  <c r="J72" i="12"/>
  <c r="D73" i="12"/>
  <c r="E73" i="12"/>
  <c r="D74" i="12"/>
  <c r="E74" i="12"/>
  <c r="H74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H81" i="12"/>
  <c r="D82" i="12"/>
  <c r="E82" i="12"/>
  <c r="H82" i="12"/>
  <c r="O81" i="17" s="1"/>
  <c r="I82" i="12"/>
  <c r="J82" i="12"/>
  <c r="D83" i="12"/>
  <c r="E83" i="12"/>
  <c r="H83" i="12"/>
  <c r="D84" i="12"/>
  <c r="E84" i="12"/>
  <c r="H84" i="12"/>
  <c r="O83" i="17" s="1"/>
  <c r="D85" i="12"/>
  <c r="E85" i="12"/>
  <c r="H85" i="12"/>
  <c r="I85" i="12"/>
  <c r="D86" i="12"/>
  <c r="E86" i="12"/>
  <c r="D87" i="12"/>
  <c r="E87" i="12"/>
  <c r="D88" i="12"/>
  <c r="E88" i="12"/>
  <c r="D89" i="12"/>
  <c r="E89" i="12"/>
  <c r="D90" i="12"/>
  <c r="E90" i="12"/>
  <c r="H90" i="12"/>
  <c r="O89" i="17" s="1"/>
  <c r="D91" i="12"/>
  <c r="E91" i="12"/>
  <c r="D92" i="12"/>
  <c r="E92" i="12"/>
  <c r="H92" i="12"/>
  <c r="D93" i="12"/>
  <c r="E93" i="12"/>
  <c r="D94" i="12"/>
  <c r="E94" i="12"/>
  <c r="D95" i="12"/>
  <c r="E95" i="12"/>
  <c r="D96" i="12"/>
  <c r="E96" i="12"/>
  <c r="D97" i="12"/>
  <c r="E97" i="12"/>
  <c r="H97" i="12"/>
  <c r="D98" i="12"/>
  <c r="E98" i="12"/>
  <c r="D99" i="12"/>
  <c r="E99" i="12"/>
  <c r="H99" i="12"/>
  <c r="D100" i="12"/>
  <c r="E100" i="12"/>
  <c r="H100" i="12"/>
  <c r="O99" i="17" s="1"/>
  <c r="D101" i="12"/>
  <c r="E101" i="12"/>
  <c r="H101" i="12"/>
  <c r="D102" i="12"/>
  <c r="E102" i="12"/>
  <c r="H102" i="12"/>
  <c r="D103" i="12"/>
  <c r="E103" i="12"/>
  <c r="D104" i="12"/>
  <c r="E104" i="12"/>
  <c r="D105" i="12"/>
  <c r="E105" i="12"/>
  <c r="D106" i="12"/>
  <c r="E106" i="12"/>
  <c r="D107" i="12"/>
  <c r="E107" i="12"/>
  <c r="D108" i="12"/>
  <c r="E108" i="12"/>
  <c r="D109" i="12"/>
  <c r="E109" i="12"/>
  <c r="D110" i="12"/>
  <c r="E110" i="12"/>
  <c r="H110" i="12"/>
  <c r="O109" i="17" s="1"/>
  <c r="D111" i="12"/>
  <c r="E111" i="12"/>
  <c r="D112" i="12"/>
  <c r="E112" i="12"/>
  <c r="D113" i="12"/>
  <c r="E113" i="12"/>
  <c r="H113" i="12"/>
  <c r="O112" i="17" s="1"/>
  <c r="D114" i="12"/>
  <c r="E114" i="12"/>
  <c r="E36" i="12"/>
  <c r="D36" i="12"/>
  <c r="H45" i="11"/>
  <c r="H49" i="11"/>
  <c r="N47" i="17" s="1"/>
  <c r="H52" i="11"/>
  <c r="N50" i="17" s="1"/>
  <c r="H54" i="11"/>
  <c r="N52" i="17" s="1"/>
  <c r="H60" i="11"/>
  <c r="N58" i="17" s="1"/>
  <c r="H61" i="11"/>
  <c r="H63" i="11"/>
  <c r="H67" i="11"/>
  <c r="N65" i="17" s="1"/>
  <c r="H79" i="11"/>
  <c r="H80" i="11"/>
  <c r="N78" i="17" s="1"/>
  <c r="H81" i="11"/>
  <c r="H85" i="11"/>
  <c r="N83" i="17" s="1"/>
  <c r="H90" i="11"/>
  <c r="N88" i="17" s="1"/>
  <c r="H96" i="11"/>
  <c r="N94" i="17" s="1"/>
  <c r="H97" i="11"/>
  <c r="H98" i="11"/>
  <c r="N96" i="17" s="1"/>
  <c r="H99" i="11"/>
  <c r="H101" i="11"/>
  <c r="H102" i="11"/>
  <c r="N100" i="17" s="1"/>
  <c r="H108" i="11"/>
  <c r="N106" i="17" s="1"/>
  <c r="H113" i="11"/>
  <c r="N111" i="17" s="1"/>
  <c r="H114" i="11"/>
  <c r="N112" i="17" s="1"/>
  <c r="H115" i="11"/>
  <c r="N113" i="17" s="1"/>
  <c r="D115" i="11"/>
  <c r="E115" i="11"/>
  <c r="D116" i="11"/>
  <c r="E116" i="11"/>
  <c r="D38" i="11"/>
  <c r="E38" i="11"/>
  <c r="D39" i="11"/>
  <c r="E39" i="11"/>
  <c r="H39" i="11"/>
  <c r="N37" i="17" s="1"/>
  <c r="D40" i="11"/>
  <c r="E40" i="11"/>
  <c r="D41" i="11"/>
  <c r="E41" i="11"/>
  <c r="D42" i="11"/>
  <c r="E42" i="11"/>
  <c r="H42" i="11"/>
  <c r="D43" i="11"/>
  <c r="E43" i="11"/>
  <c r="D44" i="11"/>
  <c r="E44" i="11"/>
  <c r="D45" i="11"/>
  <c r="E45" i="11"/>
  <c r="D46" i="11"/>
  <c r="E46" i="11"/>
  <c r="H46" i="11"/>
  <c r="N44" i="17" s="1"/>
  <c r="D47" i="11"/>
  <c r="E47" i="11"/>
  <c r="D48" i="11"/>
  <c r="E48" i="11"/>
  <c r="H48" i="11"/>
  <c r="D49" i="11"/>
  <c r="E49" i="11"/>
  <c r="D50" i="11"/>
  <c r="E50" i="11"/>
  <c r="D51" i="11"/>
  <c r="E51" i="11"/>
  <c r="D52" i="11"/>
  <c r="E52" i="11"/>
  <c r="D53" i="11"/>
  <c r="E53" i="11"/>
  <c r="D54" i="11"/>
  <c r="E54" i="11"/>
  <c r="D55" i="11"/>
  <c r="E55" i="11"/>
  <c r="H55" i="11"/>
  <c r="I55" i="11"/>
  <c r="D56" i="11"/>
  <c r="E56" i="11"/>
  <c r="D57" i="11"/>
  <c r="E57" i="11"/>
  <c r="H57" i="11"/>
  <c r="N55" i="17" s="1"/>
  <c r="I57" i="11"/>
  <c r="J57" i="11"/>
  <c r="D58" i="11"/>
  <c r="E58" i="11"/>
  <c r="D59" i="11"/>
  <c r="E59" i="11"/>
  <c r="H59" i="11"/>
  <c r="D60" i="11"/>
  <c r="E60" i="11"/>
  <c r="D61" i="11"/>
  <c r="E61" i="11"/>
  <c r="D62" i="11"/>
  <c r="E62" i="11"/>
  <c r="D63" i="11"/>
  <c r="E63" i="11"/>
  <c r="D64" i="11"/>
  <c r="E64" i="11"/>
  <c r="H64" i="11"/>
  <c r="N62" i="17" s="1"/>
  <c r="I64" i="11"/>
  <c r="J64" i="11"/>
  <c r="D65" i="11"/>
  <c r="E65" i="11"/>
  <c r="D66" i="11"/>
  <c r="E66" i="11"/>
  <c r="D67" i="11"/>
  <c r="E67" i="11"/>
  <c r="D68" i="11"/>
  <c r="E68" i="11"/>
  <c r="D69" i="11"/>
  <c r="E69" i="11"/>
  <c r="D70" i="11"/>
  <c r="E70" i="11"/>
  <c r="H70" i="11"/>
  <c r="N68" i="17" s="1"/>
  <c r="D71" i="11"/>
  <c r="E71" i="11"/>
  <c r="D72" i="11"/>
  <c r="E72" i="11"/>
  <c r="D73" i="11"/>
  <c r="E73" i="11"/>
  <c r="H73" i="11"/>
  <c r="J73" i="11"/>
  <c r="D74" i="11"/>
  <c r="E74" i="11"/>
  <c r="D75" i="11"/>
  <c r="E75" i="11"/>
  <c r="D76" i="11"/>
  <c r="E76" i="11"/>
  <c r="D77" i="11"/>
  <c r="E77" i="11"/>
  <c r="H77" i="11"/>
  <c r="D78" i="11"/>
  <c r="E78" i="11"/>
  <c r="D79" i="11"/>
  <c r="E79" i="11"/>
  <c r="D80" i="11"/>
  <c r="E80" i="11"/>
  <c r="D81" i="11"/>
  <c r="E81" i="11"/>
  <c r="D82" i="11"/>
  <c r="E82" i="11"/>
  <c r="H82" i="11"/>
  <c r="N80" i="17" s="1"/>
  <c r="I82" i="11"/>
  <c r="J82" i="11"/>
  <c r="D83" i="11"/>
  <c r="E83" i="11"/>
  <c r="H83" i="11"/>
  <c r="D84" i="11"/>
  <c r="E84" i="11"/>
  <c r="D85" i="11"/>
  <c r="E85" i="11"/>
  <c r="D86" i="11"/>
  <c r="E86" i="11"/>
  <c r="D87" i="11"/>
  <c r="E87" i="11"/>
  <c r="D88" i="11"/>
  <c r="E88" i="11"/>
  <c r="H88" i="11"/>
  <c r="D89" i="11"/>
  <c r="E89" i="11"/>
  <c r="D90" i="11"/>
  <c r="E90" i="11"/>
  <c r="D91" i="11"/>
  <c r="E91" i="11"/>
  <c r="H91" i="11"/>
  <c r="D92" i="11"/>
  <c r="E92" i="11"/>
  <c r="D93" i="11"/>
  <c r="E93" i="11"/>
  <c r="H93" i="11"/>
  <c r="N91" i="17" s="1"/>
  <c r="I93" i="11"/>
  <c r="J93" i="11"/>
  <c r="D94" i="11"/>
  <c r="E94" i="11"/>
  <c r="D95" i="11"/>
  <c r="E95" i="11"/>
  <c r="H95" i="11"/>
  <c r="N93" i="17" s="1"/>
  <c r="D96" i="11"/>
  <c r="E96" i="11"/>
  <c r="D97" i="11"/>
  <c r="E97" i="11"/>
  <c r="D98" i="11"/>
  <c r="E98" i="11"/>
  <c r="D99" i="11"/>
  <c r="E99" i="11"/>
  <c r="D100" i="11"/>
  <c r="E100" i="11"/>
  <c r="D101" i="11"/>
  <c r="E101" i="11"/>
  <c r="D102" i="11"/>
  <c r="E102" i="11"/>
  <c r="D103" i="11"/>
  <c r="E103" i="11"/>
  <c r="D104" i="11"/>
  <c r="E104" i="11"/>
  <c r="D105" i="11"/>
  <c r="E105" i="11"/>
  <c r="D106" i="11"/>
  <c r="E106" i="11"/>
  <c r="H106" i="11"/>
  <c r="I106" i="11"/>
  <c r="D107" i="11"/>
  <c r="E107" i="11"/>
  <c r="D108" i="11"/>
  <c r="E108" i="11"/>
  <c r="D109" i="11"/>
  <c r="E109" i="11"/>
  <c r="H109" i="11"/>
  <c r="D110" i="11"/>
  <c r="E110" i="11"/>
  <c r="D111" i="11"/>
  <c r="E111" i="11"/>
  <c r="H111" i="11"/>
  <c r="N109" i="17" s="1"/>
  <c r="I111" i="11"/>
  <c r="J111" i="11"/>
  <c r="D112" i="11"/>
  <c r="E112" i="11"/>
  <c r="D113" i="11"/>
  <c r="E113" i="11"/>
  <c r="D114" i="11"/>
  <c r="E114" i="11"/>
  <c r="E37" i="11"/>
  <c r="D37" i="11"/>
  <c r="D37" i="10"/>
  <c r="E37" i="10"/>
  <c r="D38" i="10"/>
  <c r="E38" i="10"/>
  <c r="D39" i="10"/>
  <c r="E39" i="10"/>
  <c r="D40" i="10"/>
  <c r="E40" i="10"/>
  <c r="H40" i="10"/>
  <c r="M39" i="17" s="1"/>
  <c r="D41" i="10"/>
  <c r="E41" i="10"/>
  <c r="D42" i="10"/>
  <c r="E42" i="10"/>
  <c r="D43" i="10"/>
  <c r="E43" i="10"/>
  <c r="H43" i="10"/>
  <c r="M42" i="17" s="1"/>
  <c r="D44" i="10"/>
  <c r="E44" i="10"/>
  <c r="D45" i="10"/>
  <c r="E45" i="10"/>
  <c r="D46" i="10"/>
  <c r="E46" i="10"/>
  <c r="H46" i="10"/>
  <c r="M45" i="17" s="1"/>
  <c r="D47" i="10"/>
  <c r="E47" i="10"/>
  <c r="H47" i="10"/>
  <c r="M46" i="17" s="1"/>
  <c r="D48" i="10"/>
  <c r="E48" i="10"/>
  <c r="H48" i="10"/>
  <c r="J48" i="10" s="1"/>
  <c r="D49" i="10"/>
  <c r="E49" i="10"/>
  <c r="H49" i="10"/>
  <c r="M48" i="17" s="1"/>
  <c r="D50" i="10"/>
  <c r="E50" i="10"/>
  <c r="D51" i="10"/>
  <c r="E51" i="10"/>
  <c r="D52" i="10"/>
  <c r="E52" i="10"/>
  <c r="D53" i="10"/>
  <c r="E53" i="10"/>
  <c r="D54" i="10"/>
  <c r="E54" i="10"/>
  <c r="D55" i="10"/>
  <c r="E55" i="10"/>
  <c r="H55" i="10"/>
  <c r="M54" i="17" s="1"/>
  <c r="D56" i="10"/>
  <c r="E56" i="10"/>
  <c r="H56" i="10"/>
  <c r="M55" i="17" s="1"/>
  <c r="D57" i="10"/>
  <c r="E57" i="10"/>
  <c r="D58" i="10"/>
  <c r="E58" i="10"/>
  <c r="D59" i="10"/>
  <c r="E59" i="10"/>
  <c r="D60" i="10"/>
  <c r="E60" i="10"/>
  <c r="D61" i="10"/>
  <c r="E61" i="10"/>
  <c r="H61" i="10"/>
  <c r="M60" i="17" s="1"/>
  <c r="D62" i="10"/>
  <c r="E62" i="10"/>
  <c r="D63" i="10"/>
  <c r="E63" i="10"/>
  <c r="D64" i="10"/>
  <c r="E64" i="10"/>
  <c r="D65" i="10"/>
  <c r="E65" i="10"/>
  <c r="D66" i="10"/>
  <c r="E66" i="10"/>
  <c r="H66" i="10"/>
  <c r="M65" i="17" s="1"/>
  <c r="D67" i="10"/>
  <c r="E67" i="10"/>
  <c r="H67" i="10"/>
  <c r="M66" i="17" s="1"/>
  <c r="D68" i="10"/>
  <c r="E68" i="10"/>
  <c r="D69" i="10"/>
  <c r="E69" i="10"/>
  <c r="D70" i="10"/>
  <c r="E70" i="10"/>
  <c r="H70" i="10"/>
  <c r="M69" i="17" s="1"/>
  <c r="D71" i="10"/>
  <c r="E71" i="10"/>
  <c r="D72" i="10"/>
  <c r="E72" i="10"/>
  <c r="D73" i="10"/>
  <c r="E73" i="10"/>
  <c r="H73" i="10"/>
  <c r="M72" i="17" s="1"/>
  <c r="D74" i="10"/>
  <c r="E74" i="10"/>
  <c r="H74" i="10"/>
  <c r="I74" i="10" s="1"/>
  <c r="D75" i="10"/>
  <c r="E75" i="10"/>
  <c r="D76" i="10"/>
  <c r="E76" i="10"/>
  <c r="H76" i="10"/>
  <c r="M75" i="17" s="1"/>
  <c r="D77" i="10"/>
  <c r="E77" i="10"/>
  <c r="D78" i="10"/>
  <c r="E78" i="10"/>
  <c r="D79" i="10"/>
  <c r="E79" i="10"/>
  <c r="H79" i="10"/>
  <c r="M78" i="17" s="1"/>
  <c r="D80" i="10"/>
  <c r="E80" i="10"/>
  <c r="D81" i="10"/>
  <c r="E81" i="10"/>
  <c r="D82" i="10"/>
  <c r="E82" i="10"/>
  <c r="H82" i="10"/>
  <c r="M81" i="17" s="1"/>
  <c r="D83" i="10"/>
  <c r="E83" i="10"/>
  <c r="H83" i="10"/>
  <c r="J83" i="10" s="1"/>
  <c r="D84" i="10"/>
  <c r="E84" i="10"/>
  <c r="D85" i="10"/>
  <c r="E85" i="10"/>
  <c r="D86" i="10"/>
  <c r="E86" i="10"/>
  <c r="D87" i="10"/>
  <c r="E87" i="10"/>
  <c r="D88" i="10"/>
  <c r="E88" i="10"/>
  <c r="D89" i="10"/>
  <c r="E89" i="10"/>
  <c r="D90" i="10"/>
  <c r="E90" i="10"/>
  <c r="D91" i="10"/>
  <c r="E91" i="10"/>
  <c r="D92" i="10"/>
  <c r="E92" i="10"/>
  <c r="D93" i="10"/>
  <c r="E93" i="10"/>
  <c r="D94" i="10"/>
  <c r="E94" i="10"/>
  <c r="H94" i="10"/>
  <c r="M93" i="17" s="1"/>
  <c r="D95" i="10"/>
  <c r="E95" i="10"/>
  <c r="D96" i="10"/>
  <c r="E96" i="10"/>
  <c r="D97" i="10"/>
  <c r="E97" i="10"/>
  <c r="H97" i="10"/>
  <c r="M96" i="17" s="1"/>
  <c r="D98" i="10"/>
  <c r="E98" i="10"/>
  <c r="D99" i="10"/>
  <c r="E99" i="10"/>
  <c r="D100" i="10"/>
  <c r="E100" i="10"/>
  <c r="H100" i="10"/>
  <c r="M99" i="17" s="1"/>
  <c r="D101" i="10"/>
  <c r="E101" i="10"/>
  <c r="H101" i="10"/>
  <c r="I101" i="10" s="1"/>
  <c r="D102" i="10"/>
  <c r="E102" i="10"/>
  <c r="H102" i="10"/>
  <c r="M101" i="17" s="1"/>
  <c r="D103" i="10"/>
  <c r="E103" i="10"/>
  <c r="H103" i="10"/>
  <c r="M102" i="17" s="1"/>
  <c r="D104" i="10"/>
  <c r="E104" i="10"/>
  <c r="D105" i="10"/>
  <c r="E105" i="10"/>
  <c r="D106" i="10"/>
  <c r="E106" i="10"/>
  <c r="D107" i="10"/>
  <c r="E107" i="10"/>
  <c r="D108" i="10"/>
  <c r="E108" i="10"/>
  <c r="D109" i="10"/>
  <c r="E109" i="10"/>
  <c r="H109" i="10"/>
  <c r="M108" i="17" s="1"/>
  <c r="D110" i="10"/>
  <c r="E110" i="10"/>
  <c r="H110" i="10"/>
  <c r="M109" i="17" s="1"/>
  <c r="D111" i="10"/>
  <c r="E111" i="10"/>
  <c r="D112" i="10"/>
  <c r="E112" i="10"/>
  <c r="D113" i="10"/>
  <c r="E113" i="10"/>
  <c r="D114" i="10"/>
  <c r="E114" i="10"/>
  <c r="D115" i="10"/>
  <c r="E115" i="10"/>
  <c r="H115" i="10"/>
  <c r="M114" i="17" s="1"/>
  <c r="H36" i="10"/>
  <c r="I36" i="10" s="1"/>
  <c r="E36" i="10"/>
  <c r="D36" i="10"/>
  <c r="H37" i="9"/>
  <c r="L36" i="17" s="1"/>
  <c r="H39" i="9"/>
  <c r="L38" i="17" s="1"/>
  <c r="H42" i="9"/>
  <c r="L41" i="17" s="1"/>
  <c r="H43" i="9"/>
  <c r="L42" i="17" s="1"/>
  <c r="H44" i="9"/>
  <c r="H48" i="9"/>
  <c r="L47" i="17" s="1"/>
  <c r="H52" i="9"/>
  <c r="L51" i="17" s="1"/>
  <c r="H53" i="9"/>
  <c r="L52" i="17" s="1"/>
  <c r="H57" i="9"/>
  <c r="L56" i="17" s="1"/>
  <c r="H59" i="9"/>
  <c r="L58" i="17" s="1"/>
  <c r="H60" i="9"/>
  <c r="L59" i="17" s="1"/>
  <c r="H62" i="9"/>
  <c r="H67" i="9"/>
  <c r="L66" i="17" s="1"/>
  <c r="H69" i="9"/>
  <c r="H70" i="9"/>
  <c r="L69" i="17" s="1"/>
  <c r="H71" i="9"/>
  <c r="L70" i="17" s="1"/>
  <c r="H74" i="9"/>
  <c r="L73" i="17" s="1"/>
  <c r="H76" i="9"/>
  <c r="L75" i="17" s="1"/>
  <c r="H77" i="9"/>
  <c r="L76" i="17" s="1"/>
  <c r="H78" i="9"/>
  <c r="L77" i="17" s="1"/>
  <c r="H79" i="9"/>
  <c r="L78" i="17" s="1"/>
  <c r="H80" i="9"/>
  <c r="H86" i="9"/>
  <c r="L85" i="17" s="1"/>
  <c r="H87" i="9"/>
  <c r="H88" i="9"/>
  <c r="L87" i="17" s="1"/>
  <c r="H89" i="9"/>
  <c r="L88" i="17" s="1"/>
  <c r="H91" i="9"/>
  <c r="L90" i="17" s="1"/>
  <c r="H93" i="9"/>
  <c r="L92" i="17" s="1"/>
  <c r="H96" i="9"/>
  <c r="L95" i="17" s="1"/>
  <c r="H97" i="9"/>
  <c r="L96" i="17" s="1"/>
  <c r="H98" i="9"/>
  <c r="H101" i="9"/>
  <c r="L100" i="17" s="1"/>
  <c r="H102" i="9"/>
  <c r="L101" i="17" s="1"/>
  <c r="H103" i="9"/>
  <c r="L102" i="17" s="1"/>
  <c r="H105" i="9"/>
  <c r="H106" i="9"/>
  <c r="L105" i="17" s="1"/>
  <c r="H107" i="9"/>
  <c r="L106" i="17" s="1"/>
  <c r="H110" i="9"/>
  <c r="L109" i="17" s="1"/>
  <c r="H111" i="9"/>
  <c r="L110" i="17" s="1"/>
  <c r="H112" i="9"/>
  <c r="L111" i="17" s="1"/>
  <c r="H115" i="9"/>
  <c r="L114" i="17" s="1"/>
  <c r="D37" i="9"/>
  <c r="E37" i="9"/>
  <c r="D38" i="9"/>
  <c r="E38" i="9"/>
  <c r="H38" i="9"/>
  <c r="I38" i="9"/>
  <c r="D39" i="9"/>
  <c r="E39" i="9"/>
  <c r="D40" i="9"/>
  <c r="E40" i="9"/>
  <c r="H40" i="9"/>
  <c r="L39" i="17" s="1"/>
  <c r="D41" i="9"/>
  <c r="E41" i="9"/>
  <c r="H41" i="9"/>
  <c r="L40" i="17" s="1"/>
  <c r="D42" i="9"/>
  <c r="E42" i="9"/>
  <c r="D43" i="9"/>
  <c r="E43" i="9"/>
  <c r="D44" i="9"/>
  <c r="E44" i="9"/>
  <c r="D45" i="9"/>
  <c r="E45" i="9"/>
  <c r="H45" i="9"/>
  <c r="D46" i="9"/>
  <c r="E46" i="9"/>
  <c r="H46" i="9"/>
  <c r="L45" i="17" s="1"/>
  <c r="D47" i="9"/>
  <c r="E47" i="9"/>
  <c r="H47" i="9"/>
  <c r="D48" i="9"/>
  <c r="E48" i="9"/>
  <c r="D49" i="9"/>
  <c r="E49" i="9"/>
  <c r="H49" i="9"/>
  <c r="D50" i="9"/>
  <c r="E50" i="9"/>
  <c r="H50" i="9"/>
  <c r="I50" i="9"/>
  <c r="D51" i="9"/>
  <c r="E51" i="9"/>
  <c r="H51" i="9"/>
  <c r="D52" i="9"/>
  <c r="E52" i="9"/>
  <c r="D53" i="9"/>
  <c r="E53" i="9"/>
  <c r="D54" i="9"/>
  <c r="E54" i="9"/>
  <c r="H54" i="9"/>
  <c r="D55" i="9"/>
  <c r="E55" i="9"/>
  <c r="H55" i="9"/>
  <c r="L54" i="17" s="1"/>
  <c r="I55" i="9"/>
  <c r="J55" i="9"/>
  <c r="D56" i="9"/>
  <c r="E56" i="9"/>
  <c r="H56" i="9"/>
  <c r="D57" i="9"/>
  <c r="E57" i="9"/>
  <c r="D58" i="9"/>
  <c r="E58" i="9"/>
  <c r="H58" i="9"/>
  <c r="L57" i="17" s="1"/>
  <c r="D59" i="9"/>
  <c r="E59" i="9"/>
  <c r="D60" i="9"/>
  <c r="E60" i="9"/>
  <c r="D61" i="9"/>
  <c r="E61" i="9"/>
  <c r="H61" i="9"/>
  <c r="I61" i="9"/>
  <c r="D62" i="9"/>
  <c r="E62" i="9"/>
  <c r="D63" i="9"/>
  <c r="E63" i="9"/>
  <c r="H63" i="9"/>
  <c r="D64" i="9"/>
  <c r="E64" i="9"/>
  <c r="H64" i="9"/>
  <c r="L63" i="17" s="1"/>
  <c r="D65" i="9"/>
  <c r="E65" i="9"/>
  <c r="H65" i="9"/>
  <c r="L64" i="17" s="1"/>
  <c r="I65" i="9"/>
  <c r="J65" i="9"/>
  <c r="D66" i="9"/>
  <c r="E66" i="9"/>
  <c r="H66" i="9"/>
  <c r="L65" i="17" s="1"/>
  <c r="D67" i="9"/>
  <c r="E67" i="9"/>
  <c r="D68" i="9"/>
  <c r="E68" i="9"/>
  <c r="H68" i="9"/>
  <c r="D69" i="9"/>
  <c r="E69" i="9"/>
  <c r="D70" i="9"/>
  <c r="E70" i="9"/>
  <c r="D71" i="9"/>
  <c r="E71" i="9"/>
  <c r="D72" i="9"/>
  <c r="E72" i="9"/>
  <c r="H72" i="9"/>
  <c r="L71" i="17" s="1"/>
  <c r="I72" i="9"/>
  <c r="J72" i="9"/>
  <c r="D73" i="9"/>
  <c r="E73" i="9"/>
  <c r="H73" i="9"/>
  <c r="D74" i="9"/>
  <c r="E74" i="9"/>
  <c r="D75" i="9"/>
  <c r="E75" i="9"/>
  <c r="H75" i="9"/>
  <c r="L74" i="17" s="1"/>
  <c r="D76" i="9"/>
  <c r="E76" i="9"/>
  <c r="D77" i="9"/>
  <c r="E77" i="9"/>
  <c r="D78" i="9"/>
  <c r="E78" i="9"/>
  <c r="D79" i="9"/>
  <c r="E79" i="9"/>
  <c r="D80" i="9"/>
  <c r="E80" i="9"/>
  <c r="D81" i="9"/>
  <c r="E81" i="9"/>
  <c r="H81" i="9"/>
  <c r="D82" i="9"/>
  <c r="E82" i="9"/>
  <c r="H82" i="9"/>
  <c r="L81" i="17" s="1"/>
  <c r="D83" i="9"/>
  <c r="E83" i="9"/>
  <c r="H83" i="9"/>
  <c r="D84" i="9"/>
  <c r="E84" i="9"/>
  <c r="H84" i="9"/>
  <c r="L83" i="17" s="1"/>
  <c r="D85" i="9"/>
  <c r="E85" i="9"/>
  <c r="H85" i="9"/>
  <c r="I85" i="9"/>
  <c r="D86" i="9"/>
  <c r="E86" i="9"/>
  <c r="D87" i="9"/>
  <c r="E87" i="9"/>
  <c r="D88" i="9"/>
  <c r="E88" i="9"/>
  <c r="D89" i="9"/>
  <c r="E89" i="9"/>
  <c r="D90" i="9"/>
  <c r="E90" i="9"/>
  <c r="H90" i="9"/>
  <c r="L89" i="17" s="1"/>
  <c r="I90" i="9"/>
  <c r="J90" i="9"/>
  <c r="D91" i="9"/>
  <c r="E91" i="9"/>
  <c r="D92" i="9"/>
  <c r="E92" i="9"/>
  <c r="H92" i="9"/>
  <c r="D93" i="9"/>
  <c r="E93" i="9"/>
  <c r="D94" i="9"/>
  <c r="E94" i="9"/>
  <c r="H94" i="9"/>
  <c r="L93" i="17" s="1"/>
  <c r="D95" i="9"/>
  <c r="E95" i="9"/>
  <c r="H95" i="9"/>
  <c r="L94" i="17" s="1"/>
  <c r="D96" i="9"/>
  <c r="E96" i="9"/>
  <c r="D97" i="9"/>
  <c r="E97" i="9"/>
  <c r="D98" i="9"/>
  <c r="E98" i="9"/>
  <c r="D99" i="9"/>
  <c r="E99" i="9"/>
  <c r="H99" i="9"/>
  <c r="D100" i="9"/>
  <c r="E100" i="9"/>
  <c r="H100" i="9"/>
  <c r="L99" i="17" s="1"/>
  <c r="D101" i="9"/>
  <c r="E101" i="9"/>
  <c r="D102" i="9"/>
  <c r="E102" i="9"/>
  <c r="D103" i="9"/>
  <c r="E103" i="9"/>
  <c r="D104" i="9"/>
  <c r="E104" i="9"/>
  <c r="H104" i="9"/>
  <c r="I104" i="9"/>
  <c r="D105" i="9"/>
  <c r="E105" i="9"/>
  <c r="D106" i="9"/>
  <c r="E106" i="9"/>
  <c r="D107" i="9"/>
  <c r="E107" i="9"/>
  <c r="D108" i="9"/>
  <c r="E108" i="9"/>
  <c r="H108" i="9"/>
  <c r="D109" i="9"/>
  <c r="E109" i="9"/>
  <c r="H109" i="9"/>
  <c r="L108" i="17" s="1"/>
  <c r="I109" i="9"/>
  <c r="J109" i="9"/>
  <c r="D110" i="9"/>
  <c r="E110" i="9"/>
  <c r="D111" i="9"/>
  <c r="E111" i="9"/>
  <c r="D112" i="9"/>
  <c r="E112" i="9"/>
  <c r="D113" i="9"/>
  <c r="E113" i="9"/>
  <c r="H113" i="9"/>
  <c r="L112" i="17" s="1"/>
  <c r="D114" i="9"/>
  <c r="E114" i="9"/>
  <c r="H114" i="9"/>
  <c r="D115" i="9"/>
  <c r="E115" i="9"/>
  <c r="H36" i="9"/>
  <c r="L35" i="17" s="1"/>
  <c r="E36" i="9"/>
  <c r="D36" i="9"/>
  <c r="H38" i="8"/>
  <c r="K37" i="17" s="1"/>
  <c r="H39" i="8"/>
  <c r="K38" i="17" s="1"/>
  <c r="H42" i="8"/>
  <c r="K41" i="17" s="1"/>
  <c r="H44" i="8"/>
  <c r="K43" i="17" s="1"/>
  <c r="H47" i="8"/>
  <c r="K46" i="17" s="1"/>
  <c r="H48" i="8"/>
  <c r="K47" i="17" s="1"/>
  <c r="H50" i="8"/>
  <c r="K49" i="17" s="1"/>
  <c r="H51" i="8"/>
  <c r="K50" i="17" s="1"/>
  <c r="H53" i="8"/>
  <c r="K52" i="17" s="1"/>
  <c r="H55" i="8"/>
  <c r="K54" i="17" s="1"/>
  <c r="H59" i="8"/>
  <c r="K58" i="17" s="1"/>
  <c r="H60" i="8"/>
  <c r="K59" i="17" s="1"/>
  <c r="H62" i="8"/>
  <c r="K61" i="17" s="1"/>
  <c r="H66" i="8"/>
  <c r="K65" i="17" s="1"/>
  <c r="H71" i="8"/>
  <c r="K70" i="17" s="1"/>
  <c r="H74" i="8"/>
  <c r="K73" i="17" s="1"/>
  <c r="H75" i="8"/>
  <c r="K74" i="17" s="1"/>
  <c r="H77" i="8"/>
  <c r="K76" i="17" s="1"/>
  <c r="H79" i="8"/>
  <c r="K78" i="17" s="1"/>
  <c r="H80" i="8"/>
  <c r="K79" i="17" s="1"/>
  <c r="H82" i="8"/>
  <c r="K81" i="17" s="1"/>
  <c r="H83" i="8"/>
  <c r="K82" i="17" s="1"/>
  <c r="H84" i="8"/>
  <c r="K83" i="17" s="1"/>
  <c r="H87" i="8"/>
  <c r="K86" i="17" s="1"/>
  <c r="H88" i="8"/>
  <c r="K87" i="17" s="1"/>
  <c r="H89" i="8"/>
  <c r="K88" i="17" s="1"/>
  <c r="H91" i="8"/>
  <c r="K90" i="17" s="1"/>
  <c r="H92" i="8"/>
  <c r="K91" i="17" s="1"/>
  <c r="H93" i="8"/>
  <c r="K92" i="17" s="1"/>
  <c r="H95" i="8"/>
  <c r="K94" i="17" s="1"/>
  <c r="H96" i="8"/>
  <c r="K95" i="17" s="1"/>
  <c r="H98" i="8"/>
  <c r="K97" i="17" s="1"/>
  <c r="H101" i="8"/>
  <c r="K100" i="17" s="1"/>
  <c r="H102" i="8"/>
  <c r="K101" i="17" s="1"/>
  <c r="H104" i="8"/>
  <c r="K103" i="17" s="1"/>
  <c r="H107" i="8"/>
  <c r="K106" i="17" s="1"/>
  <c r="H109" i="8"/>
  <c r="K108" i="17" s="1"/>
  <c r="H111" i="8"/>
  <c r="K110" i="17" s="1"/>
  <c r="H114" i="8"/>
  <c r="K113" i="17" s="1"/>
  <c r="H115" i="8"/>
  <c r="K114" i="17" s="1"/>
  <c r="H37" i="8"/>
  <c r="I37" i="8"/>
  <c r="H40" i="8"/>
  <c r="H41" i="8"/>
  <c r="H43" i="8"/>
  <c r="H45" i="8"/>
  <c r="H46" i="8"/>
  <c r="H49" i="8"/>
  <c r="K48" i="17" s="1"/>
  <c r="H52" i="8"/>
  <c r="H54" i="8"/>
  <c r="H56" i="8"/>
  <c r="K55" i="17" s="1"/>
  <c r="H57" i="8"/>
  <c r="H58" i="8"/>
  <c r="H61" i="8"/>
  <c r="H63" i="8"/>
  <c r="H64" i="8"/>
  <c r="K63" i="17" s="1"/>
  <c r="I64" i="8"/>
  <c r="J64" i="8"/>
  <c r="H65" i="8"/>
  <c r="H67" i="8"/>
  <c r="K66" i="17" s="1"/>
  <c r="H68" i="8"/>
  <c r="H69" i="8"/>
  <c r="K68" i="17" s="1"/>
  <c r="H70" i="8"/>
  <c r="I70" i="8"/>
  <c r="H72" i="8"/>
  <c r="I72" i="8"/>
  <c r="H73" i="8"/>
  <c r="H76" i="8"/>
  <c r="H78" i="8"/>
  <c r="H81" i="8"/>
  <c r="H85" i="8"/>
  <c r="K84" i="17" s="1"/>
  <c r="H86" i="8"/>
  <c r="I86" i="8"/>
  <c r="H90" i="8"/>
  <c r="H94" i="8"/>
  <c r="H97" i="8"/>
  <c r="H99" i="8"/>
  <c r="H100" i="8"/>
  <c r="I100" i="8"/>
  <c r="H103" i="8"/>
  <c r="K102" i="17" s="1"/>
  <c r="H105" i="8"/>
  <c r="K104" i="17" s="1"/>
  <c r="H106" i="8"/>
  <c r="H108" i="8"/>
  <c r="H110" i="8"/>
  <c r="K109" i="17" s="1"/>
  <c r="H112" i="8"/>
  <c r="H113" i="8"/>
  <c r="I113" i="8"/>
  <c r="D37" i="8"/>
  <c r="E37" i="8"/>
  <c r="D38" i="8"/>
  <c r="E38" i="8"/>
  <c r="D39" i="8"/>
  <c r="E39" i="8"/>
  <c r="D40" i="8"/>
  <c r="E40" i="8"/>
  <c r="D41" i="8"/>
  <c r="E41" i="8"/>
  <c r="D42" i="8"/>
  <c r="E42" i="8"/>
  <c r="D43" i="8"/>
  <c r="E43" i="8"/>
  <c r="D44" i="8"/>
  <c r="E44" i="8"/>
  <c r="D45" i="8"/>
  <c r="E45" i="8"/>
  <c r="D46" i="8"/>
  <c r="E46" i="8"/>
  <c r="D47" i="8"/>
  <c r="E47" i="8"/>
  <c r="D48" i="8"/>
  <c r="E48" i="8"/>
  <c r="D49" i="8"/>
  <c r="E49" i="8"/>
  <c r="D50" i="8"/>
  <c r="E50" i="8"/>
  <c r="D51" i="8"/>
  <c r="E51" i="8"/>
  <c r="D52" i="8"/>
  <c r="E52" i="8"/>
  <c r="D53" i="8"/>
  <c r="E53" i="8"/>
  <c r="D54" i="8"/>
  <c r="E54" i="8"/>
  <c r="D55" i="8"/>
  <c r="E55" i="8"/>
  <c r="D56" i="8"/>
  <c r="E56" i="8"/>
  <c r="D57" i="8"/>
  <c r="E57" i="8"/>
  <c r="D58" i="8"/>
  <c r="E58" i="8"/>
  <c r="D59" i="8"/>
  <c r="E59" i="8"/>
  <c r="D60" i="8"/>
  <c r="E60" i="8"/>
  <c r="D61" i="8"/>
  <c r="E61" i="8"/>
  <c r="D62" i="8"/>
  <c r="E62" i="8"/>
  <c r="D63" i="8"/>
  <c r="E63" i="8"/>
  <c r="D64" i="8"/>
  <c r="E64" i="8"/>
  <c r="D65" i="8"/>
  <c r="E65" i="8"/>
  <c r="D66" i="8"/>
  <c r="E66" i="8"/>
  <c r="D67" i="8"/>
  <c r="E67" i="8"/>
  <c r="D68" i="8"/>
  <c r="E68" i="8"/>
  <c r="D69" i="8"/>
  <c r="E69" i="8"/>
  <c r="D70" i="8"/>
  <c r="E70" i="8"/>
  <c r="D71" i="8"/>
  <c r="E71" i="8"/>
  <c r="D72" i="8"/>
  <c r="E72" i="8"/>
  <c r="D73" i="8"/>
  <c r="E73" i="8"/>
  <c r="D74" i="8"/>
  <c r="E74" i="8"/>
  <c r="D75" i="8"/>
  <c r="E75" i="8"/>
  <c r="D76" i="8"/>
  <c r="E76" i="8"/>
  <c r="D77" i="8"/>
  <c r="E77" i="8"/>
  <c r="D78" i="8"/>
  <c r="E78" i="8"/>
  <c r="D79" i="8"/>
  <c r="E79" i="8"/>
  <c r="D80" i="8"/>
  <c r="E80" i="8"/>
  <c r="D81" i="8"/>
  <c r="E81" i="8"/>
  <c r="D82" i="8"/>
  <c r="E82" i="8"/>
  <c r="D83" i="8"/>
  <c r="E83" i="8"/>
  <c r="D84" i="8"/>
  <c r="E84" i="8"/>
  <c r="D85" i="8"/>
  <c r="E85" i="8"/>
  <c r="D86" i="8"/>
  <c r="E86" i="8"/>
  <c r="D87" i="8"/>
  <c r="E87" i="8"/>
  <c r="D88" i="8"/>
  <c r="E88" i="8"/>
  <c r="D89" i="8"/>
  <c r="E89" i="8"/>
  <c r="D90" i="8"/>
  <c r="E90" i="8"/>
  <c r="D91" i="8"/>
  <c r="E91" i="8"/>
  <c r="D92" i="8"/>
  <c r="E92" i="8"/>
  <c r="D93" i="8"/>
  <c r="E93" i="8"/>
  <c r="D94" i="8"/>
  <c r="E94" i="8"/>
  <c r="D95" i="8"/>
  <c r="E95" i="8"/>
  <c r="D96" i="8"/>
  <c r="E96" i="8"/>
  <c r="D97" i="8"/>
  <c r="E97" i="8"/>
  <c r="D98" i="8"/>
  <c r="E98" i="8"/>
  <c r="D99" i="8"/>
  <c r="E99" i="8"/>
  <c r="D100" i="8"/>
  <c r="E100" i="8"/>
  <c r="D101" i="8"/>
  <c r="E101" i="8"/>
  <c r="D102" i="8"/>
  <c r="E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E36" i="8"/>
  <c r="D36" i="8"/>
  <c r="J35" i="7"/>
  <c r="J36" i="7"/>
  <c r="J38" i="7"/>
  <c r="J40" i="7"/>
  <c r="J42" i="7"/>
  <c r="J43" i="7"/>
  <c r="L43" i="7" s="1"/>
  <c r="J44" i="7"/>
  <c r="L44" i="7" s="1"/>
  <c r="J44" i="17" s="1"/>
  <c r="J45" i="7"/>
  <c r="J52" i="7"/>
  <c r="J54" i="7"/>
  <c r="L54" i="7" s="1"/>
  <c r="J54" i="17" s="1"/>
  <c r="J58" i="7"/>
  <c r="J62" i="7"/>
  <c r="J64" i="7"/>
  <c r="J66" i="7"/>
  <c r="J67" i="7"/>
  <c r="J70" i="7"/>
  <c r="J72" i="7"/>
  <c r="J74" i="7"/>
  <c r="L74" i="7" s="1"/>
  <c r="J74" i="17" s="1"/>
  <c r="J76" i="7"/>
  <c r="J79" i="7"/>
  <c r="J80" i="7"/>
  <c r="J81" i="7"/>
  <c r="J82" i="7"/>
  <c r="L82" i="7" s="1"/>
  <c r="J82" i="17" s="1"/>
  <c r="J88" i="7"/>
  <c r="J90" i="7"/>
  <c r="L90" i="7" s="1"/>
  <c r="J90" i="17" s="1"/>
  <c r="J94" i="7"/>
  <c r="J96" i="7"/>
  <c r="J98" i="7"/>
  <c r="J100" i="7"/>
  <c r="J106" i="7"/>
  <c r="J108" i="7"/>
  <c r="L108" i="7" s="1"/>
  <c r="J108" i="17" s="1"/>
  <c r="J110" i="7"/>
  <c r="J112" i="7"/>
  <c r="J41" i="7"/>
  <c r="J46" i="7"/>
  <c r="L46" i="7" s="1"/>
  <c r="J46" i="17" s="1"/>
  <c r="J48" i="7"/>
  <c r="L48" i="7" s="1"/>
  <c r="J48" i="17" s="1"/>
  <c r="J50" i="7"/>
  <c r="J56" i="7"/>
  <c r="J60" i="7"/>
  <c r="L60" i="7"/>
  <c r="J60" i="17" s="1"/>
  <c r="J68" i="7"/>
  <c r="J77" i="7"/>
  <c r="J78" i="7"/>
  <c r="J84" i="7"/>
  <c r="J86" i="7"/>
  <c r="J92" i="7"/>
  <c r="J102" i="7"/>
  <c r="J103" i="7"/>
  <c r="J104" i="7"/>
  <c r="J114" i="7"/>
  <c r="D101" i="7"/>
  <c r="E101" i="7"/>
  <c r="D102" i="7"/>
  <c r="E102" i="7"/>
  <c r="D103" i="7"/>
  <c r="E103" i="7"/>
  <c r="D104" i="7"/>
  <c r="E104" i="7"/>
  <c r="D105" i="7"/>
  <c r="E105" i="7"/>
  <c r="D106" i="7"/>
  <c r="E106" i="7"/>
  <c r="D107" i="7"/>
  <c r="E107" i="7"/>
  <c r="D108" i="7"/>
  <c r="E108" i="7"/>
  <c r="D109" i="7"/>
  <c r="E109" i="7"/>
  <c r="D110" i="7"/>
  <c r="E110" i="7"/>
  <c r="D111" i="7"/>
  <c r="E111" i="7"/>
  <c r="D112" i="7"/>
  <c r="E112" i="7"/>
  <c r="D113" i="7"/>
  <c r="E113" i="7"/>
  <c r="D114" i="7"/>
  <c r="E114" i="7"/>
  <c r="D36" i="7"/>
  <c r="E36" i="7"/>
  <c r="D37" i="7"/>
  <c r="E37" i="7"/>
  <c r="D38" i="7"/>
  <c r="E38" i="7"/>
  <c r="D39" i="7"/>
  <c r="E39" i="7"/>
  <c r="D40" i="7"/>
  <c r="E40" i="7"/>
  <c r="D41" i="7"/>
  <c r="E41" i="7"/>
  <c r="D42" i="7"/>
  <c r="E42" i="7"/>
  <c r="D43" i="7"/>
  <c r="E43" i="7"/>
  <c r="D44" i="7"/>
  <c r="E44" i="7"/>
  <c r="D45" i="7"/>
  <c r="E45" i="7"/>
  <c r="D46" i="7"/>
  <c r="E46" i="7"/>
  <c r="D47" i="7"/>
  <c r="E47" i="7"/>
  <c r="D48" i="7"/>
  <c r="E48" i="7"/>
  <c r="D49" i="7"/>
  <c r="E49" i="7"/>
  <c r="D50" i="7"/>
  <c r="E50" i="7"/>
  <c r="D51" i="7"/>
  <c r="E51" i="7"/>
  <c r="D52" i="7"/>
  <c r="E52" i="7"/>
  <c r="D53" i="7"/>
  <c r="E53" i="7"/>
  <c r="D54" i="7"/>
  <c r="E54" i="7"/>
  <c r="D55" i="7"/>
  <c r="E55" i="7"/>
  <c r="D56" i="7"/>
  <c r="E56" i="7"/>
  <c r="D57" i="7"/>
  <c r="E57" i="7"/>
  <c r="D58" i="7"/>
  <c r="E58" i="7"/>
  <c r="D59" i="7"/>
  <c r="E59" i="7"/>
  <c r="D60" i="7"/>
  <c r="E60" i="7"/>
  <c r="D61" i="7"/>
  <c r="E61" i="7"/>
  <c r="D62" i="7"/>
  <c r="E62" i="7"/>
  <c r="D63" i="7"/>
  <c r="E63" i="7"/>
  <c r="D64" i="7"/>
  <c r="E64" i="7"/>
  <c r="D65" i="7"/>
  <c r="E65" i="7"/>
  <c r="D66" i="7"/>
  <c r="E66" i="7"/>
  <c r="D67" i="7"/>
  <c r="E67" i="7"/>
  <c r="D68" i="7"/>
  <c r="E68" i="7"/>
  <c r="D69" i="7"/>
  <c r="E69" i="7"/>
  <c r="D70" i="7"/>
  <c r="E70" i="7"/>
  <c r="D71" i="7"/>
  <c r="E71" i="7"/>
  <c r="D72" i="7"/>
  <c r="E72" i="7"/>
  <c r="D73" i="7"/>
  <c r="E73" i="7"/>
  <c r="D74" i="7"/>
  <c r="E74" i="7"/>
  <c r="D75" i="7"/>
  <c r="E75" i="7"/>
  <c r="D76" i="7"/>
  <c r="E76" i="7"/>
  <c r="D77" i="7"/>
  <c r="E77" i="7"/>
  <c r="D78" i="7"/>
  <c r="E78" i="7"/>
  <c r="D79" i="7"/>
  <c r="E79" i="7"/>
  <c r="D80" i="7"/>
  <c r="E80" i="7"/>
  <c r="D81" i="7"/>
  <c r="E81" i="7"/>
  <c r="D82" i="7"/>
  <c r="E82" i="7"/>
  <c r="D83" i="7"/>
  <c r="E83" i="7"/>
  <c r="D84" i="7"/>
  <c r="E84" i="7"/>
  <c r="D85" i="7"/>
  <c r="E85" i="7"/>
  <c r="D86" i="7"/>
  <c r="E86" i="7"/>
  <c r="D87" i="7"/>
  <c r="E87" i="7"/>
  <c r="D88" i="7"/>
  <c r="E88" i="7"/>
  <c r="D89" i="7"/>
  <c r="E89" i="7"/>
  <c r="D90" i="7"/>
  <c r="E90" i="7"/>
  <c r="D91" i="7"/>
  <c r="E91" i="7"/>
  <c r="D92" i="7"/>
  <c r="E92" i="7"/>
  <c r="D93" i="7"/>
  <c r="E93" i="7"/>
  <c r="D94" i="7"/>
  <c r="E94" i="7"/>
  <c r="D95" i="7"/>
  <c r="E95" i="7"/>
  <c r="D96" i="7"/>
  <c r="E96" i="7"/>
  <c r="D97" i="7"/>
  <c r="E97" i="7"/>
  <c r="D98" i="7"/>
  <c r="E98" i="7"/>
  <c r="D99" i="7"/>
  <c r="E99" i="7"/>
  <c r="D100" i="7"/>
  <c r="E100" i="7"/>
  <c r="E35" i="7"/>
  <c r="D35" i="7"/>
  <c r="J35" i="6"/>
  <c r="L35" i="6" s="1"/>
  <c r="J36" i="6"/>
  <c r="L36" i="6" s="1"/>
  <c r="J37" i="6"/>
  <c r="L37" i="6" s="1"/>
  <c r="J38" i="6"/>
  <c r="L38" i="6" s="1"/>
  <c r="J39" i="6"/>
  <c r="L39" i="6" s="1"/>
  <c r="J40" i="6"/>
  <c r="L40" i="6" s="1"/>
  <c r="J41" i="6"/>
  <c r="L41" i="6" s="1"/>
  <c r="J42" i="6"/>
  <c r="L42" i="6" s="1"/>
  <c r="J43" i="6"/>
  <c r="L43" i="6" s="1"/>
  <c r="J44" i="6"/>
  <c r="L44" i="6" s="1"/>
  <c r="J45" i="6"/>
  <c r="L45" i="6" s="1"/>
  <c r="J46" i="6"/>
  <c r="L46" i="6" s="1"/>
  <c r="J47" i="6"/>
  <c r="L47" i="6" s="1"/>
  <c r="J48" i="6"/>
  <c r="L48" i="6" s="1"/>
  <c r="J49" i="6"/>
  <c r="L49" i="6" s="1"/>
  <c r="J50" i="6"/>
  <c r="L50" i="6" s="1"/>
  <c r="J51" i="6"/>
  <c r="L51" i="6" s="1"/>
  <c r="J52" i="6"/>
  <c r="L52" i="6" s="1"/>
  <c r="J53" i="6"/>
  <c r="L53" i="6" s="1"/>
  <c r="J54" i="6"/>
  <c r="L54" i="6" s="1"/>
  <c r="J55" i="6"/>
  <c r="L55" i="6" s="1"/>
  <c r="J56" i="6"/>
  <c r="L56" i="6" s="1"/>
  <c r="J57" i="6"/>
  <c r="L57" i="6" s="1"/>
  <c r="J58" i="6"/>
  <c r="L58" i="6" s="1"/>
  <c r="J59" i="6"/>
  <c r="L59" i="6" s="1"/>
  <c r="J60" i="6"/>
  <c r="L60" i="6" s="1"/>
  <c r="J61" i="6"/>
  <c r="L61" i="6" s="1"/>
  <c r="J62" i="6"/>
  <c r="L62" i="6" s="1"/>
  <c r="J63" i="6"/>
  <c r="L63" i="6" s="1"/>
  <c r="J64" i="6"/>
  <c r="L64" i="6" s="1"/>
  <c r="J65" i="6"/>
  <c r="L65" i="6" s="1"/>
  <c r="J66" i="6"/>
  <c r="L66" i="6" s="1"/>
  <c r="J67" i="6"/>
  <c r="L67" i="6" s="1"/>
  <c r="J68" i="6"/>
  <c r="L68" i="6" s="1"/>
  <c r="J69" i="6"/>
  <c r="L69" i="6" s="1"/>
  <c r="J70" i="6"/>
  <c r="L70" i="6" s="1"/>
  <c r="J71" i="6"/>
  <c r="L71" i="6" s="1"/>
  <c r="J72" i="6"/>
  <c r="L72" i="6" s="1"/>
  <c r="J73" i="6"/>
  <c r="L73" i="6" s="1"/>
  <c r="J74" i="6"/>
  <c r="L74" i="6" s="1"/>
  <c r="J75" i="6"/>
  <c r="L75" i="6" s="1"/>
  <c r="J76" i="6"/>
  <c r="L76" i="6" s="1"/>
  <c r="J77" i="6"/>
  <c r="L77" i="6" s="1"/>
  <c r="J78" i="6"/>
  <c r="L78" i="6" s="1"/>
  <c r="J79" i="6"/>
  <c r="L79" i="6" s="1"/>
  <c r="J80" i="6"/>
  <c r="L80" i="6" s="1"/>
  <c r="J81" i="6"/>
  <c r="L81" i="6" s="1"/>
  <c r="J82" i="6"/>
  <c r="L82" i="6" s="1"/>
  <c r="J83" i="6"/>
  <c r="L83" i="6" s="1"/>
  <c r="J84" i="6"/>
  <c r="L84" i="6" s="1"/>
  <c r="J85" i="6"/>
  <c r="L85" i="6" s="1"/>
  <c r="J86" i="6"/>
  <c r="L86" i="6" s="1"/>
  <c r="J87" i="6"/>
  <c r="L87" i="6" s="1"/>
  <c r="J88" i="6"/>
  <c r="L88" i="6" s="1"/>
  <c r="J89" i="6"/>
  <c r="L89" i="6" s="1"/>
  <c r="J90" i="6"/>
  <c r="L90" i="6" s="1"/>
  <c r="J91" i="6"/>
  <c r="L91" i="6" s="1"/>
  <c r="J92" i="6"/>
  <c r="L92" i="6" s="1"/>
  <c r="J93" i="6"/>
  <c r="L93" i="6" s="1"/>
  <c r="J94" i="6"/>
  <c r="L94" i="6" s="1"/>
  <c r="J95" i="6"/>
  <c r="L95" i="6" s="1"/>
  <c r="J96" i="6"/>
  <c r="L96" i="6" s="1"/>
  <c r="J97" i="6"/>
  <c r="L97" i="6" s="1"/>
  <c r="J98" i="6"/>
  <c r="L98" i="6" s="1"/>
  <c r="J99" i="6"/>
  <c r="L99" i="6" s="1"/>
  <c r="J100" i="6"/>
  <c r="L100" i="6" s="1"/>
  <c r="J101" i="6"/>
  <c r="L101" i="6" s="1"/>
  <c r="J102" i="6"/>
  <c r="L102" i="6" s="1"/>
  <c r="J103" i="6"/>
  <c r="L103" i="6" s="1"/>
  <c r="J104" i="6"/>
  <c r="L104" i="6" s="1"/>
  <c r="J105" i="6"/>
  <c r="L105" i="6" s="1"/>
  <c r="J106" i="6"/>
  <c r="L106" i="6" s="1"/>
  <c r="J107" i="6"/>
  <c r="L107" i="6" s="1"/>
  <c r="J108" i="6"/>
  <c r="L108" i="6" s="1"/>
  <c r="J109" i="6"/>
  <c r="L109" i="6" s="1"/>
  <c r="J110" i="6"/>
  <c r="L110" i="6" s="1"/>
  <c r="J111" i="6"/>
  <c r="L111" i="6" s="1"/>
  <c r="J112" i="6"/>
  <c r="L112" i="6" s="1"/>
  <c r="J113" i="6"/>
  <c r="L113" i="6" s="1"/>
  <c r="J114" i="6"/>
  <c r="L114" i="6" s="1"/>
  <c r="J34" i="6"/>
  <c r="E36" i="6"/>
  <c r="E37" i="14" s="1"/>
  <c r="E37" i="6"/>
  <c r="E38" i="14" s="1"/>
  <c r="E38" i="6"/>
  <c r="E39" i="14" s="1"/>
  <c r="E39" i="6"/>
  <c r="E40" i="14" s="1"/>
  <c r="E40" i="6"/>
  <c r="E41" i="14" s="1"/>
  <c r="E41" i="6"/>
  <c r="E42" i="14" s="1"/>
  <c r="E42" i="6"/>
  <c r="E43" i="14" s="1"/>
  <c r="E43" i="6"/>
  <c r="E44" i="14" s="1"/>
  <c r="E44" i="6"/>
  <c r="E45" i="14" s="1"/>
  <c r="E45" i="6"/>
  <c r="E46" i="14" s="1"/>
  <c r="E46" i="6"/>
  <c r="E47" i="14" s="1"/>
  <c r="E47" i="6"/>
  <c r="E48" i="14" s="1"/>
  <c r="E48" i="6"/>
  <c r="E49" i="14" s="1"/>
  <c r="E49" i="6"/>
  <c r="E50" i="14" s="1"/>
  <c r="E50" i="6"/>
  <c r="E51" i="14" s="1"/>
  <c r="E51" i="6"/>
  <c r="E52" i="14" s="1"/>
  <c r="E52" i="6"/>
  <c r="E53" i="14" s="1"/>
  <c r="E53" i="6"/>
  <c r="E54" i="14" s="1"/>
  <c r="E54" i="6"/>
  <c r="E55" i="14" s="1"/>
  <c r="E55" i="6"/>
  <c r="E56" i="14" s="1"/>
  <c r="E56" i="6"/>
  <c r="E57" i="14" s="1"/>
  <c r="E57" i="6"/>
  <c r="E58" i="14" s="1"/>
  <c r="E58" i="6"/>
  <c r="E59" i="14" s="1"/>
  <c r="E59" i="6"/>
  <c r="E60" i="14" s="1"/>
  <c r="E60" i="6"/>
  <c r="E61" i="14" s="1"/>
  <c r="E61" i="6"/>
  <c r="E62" i="14" s="1"/>
  <c r="E62" i="6"/>
  <c r="E63" i="14" s="1"/>
  <c r="E63" i="6"/>
  <c r="E64" i="14" s="1"/>
  <c r="E64" i="6"/>
  <c r="E65" i="14" s="1"/>
  <c r="E65" i="6"/>
  <c r="E66" i="14" s="1"/>
  <c r="E66" i="6"/>
  <c r="E67" i="14" s="1"/>
  <c r="E67" i="6"/>
  <c r="E68" i="14" s="1"/>
  <c r="E68" i="6"/>
  <c r="E69" i="14" s="1"/>
  <c r="E69" i="6"/>
  <c r="E70" i="14" s="1"/>
  <c r="E70" i="6"/>
  <c r="E71" i="14" s="1"/>
  <c r="E71" i="6"/>
  <c r="E72" i="14" s="1"/>
  <c r="E72" i="6"/>
  <c r="E73" i="14" s="1"/>
  <c r="E73" i="6"/>
  <c r="E74" i="14" s="1"/>
  <c r="E74" i="6"/>
  <c r="E75" i="14" s="1"/>
  <c r="E75" i="6"/>
  <c r="E76" i="14" s="1"/>
  <c r="E76" i="6"/>
  <c r="E77" i="14" s="1"/>
  <c r="E77" i="6"/>
  <c r="E78" i="14" s="1"/>
  <c r="E78" i="6"/>
  <c r="E79" i="14" s="1"/>
  <c r="E79" i="6"/>
  <c r="E80" i="14" s="1"/>
  <c r="E80" i="6"/>
  <c r="E81" i="14" s="1"/>
  <c r="E81" i="6"/>
  <c r="E82" i="14" s="1"/>
  <c r="E82" i="6"/>
  <c r="E83" i="14" s="1"/>
  <c r="E83" i="6"/>
  <c r="E84" i="14" s="1"/>
  <c r="E84" i="6"/>
  <c r="E85" i="14" s="1"/>
  <c r="E85" i="6"/>
  <c r="E86" i="14" s="1"/>
  <c r="E86" i="6"/>
  <c r="E87" i="14" s="1"/>
  <c r="E87" i="6"/>
  <c r="E88" i="14" s="1"/>
  <c r="E88" i="6"/>
  <c r="E89" i="14" s="1"/>
  <c r="E89" i="6"/>
  <c r="E90" i="14" s="1"/>
  <c r="E90" i="6"/>
  <c r="E91" i="14" s="1"/>
  <c r="E91" i="6"/>
  <c r="E92" i="14" s="1"/>
  <c r="E92" i="6"/>
  <c r="E93" i="14" s="1"/>
  <c r="E93" i="6"/>
  <c r="E94" i="14" s="1"/>
  <c r="E94" i="6"/>
  <c r="E95" i="14" s="1"/>
  <c r="E95" i="6"/>
  <c r="E96" i="14" s="1"/>
  <c r="E96" i="6"/>
  <c r="E97" i="14" s="1"/>
  <c r="E97" i="6"/>
  <c r="E98" i="14" s="1"/>
  <c r="E98" i="6"/>
  <c r="E99" i="14" s="1"/>
  <c r="E99" i="6"/>
  <c r="E100" i="14" s="1"/>
  <c r="E100" i="6"/>
  <c r="E101" i="14" s="1"/>
  <c r="E101" i="6"/>
  <c r="E102" i="14" s="1"/>
  <c r="E102" i="6"/>
  <c r="E103" i="14" s="1"/>
  <c r="E103" i="6"/>
  <c r="E104" i="14" s="1"/>
  <c r="E104" i="6"/>
  <c r="E105" i="14" s="1"/>
  <c r="E105" i="6"/>
  <c r="E106" i="14" s="1"/>
  <c r="E106" i="6"/>
  <c r="E107" i="14" s="1"/>
  <c r="E107" i="6"/>
  <c r="E108" i="14" s="1"/>
  <c r="E108" i="6"/>
  <c r="E109" i="14" s="1"/>
  <c r="E109" i="6"/>
  <c r="E110" i="14" s="1"/>
  <c r="E110" i="6"/>
  <c r="E111" i="14" s="1"/>
  <c r="E111" i="6"/>
  <c r="E112" i="14" s="1"/>
  <c r="E112" i="6"/>
  <c r="E113" i="14" s="1"/>
  <c r="E113" i="6"/>
  <c r="E114" i="14" s="1"/>
  <c r="E114" i="6"/>
  <c r="E115" i="14" s="1"/>
  <c r="E35" i="6"/>
  <c r="E36" i="14" s="1"/>
  <c r="I30" i="22" s="1"/>
  <c r="J36" i="5"/>
  <c r="L36" i="5" s="1"/>
  <c r="J37" i="5"/>
  <c r="L37" i="5" s="1"/>
  <c r="J38" i="5"/>
  <c r="L38" i="5" s="1"/>
  <c r="J39" i="5"/>
  <c r="L39" i="5" s="1"/>
  <c r="J40" i="5"/>
  <c r="L40" i="5" s="1"/>
  <c r="J41" i="5"/>
  <c r="L41" i="5" s="1"/>
  <c r="J42" i="5"/>
  <c r="L42" i="5" s="1"/>
  <c r="J43" i="5"/>
  <c r="L43" i="5" s="1"/>
  <c r="J44" i="5"/>
  <c r="L44" i="5" s="1"/>
  <c r="J45" i="5"/>
  <c r="L45" i="5" s="1"/>
  <c r="J46" i="5"/>
  <c r="L46" i="5" s="1"/>
  <c r="J47" i="5"/>
  <c r="L47" i="5" s="1"/>
  <c r="J48" i="5"/>
  <c r="L48" i="5" s="1"/>
  <c r="J49" i="5"/>
  <c r="L49" i="5" s="1"/>
  <c r="J50" i="5"/>
  <c r="L50" i="5" s="1"/>
  <c r="J51" i="5"/>
  <c r="L51" i="5" s="1"/>
  <c r="J52" i="5"/>
  <c r="L52" i="5" s="1"/>
  <c r="J53" i="5"/>
  <c r="L53" i="5" s="1"/>
  <c r="J54" i="5"/>
  <c r="L54" i="5" s="1"/>
  <c r="J55" i="5"/>
  <c r="L55" i="5" s="1"/>
  <c r="J56" i="5"/>
  <c r="L56" i="5" s="1"/>
  <c r="J57" i="5"/>
  <c r="L57" i="5" s="1"/>
  <c r="J58" i="5"/>
  <c r="L58" i="5" s="1"/>
  <c r="J59" i="5"/>
  <c r="L59" i="5" s="1"/>
  <c r="J60" i="5"/>
  <c r="L60" i="5" s="1"/>
  <c r="J61" i="5"/>
  <c r="L61" i="5" s="1"/>
  <c r="J62" i="5"/>
  <c r="L62" i="5" s="1"/>
  <c r="J63" i="5"/>
  <c r="L63" i="5" s="1"/>
  <c r="J64" i="5"/>
  <c r="L64" i="5" s="1"/>
  <c r="J65" i="5"/>
  <c r="L65" i="5" s="1"/>
  <c r="J66" i="5"/>
  <c r="L66" i="5" s="1"/>
  <c r="J67" i="5"/>
  <c r="L67" i="5" s="1"/>
  <c r="J68" i="5"/>
  <c r="L68" i="5" s="1"/>
  <c r="J69" i="5"/>
  <c r="L69" i="5" s="1"/>
  <c r="J70" i="5"/>
  <c r="L70" i="5" s="1"/>
  <c r="J71" i="5"/>
  <c r="L71" i="5" s="1"/>
  <c r="J72" i="5"/>
  <c r="L72" i="5" s="1"/>
  <c r="J73" i="5"/>
  <c r="L73" i="5" s="1"/>
  <c r="J74" i="5"/>
  <c r="L74" i="5" s="1"/>
  <c r="J75" i="5"/>
  <c r="L75" i="5" s="1"/>
  <c r="J76" i="5"/>
  <c r="L76" i="5" s="1"/>
  <c r="J77" i="5"/>
  <c r="L77" i="5" s="1"/>
  <c r="J78" i="5"/>
  <c r="L78" i="5" s="1"/>
  <c r="J79" i="5"/>
  <c r="L79" i="5" s="1"/>
  <c r="J80" i="5"/>
  <c r="L80" i="5" s="1"/>
  <c r="J81" i="5"/>
  <c r="L81" i="5" s="1"/>
  <c r="J82" i="5"/>
  <c r="L82" i="5" s="1"/>
  <c r="J83" i="5"/>
  <c r="L83" i="5" s="1"/>
  <c r="J84" i="5"/>
  <c r="L84" i="5" s="1"/>
  <c r="J85" i="5"/>
  <c r="L85" i="5" s="1"/>
  <c r="J86" i="5"/>
  <c r="L86" i="5" s="1"/>
  <c r="J87" i="5"/>
  <c r="L87" i="5" s="1"/>
  <c r="J88" i="5"/>
  <c r="L88" i="5" s="1"/>
  <c r="J89" i="5"/>
  <c r="L89" i="5" s="1"/>
  <c r="J90" i="5"/>
  <c r="L90" i="5" s="1"/>
  <c r="J91" i="5"/>
  <c r="L91" i="5" s="1"/>
  <c r="J92" i="5"/>
  <c r="L92" i="5" s="1"/>
  <c r="J93" i="5"/>
  <c r="L93" i="5" s="1"/>
  <c r="J94" i="5"/>
  <c r="L94" i="5" s="1"/>
  <c r="J95" i="5"/>
  <c r="L95" i="5" s="1"/>
  <c r="J96" i="5"/>
  <c r="L96" i="5" s="1"/>
  <c r="J97" i="5"/>
  <c r="L97" i="5" s="1"/>
  <c r="J98" i="5"/>
  <c r="L98" i="5" s="1"/>
  <c r="J99" i="5"/>
  <c r="L99" i="5" s="1"/>
  <c r="J100" i="5"/>
  <c r="L100" i="5" s="1"/>
  <c r="J101" i="5"/>
  <c r="L101" i="5" s="1"/>
  <c r="J102" i="5"/>
  <c r="L102" i="5" s="1"/>
  <c r="J103" i="5"/>
  <c r="L103" i="5" s="1"/>
  <c r="J104" i="5"/>
  <c r="L104" i="5" s="1"/>
  <c r="J105" i="5"/>
  <c r="L105" i="5" s="1"/>
  <c r="J106" i="5"/>
  <c r="L106" i="5" s="1"/>
  <c r="J107" i="5"/>
  <c r="L107" i="5" s="1"/>
  <c r="J108" i="5"/>
  <c r="L108" i="5" s="1"/>
  <c r="J109" i="5"/>
  <c r="L109" i="5" s="1"/>
  <c r="J110" i="5"/>
  <c r="L110" i="5" s="1"/>
  <c r="J111" i="5"/>
  <c r="L111" i="5" s="1"/>
  <c r="J112" i="5"/>
  <c r="L112" i="5" s="1"/>
  <c r="J113" i="5"/>
  <c r="L113" i="5" s="1"/>
  <c r="J114" i="5"/>
  <c r="L114" i="5" s="1"/>
  <c r="J35" i="5"/>
  <c r="L35" i="5" s="1"/>
  <c r="F48" i="17"/>
  <c r="F51" i="17"/>
  <c r="F52" i="17"/>
  <c r="F66" i="17"/>
  <c r="F69" i="17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L102" i="1" s="1"/>
  <c r="I103" i="1"/>
  <c r="K103" i="1" s="1"/>
  <c r="I104" i="1"/>
  <c r="K104" i="1" s="1"/>
  <c r="I105" i="1"/>
  <c r="K105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35" i="1"/>
  <c r="L35" i="1" s="1"/>
  <c r="F58" i="17"/>
  <c r="F75" i="17"/>
  <c r="F92" i="17"/>
  <c r="H35" i="14"/>
  <c r="I35" i="14" s="1"/>
  <c r="H34" i="14"/>
  <c r="J34" i="14" s="1"/>
  <c r="H33" i="14"/>
  <c r="J33" i="14" s="1"/>
  <c r="H32" i="14"/>
  <c r="J32" i="14" s="1"/>
  <c r="H31" i="14"/>
  <c r="J31" i="14" s="1"/>
  <c r="H30" i="14"/>
  <c r="J30" i="14" s="1"/>
  <c r="H29" i="14"/>
  <c r="I29" i="14" s="1"/>
  <c r="H28" i="14"/>
  <c r="J28" i="14" s="1"/>
  <c r="H27" i="14"/>
  <c r="J27" i="14" s="1"/>
  <c r="H26" i="14"/>
  <c r="H25" i="14"/>
  <c r="J25" i="14" s="1"/>
  <c r="H24" i="14"/>
  <c r="J24" i="14" s="1"/>
  <c r="H23" i="14"/>
  <c r="I23" i="14" s="1"/>
  <c r="H22" i="14"/>
  <c r="J22" i="14" s="1"/>
  <c r="H21" i="14"/>
  <c r="J21" i="14" s="1"/>
  <c r="H20" i="14"/>
  <c r="J20" i="14" s="1"/>
  <c r="H19" i="14"/>
  <c r="J19" i="14" s="1"/>
  <c r="H18" i="14"/>
  <c r="J18" i="14" s="1"/>
  <c r="H17" i="14"/>
  <c r="I17" i="14" s="1"/>
  <c r="H16" i="14"/>
  <c r="J16" i="14" s="1"/>
  <c r="J34" i="13"/>
  <c r="L34" i="13" s="1"/>
  <c r="J33" i="13"/>
  <c r="L33" i="13" s="1"/>
  <c r="J32" i="13"/>
  <c r="L32" i="13" s="1"/>
  <c r="J31" i="13"/>
  <c r="L31" i="13" s="1"/>
  <c r="J30" i="13"/>
  <c r="L30" i="13" s="1"/>
  <c r="J29" i="13"/>
  <c r="L29" i="13" s="1"/>
  <c r="N29" i="13" s="1"/>
  <c r="J28" i="13"/>
  <c r="L28" i="13" s="1"/>
  <c r="J27" i="13"/>
  <c r="L27" i="13" s="1"/>
  <c r="J26" i="13"/>
  <c r="L26" i="13" s="1"/>
  <c r="J25" i="13"/>
  <c r="L25" i="13" s="1"/>
  <c r="J24" i="13"/>
  <c r="L24" i="13" s="1"/>
  <c r="J23" i="13"/>
  <c r="L23" i="13" s="1"/>
  <c r="J22" i="13"/>
  <c r="L22" i="13" s="1"/>
  <c r="J21" i="13"/>
  <c r="L21" i="13" s="1"/>
  <c r="J20" i="13"/>
  <c r="L20" i="13" s="1"/>
  <c r="N20" i="13" s="1"/>
  <c r="J19" i="13"/>
  <c r="L19" i="13" s="1"/>
  <c r="J18" i="13"/>
  <c r="L18" i="13" s="1"/>
  <c r="J17" i="13"/>
  <c r="L17" i="13" s="1"/>
  <c r="J16" i="13"/>
  <c r="L16" i="13" s="1"/>
  <c r="J15" i="13"/>
  <c r="L15" i="13" s="1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J34" i="7"/>
  <c r="L34" i="7" s="1"/>
  <c r="J34" i="17" s="1"/>
  <c r="J33" i="7"/>
  <c r="L33" i="7" s="1"/>
  <c r="J33" i="17" s="1"/>
  <c r="J32" i="7"/>
  <c r="L32" i="7" s="1"/>
  <c r="J32" i="17" s="1"/>
  <c r="J31" i="7"/>
  <c r="L31" i="7" s="1"/>
  <c r="J31" i="17" s="1"/>
  <c r="J30" i="7"/>
  <c r="L30" i="7" s="1"/>
  <c r="J29" i="7"/>
  <c r="L29" i="7" s="1"/>
  <c r="J29" i="17" s="1"/>
  <c r="J28" i="7"/>
  <c r="L28" i="7" s="1"/>
  <c r="J28" i="17" s="1"/>
  <c r="J27" i="7"/>
  <c r="L27" i="7" s="1"/>
  <c r="J27" i="17" s="1"/>
  <c r="J26" i="7"/>
  <c r="L26" i="7" s="1"/>
  <c r="J26" i="17" s="1"/>
  <c r="J25" i="7"/>
  <c r="L25" i="7" s="1"/>
  <c r="J25" i="17" s="1"/>
  <c r="J24" i="7"/>
  <c r="L24" i="7" s="1"/>
  <c r="J24" i="17" s="1"/>
  <c r="J23" i="7"/>
  <c r="L23" i="7" s="1"/>
  <c r="J23" i="17" s="1"/>
  <c r="J22" i="7"/>
  <c r="L22" i="7" s="1"/>
  <c r="J22" i="17" s="1"/>
  <c r="J21" i="7"/>
  <c r="L21" i="7" s="1"/>
  <c r="J20" i="7"/>
  <c r="L20" i="7" s="1"/>
  <c r="J20" i="17" s="1"/>
  <c r="J19" i="7"/>
  <c r="L19" i="7" s="1"/>
  <c r="J19" i="17" s="1"/>
  <c r="J18" i="7"/>
  <c r="L18" i="7" s="1"/>
  <c r="J18" i="17" s="1"/>
  <c r="J17" i="7"/>
  <c r="L17" i="7" s="1"/>
  <c r="J17" i="17" s="1"/>
  <c r="J16" i="7"/>
  <c r="L16" i="7" s="1"/>
  <c r="J16" i="17" s="1"/>
  <c r="J15" i="7"/>
  <c r="L15" i="7" s="1"/>
  <c r="J15" i="17" s="1"/>
  <c r="L34" i="6"/>
  <c r="I34" i="17" s="1"/>
  <c r="J33" i="6"/>
  <c r="L33" i="6" s="1"/>
  <c r="I33" i="17" s="1"/>
  <c r="J32" i="6"/>
  <c r="L32" i="6" s="1"/>
  <c r="I32" i="17" s="1"/>
  <c r="J31" i="6"/>
  <c r="L31" i="6" s="1"/>
  <c r="I31" i="17" s="1"/>
  <c r="J30" i="6"/>
  <c r="L30" i="6" s="1"/>
  <c r="I30" i="17" s="1"/>
  <c r="J29" i="6"/>
  <c r="L29" i="6" s="1"/>
  <c r="J28" i="6"/>
  <c r="L28" i="6" s="1"/>
  <c r="J27" i="6"/>
  <c r="L27" i="6" s="1"/>
  <c r="I27" i="17" s="1"/>
  <c r="J26" i="6"/>
  <c r="L26" i="6" s="1"/>
  <c r="I26" i="17" s="1"/>
  <c r="J25" i="6"/>
  <c r="L25" i="6" s="1"/>
  <c r="I25" i="17" s="1"/>
  <c r="J24" i="6"/>
  <c r="L24" i="6" s="1"/>
  <c r="I24" i="17" s="1"/>
  <c r="J23" i="6"/>
  <c r="L23" i="6" s="1"/>
  <c r="I23" i="17" s="1"/>
  <c r="J22" i="6"/>
  <c r="L22" i="6" s="1"/>
  <c r="I22" i="17" s="1"/>
  <c r="J21" i="6"/>
  <c r="L21" i="6" s="1"/>
  <c r="I21" i="17" s="1"/>
  <c r="J20" i="6"/>
  <c r="L20" i="6" s="1"/>
  <c r="J19" i="6"/>
  <c r="L19" i="6" s="1"/>
  <c r="J18" i="6"/>
  <c r="L18" i="6" s="1"/>
  <c r="I18" i="17" s="1"/>
  <c r="J17" i="6"/>
  <c r="L17" i="6" s="1"/>
  <c r="I17" i="17" s="1"/>
  <c r="J16" i="6"/>
  <c r="L16" i="6" s="1"/>
  <c r="I16" i="17" s="1"/>
  <c r="J15" i="6"/>
  <c r="L15" i="6" s="1"/>
  <c r="I15" i="17" s="1"/>
  <c r="J34" i="5"/>
  <c r="L34" i="5" s="1"/>
  <c r="H34" i="17" s="1"/>
  <c r="J33" i="5"/>
  <c r="L33" i="5" s="1"/>
  <c r="H33" i="17" s="1"/>
  <c r="J32" i="5"/>
  <c r="L32" i="5" s="1"/>
  <c r="H32" i="17" s="1"/>
  <c r="J31" i="5"/>
  <c r="L31" i="5" s="1"/>
  <c r="H31" i="17" s="1"/>
  <c r="J30" i="5"/>
  <c r="L30" i="5" s="1"/>
  <c r="H30" i="17" s="1"/>
  <c r="J29" i="5"/>
  <c r="L29" i="5" s="1"/>
  <c r="H29" i="17" s="1"/>
  <c r="J28" i="5"/>
  <c r="L28" i="5" s="1"/>
  <c r="H28" i="17" s="1"/>
  <c r="J27" i="5"/>
  <c r="L27" i="5" s="1"/>
  <c r="H27" i="17" s="1"/>
  <c r="J26" i="5"/>
  <c r="L26" i="5" s="1"/>
  <c r="H26" i="17" s="1"/>
  <c r="J25" i="5"/>
  <c r="L25" i="5" s="1"/>
  <c r="H25" i="17" s="1"/>
  <c r="J24" i="5"/>
  <c r="L24" i="5" s="1"/>
  <c r="H24" i="17" s="1"/>
  <c r="J23" i="5"/>
  <c r="L23" i="5" s="1"/>
  <c r="H23" i="17" s="1"/>
  <c r="J22" i="5"/>
  <c r="L22" i="5" s="1"/>
  <c r="H22" i="17" s="1"/>
  <c r="J21" i="5"/>
  <c r="L21" i="5" s="1"/>
  <c r="H21" i="17" s="1"/>
  <c r="J20" i="5"/>
  <c r="L20" i="5" s="1"/>
  <c r="H20" i="17" s="1"/>
  <c r="J19" i="5"/>
  <c r="L19" i="5" s="1"/>
  <c r="H19" i="17" s="1"/>
  <c r="J18" i="5"/>
  <c r="L18" i="5" s="1"/>
  <c r="H18" i="17" s="1"/>
  <c r="J17" i="5"/>
  <c r="L17" i="5" s="1"/>
  <c r="H17" i="17" s="1"/>
  <c r="J16" i="5"/>
  <c r="L16" i="5" s="1"/>
  <c r="H16" i="17" s="1"/>
  <c r="J15" i="5"/>
  <c r="L15" i="5" s="1"/>
  <c r="H15" i="17" s="1"/>
  <c r="I34" i="1"/>
  <c r="K34" i="1" s="1"/>
  <c r="I33" i="1"/>
  <c r="K33" i="1" s="1"/>
  <c r="I32" i="1"/>
  <c r="K32" i="1" s="1"/>
  <c r="I31" i="1"/>
  <c r="K31" i="1" s="1"/>
  <c r="I30" i="1"/>
  <c r="K30" i="1" s="1"/>
  <c r="I29" i="1"/>
  <c r="K29" i="1" s="1"/>
  <c r="I28" i="1"/>
  <c r="K28" i="1" s="1"/>
  <c r="I27" i="1"/>
  <c r="K27" i="1" s="1"/>
  <c r="I26" i="1"/>
  <c r="K26" i="1" s="1"/>
  <c r="I25" i="1"/>
  <c r="K25" i="1" s="1"/>
  <c r="I24" i="1"/>
  <c r="K24" i="1" s="1"/>
  <c r="I23" i="1"/>
  <c r="K23" i="1" s="1"/>
  <c r="I22" i="1"/>
  <c r="K22" i="1" s="1"/>
  <c r="I21" i="1"/>
  <c r="K21" i="1" s="1"/>
  <c r="I20" i="1"/>
  <c r="K20" i="1" s="1"/>
  <c r="I19" i="1"/>
  <c r="K19" i="1" s="1"/>
  <c r="I18" i="1"/>
  <c r="K18" i="1" s="1"/>
  <c r="I17" i="1"/>
  <c r="K17" i="1" s="1"/>
  <c r="I16" i="1"/>
  <c r="K16" i="1" s="1"/>
  <c r="I15" i="1"/>
  <c r="K15" i="1" s="1"/>
  <c r="F33" i="17"/>
  <c r="G30" i="22" l="1"/>
  <c r="J30" i="22" s="1"/>
  <c r="G26" i="22"/>
  <c r="J26" i="22" s="1"/>
  <c r="I21" i="22"/>
  <c r="F88" i="17"/>
  <c r="N88" i="4"/>
  <c r="M88" i="4"/>
  <c r="F93" i="17"/>
  <c r="N93" i="4"/>
  <c r="M93" i="4"/>
  <c r="F22" i="17"/>
  <c r="M22" i="4"/>
  <c r="N22" i="4"/>
  <c r="N94" i="4"/>
  <c r="M94" i="4"/>
  <c r="F94" i="17"/>
  <c r="F109" i="17"/>
  <c r="N109" i="4"/>
  <c r="M109" i="4"/>
  <c r="N28" i="4"/>
  <c r="M28" i="4"/>
  <c r="S28" i="17" s="1"/>
  <c r="F28" i="17"/>
  <c r="N44" i="4"/>
  <c r="M44" i="4"/>
  <c r="N45" i="4"/>
  <c r="M45" i="4"/>
  <c r="F30" i="17"/>
  <c r="N30" i="4"/>
  <c r="M30" i="4"/>
  <c r="F103" i="17"/>
  <c r="N103" i="4"/>
  <c r="M103" i="4"/>
  <c r="N62" i="4"/>
  <c r="M62" i="4"/>
  <c r="F104" i="17"/>
  <c r="N104" i="4"/>
  <c r="M104" i="4"/>
  <c r="F17" i="17"/>
  <c r="N17" i="4"/>
  <c r="M17" i="4"/>
  <c r="S17" i="17" s="1"/>
  <c r="F18" i="17"/>
  <c r="N18" i="4"/>
  <c r="M18" i="4"/>
  <c r="N77" i="4"/>
  <c r="M77" i="4"/>
  <c r="N19" i="4"/>
  <c r="M19" i="4"/>
  <c r="F19" i="17"/>
  <c r="N34" i="4"/>
  <c r="M34" i="4"/>
  <c r="F34" i="17"/>
  <c r="F49" i="17"/>
  <c r="N49" i="4"/>
  <c r="M49" i="4"/>
  <c r="N35" i="4"/>
  <c r="M35" i="4"/>
  <c r="F50" i="17"/>
  <c r="N50" i="4"/>
  <c r="M50" i="4"/>
  <c r="F23" i="17"/>
  <c r="N23" i="4"/>
  <c r="M23" i="4"/>
  <c r="M67" i="4"/>
  <c r="N67" i="4"/>
  <c r="F67" i="17"/>
  <c r="F25" i="17"/>
  <c r="N25" i="4"/>
  <c r="M25" i="4"/>
  <c r="N39" i="4"/>
  <c r="M39" i="4"/>
  <c r="N55" i="4"/>
  <c r="M55" i="4"/>
  <c r="F55" i="17"/>
  <c r="N82" i="4"/>
  <c r="M82" i="4"/>
  <c r="F89" i="17"/>
  <c r="N89" i="4"/>
  <c r="M89" i="4"/>
  <c r="N40" i="4"/>
  <c r="M40" i="4"/>
  <c r="N98" i="4"/>
  <c r="M98" i="4"/>
  <c r="N57" i="4"/>
  <c r="M57" i="4"/>
  <c r="F57" i="17"/>
  <c r="N71" i="4"/>
  <c r="M71" i="4"/>
  <c r="F71" i="17"/>
  <c r="N99" i="4"/>
  <c r="M99" i="4"/>
  <c r="N72" i="4"/>
  <c r="M72" i="4"/>
  <c r="F72" i="17"/>
  <c r="N84" i="4"/>
  <c r="M84" i="4"/>
  <c r="F84" i="17"/>
  <c r="N106" i="4"/>
  <c r="F106" i="17"/>
  <c r="M106" i="4"/>
  <c r="N16" i="4"/>
  <c r="M61" i="4"/>
  <c r="M68" i="4"/>
  <c r="N68" i="4"/>
  <c r="M76" i="4"/>
  <c r="N107" i="4"/>
  <c r="M107" i="4"/>
  <c r="F107" i="17"/>
  <c r="N76" i="4"/>
  <c r="N85" i="4"/>
  <c r="M85" i="4"/>
  <c r="N54" i="4"/>
  <c r="N70" i="4"/>
  <c r="M108" i="4"/>
  <c r="N24" i="4"/>
  <c r="M24" i="4"/>
  <c r="F24" i="17"/>
  <c r="M32" i="4"/>
  <c r="M86" i="4"/>
  <c r="N108" i="4"/>
  <c r="N32" i="4"/>
  <c r="N63" i="4"/>
  <c r="M63" i="4"/>
  <c r="N86" i="4"/>
  <c r="N33" i="4"/>
  <c r="M33" i="4"/>
  <c r="S33" i="17" s="1"/>
  <c r="N64" i="4"/>
  <c r="M64" i="4"/>
  <c r="M78" i="4"/>
  <c r="N87" i="4"/>
  <c r="M87" i="4"/>
  <c r="F87" i="17"/>
  <c r="F70" i="17"/>
  <c r="N26" i="4"/>
  <c r="M26" i="4"/>
  <c r="F26" i="17"/>
  <c r="M56" i="4"/>
  <c r="N79" i="4"/>
  <c r="M79" i="4"/>
  <c r="N56" i="4"/>
  <c r="N80" i="4"/>
  <c r="M80" i="4"/>
  <c r="M110" i="4"/>
  <c r="F68" i="17"/>
  <c r="M41" i="4"/>
  <c r="N41" i="4"/>
  <c r="M95" i="4"/>
  <c r="N95" i="4"/>
  <c r="N110" i="4"/>
  <c r="M27" i="4"/>
  <c r="N53" i="4"/>
  <c r="M53" i="4"/>
  <c r="N31" i="4"/>
  <c r="M31" i="4"/>
  <c r="M54" i="4"/>
  <c r="N46" i="4"/>
  <c r="M46" i="4"/>
  <c r="N100" i="4"/>
  <c r="M100" i="4"/>
  <c r="F85" i="17"/>
  <c r="N58" i="4"/>
  <c r="M58" i="4"/>
  <c r="F111" i="17"/>
  <c r="N111" i="4"/>
  <c r="M111" i="4"/>
  <c r="F53" i="17"/>
  <c r="N43" i="4"/>
  <c r="M66" i="4"/>
  <c r="N73" i="4"/>
  <c r="M73" i="4"/>
  <c r="F73" i="17"/>
  <c r="N97" i="4"/>
  <c r="F112" i="17"/>
  <c r="N112" i="4"/>
  <c r="M112" i="4"/>
  <c r="F16" i="17"/>
  <c r="M59" i="4"/>
  <c r="F36" i="17"/>
  <c r="N36" i="4"/>
  <c r="M36" i="4"/>
  <c r="N90" i="4"/>
  <c r="M90" i="4"/>
  <c r="F90" i="17"/>
  <c r="M113" i="4"/>
  <c r="F31" i="17"/>
  <c r="M29" i="4"/>
  <c r="F37" i="17"/>
  <c r="N37" i="4"/>
  <c r="M37" i="4"/>
  <c r="N51" i="4"/>
  <c r="M51" i="4"/>
  <c r="N60" i="4"/>
  <c r="M60" i="4"/>
  <c r="N91" i="4"/>
  <c r="M91" i="4"/>
  <c r="F91" i="17"/>
  <c r="N105" i="4"/>
  <c r="M105" i="4"/>
  <c r="F105" i="17"/>
  <c r="N52" i="4"/>
  <c r="M52" i="4"/>
  <c r="N114" i="4"/>
  <c r="M114" i="4"/>
  <c r="N20" i="4"/>
  <c r="N47" i="4"/>
  <c r="N74" i="4"/>
  <c r="N101" i="4"/>
  <c r="N15" i="4"/>
  <c r="M15" i="4"/>
  <c r="N42" i="4"/>
  <c r="M42" i="4"/>
  <c r="N69" i="4"/>
  <c r="M69" i="4"/>
  <c r="N96" i="4"/>
  <c r="M96" i="4"/>
  <c r="M74" i="4"/>
  <c r="M21" i="4"/>
  <c r="S21" i="17" s="1"/>
  <c r="M48" i="4"/>
  <c r="M75" i="4"/>
  <c r="M102" i="4"/>
  <c r="F102" i="17"/>
  <c r="N21" i="4"/>
  <c r="F20" i="17"/>
  <c r="F29" i="17"/>
  <c r="G15" i="17"/>
  <c r="G16" i="17"/>
  <c r="G17" i="17"/>
  <c r="G18" i="17"/>
  <c r="M19" i="1"/>
  <c r="G19" i="17"/>
  <c r="G20" i="17"/>
  <c r="G21" i="17"/>
  <c r="G22" i="17"/>
  <c r="G23" i="17"/>
  <c r="G24" i="17"/>
  <c r="G25" i="17"/>
  <c r="G26" i="17"/>
  <c r="G27" i="17"/>
  <c r="M28" i="1"/>
  <c r="G28" i="17"/>
  <c r="G29" i="17"/>
  <c r="G30" i="17"/>
  <c r="G31" i="17"/>
  <c r="G32" i="17"/>
  <c r="G33" i="17"/>
  <c r="G34" i="17"/>
  <c r="N19" i="6"/>
  <c r="I19" i="17"/>
  <c r="M20" i="6"/>
  <c r="I20" i="17"/>
  <c r="N28" i="6"/>
  <c r="I28" i="17"/>
  <c r="N29" i="6"/>
  <c r="I29" i="17"/>
  <c r="J21" i="17"/>
  <c r="N21" i="7"/>
  <c r="M21" i="7"/>
  <c r="J30" i="17"/>
  <c r="N30" i="7"/>
  <c r="M30" i="7"/>
  <c r="J16" i="8"/>
  <c r="K15" i="17"/>
  <c r="J17" i="8"/>
  <c r="K16" i="17"/>
  <c r="J18" i="8"/>
  <c r="K17" i="17"/>
  <c r="J19" i="8"/>
  <c r="K18" i="17"/>
  <c r="J20" i="8"/>
  <c r="K19" i="17"/>
  <c r="J21" i="8"/>
  <c r="K20" i="17"/>
  <c r="J22" i="8"/>
  <c r="K21" i="17"/>
  <c r="J23" i="8"/>
  <c r="K22" i="17"/>
  <c r="J24" i="8"/>
  <c r="K23" i="17"/>
  <c r="J25" i="8"/>
  <c r="K24" i="17"/>
  <c r="J26" i="8"/>
  <c r="K25" i="17"/>
  <c r="J27" i="8"/>
  <c r="K26" i="17"/>
  <c r="J28" i="8"/>
  <c r="K27" i="17"/>
  <c r="J29" i="8"/>
  <c r="K28" i="17"/>
  <c r="J30" i="8"/>
  <c r="K29" i="17"/>
  <c r="J31" i="8"/>
  <c r="K30" i="17"/>
  <c r="J32" i="8"/>
  <c r="K31" i="17"/>
  <c r="J33" i="8"/>
  <c r="K32" i="17"/>
  <c r="J34" i="8"/>
  <c r="K33" i="17"/>
  <c r="J35" i="8"/>
  <c r="K34" i="17"/>
  <c r="J16" i="9"/>
  <c r="L15" i="17"/>
  <c r="J17" i="9"/>
  <c r="L16" i="17"/>
  <c r="J18" i="9"/>
  <c r="L17" i="17"/>
  <c r="J19" i="9"/>
  <c r="L18" i="17"/>
  <c r="J20" i="9"/>
  <c r="L19" i="17"/>
  <c r="J21" i="9"/>
  <c r="L20" i="17"/>
  <c r="J22" i="9"/>
  <c r="L21" i="17"/>
  <c r="J23" i="9"/>
  <c r="L22" i="17"/>
  <c r="J24" i="9"/>
  <c r="L23" i="17"/>
  <c r="J25" i="9"/>
  <c r="L24" i="17"/>
  <c r="J26" i="9"/>
  <c r="L25" i="17"/>
  <c r="J27" i="9"/>
  <c r="L26" i="17"/>
  <c r="J28" i="9"/>
  <c r="L27" i="17"/>
  <c r="J29" i="9"/>
  <c r="L28" i="17"/>
  <c r="J30" i="9"/>
  <c r="L29" i="17"/>
  <c r="J31" i="9"/>
  <c r="L30" i="17"/>
  <c r="J32" i="9"/>
  <c r="L31" i="17"/>
  <c r="J33" i="9"/>
  <c r="L32" i="17"/>
  <c r="J34" i="9"/>
  <c r="L33" i="17"/>
  <c r="J35" i="9"/>
  <c r="L34" i="17"/>
  <c r="J16" i="10"/>
  <c r="M15" i="17"/>
  <c r="J17" i="10"/>
  <c r="M16" i="17"/>
  <c r="J18" i="10"/>
  <c r="M17" i="17"/>
  <c r="I19" i="10"/>
  <c r="M18" i="17"/>
  <c r="J20" i="10"/>
  <c r="M19" i="17"/>
  <c r="J21" i="10"/>
  <c r="M20" i="17"/>
  <c r="I22" i="10"/>
  <c r="M21" i="17"/>
  <c r="J23" i="10"/>
  <c r="M22" i="17"/>
  <c r="J24" i="10"/>
  <c r="M23" i="17"/>
  <c r="J25" i="10"/>
  <c r="M24" i="17"/>
  <c r="J26" i="10"/>
  <c r="M25" i="17"/>
  <c r="J27" i="10"/>
  <c r="M26" i="17"/>
  <c r="I28" i="10"/>
  <c r="M27" i="17"/>
  <c r="J29" i="10"/>
  <c r="M28" i="17"/>
  <c r="J30" i="10"/>
  <c r="M29" i="17"/>
  <c r="J31" i="10"/>
  <c r="M30" i="17"/>
  <c r="I32" i="10"/>
  <c r="M31" i="17"/>
  <c r="J33" i="10"/>
  <c r="M32" i="17"/>
  <c r="J34" i="10"/>
  <c r="M33" i="17"/>
  <c r="J35" i="10"/>
  <c r="M34" i="17"/>
  <c r="J17" i="11"/>
  <c r="N15" i="17"/>
  <c r="J18" i="11"/>
  <c r="N16" i="17"/>
  <c r="J19" i="11"/>
  <c r="N17" i="17"/>
  <c r="J20" i="11"/>
  <c r="N18" i="17"/>
  <c r="J21" i="11"/>
  <c r="N19" i="17"/>
  <c r="I22" i="11"/>
  <c r="N20" i="17"/>
  <c r="J23" i="11"/>
  <c r="N21" i="17"/>
  <c r="J24" i="11"/>
  <c r="N22" i="17"/>
  <c r="J25" i="11"/>
  <c r="N23" i="17"/>
  <c r="J26" i="11"/>
  <c r="N24" i="17"/>
  <c r="J27" i="11"/>
  <c r="N25" i="17"/>
  <c r="J28" i="11"/>
  <c r="N26" i="17"/>
  <c r="J29" i="11"/>
  <c r="N27" i="17"/>
  <c r="J30" i="11"/>
  <c r="N28" i="17"/>
  <c r="J31" i="11"/>
  <c r="N29" i="17"/>
  <c r="J32" i="11"/>
  <c r="N30" i="17"/>
  <c r="J33" i="11"/>
  <c r="N31" i="17"/>
  <c r="J34" i="11"/>
  <c r="N32" i="17"/>
  <c r="J35" i="11"/>
  <c r="N33" i="17"/>
  <c r="J36" i="11"/>
  <c r="N34" i="17"/>
  <c r="J16" i="12"/>
  <c r="O15" i="17"/>
  <c r="J17" i="12"/>
  <c r="O16" i="17"/>
  <c r="J18" i="12"/>
  <c r="O17" i="17"/>
  <c r="J19" i="12"/>
  <c r="O18" i="17"/>
  <c r="J20" i="12"/>
  <c r="O19" i="17"/>
  <c r="J21" i="12"/>
  <c r="O20" i="17"/>
  <c r="J22" i="12"/>
  <c r="O21" i="17"/>
  <c r="J23" i="12"/>
  <c r="O22" i="17"/>
  <c r="J24" i="12"/>
  <c r="O23" i="17"/>
  <c r="J25" i="12"/>
  <c r="O24" i="17"/>
  <c r="J26" i="12"/>
  <c r="O25" i="17"/>
  <c r="J27" i="12"/>
  <c r="O26" i="17"/>
  <c r="J28" i="12"/>
  <c r="O27" i="17"/>
  <c r="J29" i="12"/>
  <c r="O28" i="17"/>
  <c r="J30" i="12"/>
  <c r="O29" i="17"/>
  <c r="J31" i="12"/>
  <c r="O30" i="17"/>
  <c r="J32" i="12"/>
  <c r="O31" i="17"/>
  <c r="J33" i="12"/>
  <c r="O32" i="17"/>
  <c r="J34" i="12"/>
  <c r="O33" i="17"/>
  <c r="J35" i="12"/>
  <c r="O34" i="17"/>
  <c r="I26" i="14"/>
  <c r="J26" i="14"/>
  <c r="F114" i="17"/>
  <c r="F113" i="17"/>
  <c r="F101" i="17"/>
  <c r="F100" i="17"/>
  <c r="F99" i="17"/>
  <c r="F98" i="17"/>
  <c r="F97" i="17"/>
  <c r="F96" i="17"/>
  <c r="F95" i="17"/>
  <c r="F83" i="17"/>
  <c r="F82" i="17"/>
  <c r="F81" i="17"/>
  <c r="F80" i="17"/>
  <c r="F79" i="17"/>
  <c r="F78" i="17"/>
  <c r="F77" i="17"/>
  <c r="F65" i="17"/>
  <c r="F64" i="17"/>
  <c r="F63" i="17"/>
  <c r="F62" i="17"/>
  <c r="F61" i="17"/>
  <c r="F60" i="17"/>
  <c r="F59" i="17"/>
  <c r="F47" i="17"/>
  <c r="F46" i="17"/>
  <c r="F45" i="17"/>
  <c r="F44" i="17"/>
  <c r="F43" i="17"/>
  <c r="F42" i="17"/>
  <c r="F41" i="17"/>
  <c r="F40" i="17"/>
  <c r="F39" i="17"/>
  <c r="F38" i="17"/>
  <c r="F35" i="17"/>
  <c r="G35" i="17"/>
  <c r="M35" i="1"/>
  <c r="G114" i="17"/>
  <c r="M114" i="1"/>
  <c r="G113" i="17"/>
  <c r="M113" i="1"/>
  <c r="G112" i="17"/>
  <c r="M112" i="1"/>
  <c r="G111" i="17"/>
  <c r="M111" i="1"/>
  <c r="G110" i="17"/>
  <c r="M110" i="1"/>
  <c r="G109" i="17"/>
  <c r="M109" i="1"/>
  <c r="G108" i="17"/>
  <c r="M108" i="1"/>
  <c r="G107" i="17"/>
  <c r="M107" i="1"/>
  <c r="G106" i="17"/>
  <c r="M106" i="1"/>
  <c r="G105" i="17"/>
  <c r="M105" i="1"/>
  <c r="G104" i="17"/>
  <c r="M104" i="1"/>
  <c r="G103" i="17"/>
  <c r="M103" i="1"/>
  <c r="G102" i="17"/>
  <c r="M102" i="1"/>
  <c r="G101" i="17"/>
  <c r="M101" i="1"/>
  <c r="G100" i="17"/>
  <c r="M100" i="1"/>
  <c r="G99" i="17"/>
  <c r="M99" i="1"/>
  <c r="G98" i="17"/>
  <c r="M98" i="1"/>
  <c r="G97" i="17"/>
  <c r="M97" i="1"/>
  <c r="G96" i="17"/>
  <c r="M96" i="1"/>
  <c r="G95" i="17"/>
  <c r="M95" i="1"/>
  <c r="G94" i="17"/>
  <c r="M94" i="1"/>
  <c r="G93" i="17"/>
  <c r="M93" i="1"/>
  <c r="G92" i="17"/>
  <c r="M92" i="1"/>
  <c r="G91" i="17"/>
  <c r="M91" i="1"/>
  <c r="G90" i="17"/>
  <c r="M90" i="1"/>
  <c r="G89" i="17"/>
  <c r="M89" i="1"/>
  <c r="G88" i="17"/>
  <c r="M88" i="1"/>
  <c r="G87" i="17"/>
  <c r="M87" i="1"/>
  <c r="G86" i="17"/>
  <c r="M86" i="1"/>
  <c r="G85" i="17"/>
  <c r="M85" i="1"/>
  <c r="G84" i="17"/>
  <c r="M84" i="1"/>
  <c r="G83" i="17"/>
  <c r="M83" i="1"/>
  <c r="G82" i="17"/>
  <c r="M82" i="1"/>
  <c r="G81" i="17"/>
  <c r="M81" i="1"/>
  <c r="G80" i="17"/>
  <c r="M80" i="1"/>
  <c r="G79" i="17"/>
  <c r="M79" i="1"/>
  <c r="G78" i="17"/>
  <c r="M78" i="1"/>
  <c r="G77" i="17"/>
  <c r="M77" i="1"/>
  <c r="G76" i="17"/>
  <c r="M76" i="1"/>
  <c r="G75" i="17"/>
  <c r="M75" i="1"/>
  <c r="G74" i="17"/>
  <c r="M74" i="1"/>
  <c r="G73" i="17"/>
  <c r="M73" i="1"/>
  <c r="G72" i="17"/>
  <c r="M72" i="1"/>
  <c r="G71" i="17"/>
  <c r="M71" i="1"/>
  <c r="G70" i="17"/>
  <c r="M70" i="1"/>
  <c r="G69" i="17"/>
  <c r="M69" i="1"/>
  <c r="G68" i="17"/>
  <c r="M68" i="1"/>
  <c r="G67" i="17"/>
  <c r="M67" i="1"/>
  <c r="G66" i="17"/>
  <c r="M66" i="1"/>
  <c r="G65" i="17"/>
  <c r="M65" i="1"/>
  <c r="G64" i="17"/>
  <c r="M64" i="1"/>
  <c r="G63" i="17"/>
  <c r="M63" i="1"/>
  <c r="G62" i="17"/>
  <c r="M62" i="1"/>
  <c r="G61" i="17"/>
  <c r="M61" i="1"/>
  <c r="G60" i="17"/>
  <c r="M60" i="1"/>
  <c r="G59" i="17"/>
  <c r="M59" i="1"/>
  <c r="G58" i="17"/>
  <c r="M58" i="1"/>
  <c r="G57" i="17"/>
  <c r="M57" i="1"/>
  <c r="G56" i="17"/>
  <c r="M56" i="1"/>
  <c r="G55" i="17"/>
  <c r="M55" i="1"/>
  <c r="G54" i="17"/>
  <c r="M54" i="1"/>
  <c r="G53" i="17"/>
  <c r="M53" i="1"/>
  <c r="G52" i="17"/>
  <c r="M52" i="1"/>
  <c r="G51" i="17"/>
  <c r="M51" i="1"/>
  <c r="G50" i="17"/>
  <c r="M50" i="1"/>
  <c r="G49" i="17"/>
  <c r="M49" i="1"/>
  <c r="G48" i="17"/>
  <c r="M48" i="1"/>
  <c r="G47" i="17"/>
  <c r="M47" i="1"/>
  <c r="G46" i="17"/>
  <c r="M46" i="1"/>
  <c r="G45" i="17"/>
  <c r="M45" i="1"/>
  <c r="G44" i="17"/>
  <c r="M44" i="1"/>
  <c r="G43" i="17"/>
  <c r="M43" i="1"/>
  <c r="G42" i="17"/>
  <c r="M42" i="1"/>
  <c r="G41" i="17"/>
  <c r="M41" i="1"/>
  <c r="G40" i="17"/>
  <c r="M40" i="1"/>
  <c r="G39" i="17"/>
  <c r="M39" i="1"/>
  <c r="G38" i="17"/>
  <c r="M38" i="1"/>
  <c r="G37" i="17"/>
  <c r="M37" i="1"/>
  <c r="G36" i="17"/>
  <c r="M36" i="1"/>
  <c r="H35" i="17"/>
  <c r="M35" i="5"/>
  <c r="N35" i="5"/>
  <c r="H114" i="17"/>
  <c r="M114" i="5"/>
  <c r="N114" i="5"/>
  <c r="H113" i="17"/>
  <c r="M113" i="5"/>
  <c r="N113" i="5"/>
  <c r="H112" i="17"/>
  <c r="M112" i="5"/>
  <c r="N112" i="5"/>
  <c r="H111" i="17"/>
  <c r="M111" i="5"/>
  <c r="N111" i="5"/>
  <c r="H110" i="17"/>
  <c r="M110" i="5"/>
  <c r="N110" i="5"/>
  <c r="H109" i="17"/>
  <c r="M109" i="5"/>
  <c r="N109" i="5"/>
  <c r="H108" i="17"/>
  <c r="M108" i="5"/>
  <c r="N108" i="5"/>
  <c r="H107" i="17"/>
  <c r="M107" i="5"/>
  <c r="N107" i="5"/>
  <c r="H106" i="17"/>
  <c r="M106" i="5"/>
  <c r="N106" i="5"/>
  <c r="H105" i="17"/>
  <c r="M105" i="5"/>
  <c r="N105" i="5"/>
  <c r="H104" i="17"/>
  <c r="M104" i="5"/>
  <c r="N104" i="5"/>
  <c r="H103" i="17"/>
  <c r="M103" i="5"/>
  <c r="N103" i="5"/>
  <c r="H102" i="17"/>
  <c r="M102" i="5"/>
  <c r="N102" i="5"/>
  <c r="H101" i="17"/>
  <c r="M101" i="5"/>
  <c r="N101" i="5"/>
  <c r="H100" i="17"/>
  <c r="M100" i="5"/>
  <c r="N100" i="5"/>
  <c r="H99" i="17"/>
  <c r="M99" i="5"/>
  <c r="N99" i="5"/>
  <c r="H98" i="17"/>
  <c r="M98" i="5"/>
  <c r="N98" i="5"/>
  <c r="H97" i="17"/>
  <c r="M97" i="5"/>
  <c r="N97" i="5"/>
  <c r="H96" i="17"/>
  <c r="M96" i="5"/>
  <c r="N96" i="5"/>
  <c r="H95" i="17"/>
  <c r="M95" i="5"/>
  <c r="N95" i="5"/>
  <c r="H94" i="17"/>
  <c r="M94" i="5"/>
  <c r="N94" i="5"/>
  <c r="H93" i="17"/>
  <c r="M93" i="5"/>
  <c r="N93" i="5"/>
  <c r="H92" i="17"/>
  <c r="M92" i="5"/>
  <c r="N92" i="5"/>
  <c r="H91" i="17"/>
  <c r="M91" i="5"/>
  <c r="N91" i="5"/>
  <c r="H90" i="17"/>
  <c r="M90" i="5"/>
  <c r="N90" i="5"/>
  <c r="H89" i="17"/>
  <c r="M89" i="5"/>
  <c r="N89" i="5"/>
  <c r="H88" i="17"/>
  <c r="M88" i="5"/>
  <c r="N88" i="5"/>
  <c r="H87" i="17"/>
  <c r="M87" i="5"/>
  <c r="N87" i="5"/>
  <c r="H86" i="17"/>
  <c r="M86" i="5"/>
  <c r="N86" i="5"/>
  <c r="H85" i="17"/>
  <c r="M85" i="5"/>
  <c r="N85" i="5"/>
  <c r="H84" i="17"/>
  <c r="M84" i="5"/>
  <c r="N84" i="5"/>
  <c r="H83" i="17"/>
  <c r="M83" i="5"/>
  <c r="N83" i="5"/>
  <c r="H82" i="17"/>
  <c r="M82" i="5"/>
  <c r="N82" i="5"/>
  <c r="H81" i="17"/>
  <c r="M81" i="5"/>
  <c r="N81" i="5"/>
  <c r="H80" i="17"/>
  <c r="M80" i="5"/>
  <c r="N80" i="5"/>
  <c r="H79" i="17"/>
  <c r="M79" i="5"/>
  <c r="N79" i="5"/>
  <c r="H78" i="17"/>
  <c r="M78" i="5"/>
  <c r="N78" i="5"/>
  <c r="H77" i="17"/>
  <c r="M77" i="5"/>
  <c r="N77" i="5"/>
  <c r="H76" i="17"/>
  <c r="M76" i="5"/>
  <c r="N76" i="5"/>
  <c r="H75" i="17"/>
  <c r="M75" i="5"/>
  <c r="N75" i="5"/>
  <c r="H74" i="17"/>
  <c r="M74" i="5"/>
  <c r="N74" i="5"/>
  <c r="H73" i="17"/>
  <c r="M73" i="5"/>
  <c r="N73" i="5"/>
  <c r="H72" i="17"/>
  <c r="M72" i="5"/>
  <c r="N72" i="5"/>
  <c r="H71" i="17"/>
  <c r="M71" i="5"/>
  <c r="N71" i="5"/>
  <c r="H70" i="17"/>
  <c r="M70" i="5"/>
  <c r="N70" i="5"/>
  <c r="H69" i="17"/>
  <c r="M69" i="5"/>
  <c r="N69" i="5"/>
  <c r="H68" i="17"/>
  <c r="M68" i="5"/>
  <c r="N68" i="5"/>
  <c r="H67" i="17"/>
  <c r="M67" i="5"/>
  <c r="N67" i="5"/>
  <c r="H66" i="17"/>
  <c r="M66" i="5"/>
  <c r="N66" i="5"/>
  <c r="H65" i="17"/>
  <c r="M65" i="5"/>
  <c r="N65" i="5"/>
  <c r="H64" i="17"/>
  <c r="M64" i="5"/>
  <c r="N64" i="5"/>
  <c r="H63" i="17"/>
  <c r="M63" i="5"/>
  <c r="N63" i="5"/>
  <c r="H62" i="17"/>
  <c r="M62" i="5"/>
  <c r="N62" i="5"/>
  <c r="H61" i="17"/>
  <c r="M61" i="5"/>
  <c r="N61" i="5"/>
  <c r="H60" i="17"/>
  <c r="M60" i="5"/>
  <c r="N60" i="5"/>
  <c r="H59" i="17"/>
  <c r="M59" i="5"/>
  <c r="N59" i="5"/>
  <c r="H58" i="17"/>
  <c r="M58" i="5"/>
  <c r="N58" i="5"/>
  <c r="H57" i="17"/>
  <c r="M57" i="5"/>
  <c r="N57" i="5"/>
  <c r="H56" i="17"/>
  <c r="M56" i="5"/>
  <c r="N56" i="5"/>
  <c r="H55" i="17"/>
  <c r="M55" i="5"/>
  <c r="N55" i="5"/>
  <c r="H54" i="17"/>
  <c r="M54" i="5"/>
  <c r="N54" i="5"/>
  <c r="H53" i="17"/>
  <c r="M53" i="5"/>
  <c r="N53" i="5"/>
  <c r="H52" i="17"/>
  <c r="M52" i="5"/>
  <c r="N52" i="5"/>
  <c r="H51" i="17"/>
  <c r="M51" i="5"/>
  <c r="N51" i="5"/>
  <c r="H50" i="17"/>
  <c r="M50" i="5"/>
  <c r="N50" i="5"/>
  <c r="H49" i="17"/>
  <c r="M49" i="5"/>
  <c r="N49" i="5"/>
  <c r="H48" i="17"/>
  <c r="M48" i="5"/>
  <c r="N48" i="5"/>
  <c r="H47" i="17"/>
  <c r="M47" i="5"/>
  <c r="N47" i="5"/>
  <c r="H46" i="17"/>
  <c r="M46" i="5"/>
  <c r="N46" i="5"/>
  <c r="H45" i="17"/>
  <c r="M45" i="5"/>
  <c r="N45" i="5"/>
  <c r="H44" i="17"/>
  <c r="M44" i="5"/>
  <c r="N44" i="5"/>
  <c r="H43" i="17"/>
  <c r="M43" i="5"/>
  <c r="S43" i="17" s="1"/>
  <c r="N43" i="5"/>
  <c r="H42" i="17"/>
  <c r="M42" i="5"/>
  <c r="N42" i="5"/>
  <c r="H41" i="17"/>
  <c r="M41" i="5"/>
  <c r="N41" i="5"/>
  <c r="H40" i="17"/>
  <c r="M40" i="5"/>
  <c r="N40" i="5"/>
  <c r="H39" i="17"/>
  <c r="M39" i="5"/>
  <c r="N39" i="5"/>
  <c r="H38" i="17"/>
  <c r="M38" i="5"/>
  <c r="N38" i="5"/>
  <c r="H37" i="17"/>
  <c r="M37" i="5"/>
  <c r="N37" i="5"/>
  <c r="H36" i="17"/>
  <c r="M36" i="5"/>
  <c r="N36" i="5"/>
  <c r="I114" i="17"/>
  <c r="M114" i="6"/>
  <c r="N114" i="6"/>
  <c r="I113" i="17"/>
  <c r="M113" i="6"/>
  <c r="N113" i="6"/>
  <c r="I112" i="17"/>
  <c r="M112" i="6"/>
  <c r="N112" i="6"/>
  <c r="N111" i="6"/>
  <c r="I111" i="17"/>
  <c r="M111" i="6"/>
  <c r="I110" i="17"/>
  <c r="M110" i="6"/>
  <c r="N110" i="6"/>
  <c r="I109" i="17"/>
  <c r="M109" i="6"/>
  <c r="N109" i="6"/>
  <c r="I108" i="17"/>
  <c r="M108" i="6"/>
  <c r="N108" i="6"/>
  <c r="I107" i="17"/>
  <c r="M107" i="6"/>
  <c r="N107" i="6"/>
  <c r="I106" i="17"/>
  <c r="M106" i="6"/>
  <c r="N106" i="6"/>
  <c r="N105" i="6"/>
  <c r="I105" i="17"/>
  <c r="M105" i="6"/>
  <c r="I104" i="17"/>
  <c r="M104" i="6"/>
  <c r="N104" i="6"/>
  <c r="I103" i="17"/>
  <c r="M103" i="6"/>
  <c r="N103" i="6"/>
  <c r="I102" i="17"/>
  <c r="M102" i="6"/>
  <c r="N102" i="6"/>
  <c r="I101" i="17"/>
  <c r="M101" i="6"/>
  <c r="N101" i="6"/>
  <c r="I100" i="17"/>
  <c r="M100" i="6"/>
  <c r="N100" i="6"/>
  <c r="N99" i="6"/>
  <c r="I99" i="17"/>
  <c r="M99" i="6"/>
  <c r="I98" i="17"/>
  <c r="M98" i="6"/>
  <c r="N98" i="6"/>
  <c r="I97" i="17"/>
  <c r="M97" i="6"/>
  <c r="N97" i="6"/>
  <c r="I96" i="17"/>
  <c r="M96" i="6"/>
  <c r="N96" i="6"/>
  <c r="I95" i="17"/>
  <c r="M95" i="6"/>
  <c r="N95" i="6"/>
  <c r="I94" i="17"/>
  <c r="M94" i="6"/>
  <c r="N94" i="6"/>
  <c r="N93" i="6"/>
  <c r="I93" i="17"/>
  <c r="M93" i="6"/>
  <c r="I92" i="17"/>
  <c r="M92" i="6"/>
  <c r="N92" i="6"/>
  <c r="I91" i="17"/>
  <c r="M91" i="6"/>
  <c r="N91" i="6"/>
  <c r="I90" i="17"/>
  <c r="M90" i="6"/>
  <c r="N90" i="6"/>
  <c r="I89" i="17"/>
  <c r="M89" i="6"/>
  <c r="N89" i="6"/>
  <c r="I88" i="17"/>
  <c r="M88" i="6"/>
  <c r="N88" i="6"/>
  <c r="N87" i="6"/>
  <c r="I87" i="17"/>
  <c r="M87" i="6"/>
  <c r="I86" i="17"/>
  <c r="M86" i="6"/>
  <c r="N86" i="6"/>
  <c r="I85" i="17"/>
  <c r="M85" i="6"/>
  <c r="N85" i="6"/>
  <c r="I84" i="17"/>
  <c r="M84" i="6"/>
  <c r="N84" i="6"/>
  <c r="I83" i="17"/>
  <c r="M83" i="6"/>
  <c r="N83" i="6"/>
  <c r="I82" i="17"/>
  <c r="M82" i="6"/>
  <c r="N82" i="6"/>
  <c r="N81" i="6"/>
  <c r="I81" i="17"/>
  <c r="M81" i="6"/>
  <c r="I80" i="17"/>
  <c r="M80" i="6"/>
  <c r="N80" i="6"/>
  <c r="I79" i="17"/>
  <c r="M79" i="6"/>
  <c r="N79" i="6"/>
  <c r="I78" i="17"/>
  <c r="M78" i="6"/>
  <c r="N78" i="6"/>
  <c r="I77" i="17"/>
  <c r="M77" i="6"/>
  <c r="N77" i="6"/>
  <c r="I76" i="17"/>
  <c r="M76" i="6"/>
  <c r="N76" i="6"/>
  <c r="N75" i="6"/>
  <c r="I75" i="17"/>
  <c r="M75" i="6"/>
  <c r="I74" i="17"/>
  <c r="M74" i="6"/>
  <c r="N74" i="6"/>
  <c r="I73" i="17"/>
  <c r="M73" i="6"/>
  <c r="N73" i="6"/>
  <c r="I72" i="17"/>
  <c r="M72" i="6"/>
  <c r="N72" i="6"/>
  <c r="I71" i="17"/>
  <c r="M71" i="6"/>
  <c r="N71" i="6"/>
  <c r="I70" i="17"/>
  <c r="M70" i="6"/>
  <c r="N70" i="6"/>
  <c r="N69" i="6"/>
  <c r="I69" i="17"/>
  <c r="M69" i="6"/>
  <c r="I68" i="17"/>
  <c r="M68" i="6"/>
  <c r="N68" i="6"/>
  <c r="I67" i="17"/>
  <c r="M67" i="6"/>
  <c r="N67" i="6"/>
  <c r="I66" i="17"/>
  <c r="M66" i="6"/>
  <c r="N66" i="6"/>
  <c r="I65" i="17"/>
  <c r="M65" i="6"/>
  <c r="N65" i="6"/>
  <c r="I64" i="17"/>
  <c r="M64" i="6"/>
  <c r="N64" i="6"/>
  <c r="N63" i="6"/>
  <c r="I63" i="17"/>
  <c r="M63" i="6"/>
  <c r="I62" i="17"/>
  <c r="M62" i="6"/>
  <c r="N62" i="6"/>
  <c r="I61" i="17"/>
  <c r="M61" i="6"/>
  <c r="N61" i="6"/>
  <c r="I60" i="17"/>
  <c r="M60" i="6"/>
  <c r="N60" i="6"/>
  <c r="I59" i="17"/>
  <c r="M59" i="6"/>
  <c r="N59" i="6"/>
  <c r="I58" i="17"/>
  <c r="M58" i="6"/>
  <c r="N58" i="6"/>
  <c r="N57" i="6"/>
  <c r="I57" i="17"/>
  <c r="M57" i="6"/>
  <c r="I56" i="17"/>
  <c r="M56" i="6"/>
  <c r="N56" i="6"/>
  <c r="I55" i="17"/>
  <c r="M55" i="6"/>
  <c r="N55" i="6"/>
  <c r="I54" i="17"/>
  <c r="M54" i="6"/>
  <c r="N54" i="6"/>
  <c r="I53" i="17"/>
  <c r="M53" i="6"/>
  <c r="N53" i="6"/>
  <c r="I52" i="17"/>
  <c r="M52" i="6"/>
  <c r="N52" i="6"/>
  <c r="N51" i="6"/>
  <c r="I51" i="17"/>
  <c r="M51" i="6"/>
  <c r="I50" i="17"/>
  <c r="M50" i="6"/>
  <c r="N50" i="6"/>
  <c r="I49" i="17"/>
  <c r="M49" i="6"/>
  <c r="N49" i="6"/>
  <c r="I48" i="17"/>
  <c r="M48" i="6"/>
  <c r="N48" i="6"/>
  <c r="I47" i="17"/>
  <c r="M47" i="6"/>
  <c r="N47" i="6"/>
  <c r="I46" i="17"/>
  <c r="M46" i="6"/>
  <c r="N46" i="6"/>
  <c r="N45" i="6"/>
  <c r="I45" i="17"/>
  <c r="M45" i="6"/>
  <c r="I44" i="17"/>
  <c r="M44" i="6"/>
  <c r="N44" i="6"/>
  <c r="I43" i="17"/>
  <c r="M43" i="6"/>
  <c r="N43" i="6"/>
  <c r="I42" i="17"/>
  <c r="M42" i="6"/>
  <c r="N42" i="6"/>
  <c r="I41" i="17"/>
  <c r="M41" i="6"/>
  <c r="N41" i="6"/>
  <c r="I40" i="17"/>
  <c r="M40" i="6"/>
  <c r="N40" i="6"/>
  <c r="M39" i="6"/>
  <c r="I39" i="17"/>
  <c r="I38" i="17"/>
  <c r="M38" i="6"/>
  <c r="N38" i="6"/>
  <c r="I37" i="17"/>
  <c r="M37" i="6"/>
  <c r="N37" i="6"/>
  <c r="I36" i="17"/>
  <c r="M36" i="6"/>
  <c r="N36" i="6"/>
  <c r="I35" i="17"/>
  <c r="M35" i="6"/>
  <c r="N35" i="6"/>
  <c r="M43" i="7"/>
  <c r="J43" i="17"/>
  <c r="J113" i="8"/>
  <c r="K112" i="17"/>
  <c r="I112" i="8"/>
  <c r="K111" i="17"/>
  <c r="J108" i="8"/>
  <c r="K107" i="17"/>
  <c r="J106" i="8"/>
  <c r="K105" i="17"/>
  <c r="J100" i="8"/>
  <c r="K99" i="17"/>
  <c r="I99" i="8"/>
  <c r="K98" i="17"/>
  <c r="I97" i="8"/>
  <c r="K96" i="17"/>
  <c r="I94" i="8"/>
  <c r="K93" i="17"/>
  <c r="I90" i="8"/>
  <c r="K89" i="17"/>
  <c r="J86" i="8"/>
  <c r="K85" i="17"/>
  <c r="I81" i="8"/>
  <c r="K80" i="17"/>
  <c r="I78" i="8"/>
  <c r="K77" i="17"/>
  <c r="I76" i="8"/>
  <c r="K75" i="17"/>
  <c r="I73" i="8"/>
  <c r="K72" i="17"/>
  <c r="J72" i="8"/>
  <c r="K71" i="17"/>
  <c r="J70" i="8"/>
  <c r="K69" i="17"/>
  <c r="I68" i="8"/>
  <c r="K67" i="17"/>
  <c r="J65" i="8"/>
  <c r="K64" i="17"/>
  <c r="I63" i="8"/>
  <c r="K62" i="17"/>
  <c r="J61" i="8"/>
  <c r="K60" i="17"/>
  <c r="I58" i="8"/>
  <c r="K57" i="17"/>
  <c r="I57" i="8"/>
  <c r="K56" i="17"/>
  <c r="I54" i="8"/>
  <c r="K53" i="17"/>
  <c r="J52" i="8"/>
  <c r="K51" i="17"/>
  <c r="I46" i="8"/>
  <c r="K45" i="17"/>
  <c r="I45" i="8"/>
  <c r="K44" i="17"/>
  <c r="I43" i="8"/>
  <c r="K42" i="17"/>
  <c r="I41" i="8"/>
  <c r="K40" i="17"/>
  <c r="I40" i="8"/>
  <c r="K39" i="17"/>
  <c r="J37" i="8"/>
  <c r="K36" i="17"/>
  <c r="I114" i="9"/>
  <c r="L113" i="17"/>
  <c r="I108" i="9"/>
  <c r="L107" i="17"/>
  <c r="J104" i="9"/>
  <c r="L103" i="17"/>
  <c r="I99" i="9"/>
  <c r="L98" i="17"/>
  <c r="J92" i="9"/>
  <c r="L91" i="17"/>
  <c r="J85" i="9"/>
  <c r="L84" i="17"/>
  <c r="I83" i="9"/>
  <c r="L82" i="17"/>
  <c r="I81" i="9"/>
  <c r="L80" i="17"/>
  <c r="I73" i="9"/>
  <c r="L72" i="17"/>
  <c r="J68" i="9"/>
  <c r="L67" i="17"/>
  <c r="I63" i="9"/>
  <c r="L62" i="17"/>
  <c r="J61" i="9"/>
  <c r="L60" i="17"/>
  <c r="J56" i="9"/>
  <c r="L55" i="17"/>
  <c r="I54" i="9"/>
  <c r="L53" i="17"/>
  <c r="I51" i="9"/>
  <c r="L50" i="17"/>
  <c r="J50" i="9"/>
  <c r="L49" i="17"/>
  <c r="J49" i="9"/>
  <c r="L48" i="17"/>
  <c r="I47" i="9"/>
  <c r="L46" i="17"/>
  <c r="I45" i="9"/>
  <c r="L44" i="17"/>
  <c r="J38" i="9"/>
  <c r="L37" i="17"/>
  <c r="I105" i="9"/>
  <c r="L104" i="17"/>
  <c r="I98" i="9"/>
  <c r="L97" i="17"/>
  <c r="I87" i="9"/>
  <c r="L86" i="17"/>
  <c r="I80" i="9"/>
  <c r="L79" i="17"/>
  <c r="I69" i="9"/>
  <c r="L68" i="17"/>
  <c r="I62" i="9"/>
  <c r="L61" i="17"/>
  <c r="I44" i="9"/>
  <c r="L43" i="17"/>
  <c r="J109" i="11"/>
  <c r="N107" i="17"/>
  <c r="J106" i="11"/>
  <c r="N104" i="17"/>
  <c r="I91" i="11"/>
  <c r="N89" i="17"/>
  <c r="I88" i="11"/>
  <c r="N86" i="17"/>
  <c r="I83" i="11"/>
  <c r="N81" i="17"/>
  <c r="J77" i="11"/>
  <c r="N75" i="17"/>
  <c r="I73" i="11"/>
  <c r="N71" i="17"/>
  <c r="I59" i="11"/>
  <c r="N57" i="17"/>
  <c r="J55" i="11"/>
  <c r="N53" i="17"/>
  <c r="J48" i="11"/>
  <c r="N46" i="17"/>
  <c r="J42" i="11"/>
  <c r="N40" i="17"/>
  <c r="I101" i="11"/>
  <c r="N99" i="17"/>
  <c r="I99" i="11"/>
  <c r="N97" i="17"/>
  <c r="I97" i="11"/>
  <c r="N95" i="17"/>
  <c r="I81" i="11"/>
  <c r="N79" i="17"/>
  <c r="I79" i="11"/>
  <c r="N77" i="17"/>
  <c r="I63" i="11"/>
  <c r="N61" i="17"/>
  <c r="I61" i="11"/>
  <c r="N59" i="17"/>
  <c r="I45" i="11"/>
  <c r="N43" i="17"/>
  <c r="I102" i="12"/>
  <c r="O101" i="17"/>
  <c r="I101" i="12"/>
  <c r="O100" i="17"/>
  <c r="I99" i="12"/>
  <c r="O98" i="17"/>
  <c r="I97" i="12"/>
  <c r="O96" i="17"/>
  <c r="I92" i="12"/>
  <c r="O91" i="17"/>
  <c r="J85" i="12"/>
  <c r="O84" i="17"/>
  <c r="I83" i="12"/>
  <c r="O82" i="17"/>
  <c r="I81" i="12"/>
  <c r="O80" i="17"/>
  <c r="I74" i="12"/>
  <c r="O73" i="17"/>
  <c r="I69" i="12"/>
  <c r="O68" i="17"/>
  <c r="I63" i="12"/>
  <c r="O62" i="17"/>
  <c r="I54" i="12"/>
  <c r="O53" i="17"/>
  <c r="J50" i="12"/>
  <c r="O49" i="17"/>
  <c r="J49" i="12"/>
  <c r="O48" i="17"/>
  <c r="J46" i="12"/>
  <c r="O45" i="17"/>
  <c r="I45" i="12"/>
  <c r="O44" i="17"/>
  <c r="J103" i="12"/>
  <c r="O102" i="17"/>
  <c r="I98" i="12"/>
  <c r="O97" i="17"/>
  <c r="I80" i="12"/>
  <c r="O79" i="17"/>
  <c r="I77" i="12"/>
  <c r="O76" i="17"/>
  <c r="I65" i="12"/>
  <c r="O64" i="17"/>
  <c r="I64" i="12"/>
  <c r="O63" i="17"/>
  <c r="I62" i="12"/>
  <c r="O61" i="17"/>
  <c r="I51" i="12"/>
  <c r="O50" i="17"/>
  <c r="I47" i="12"/>
  <c r="O46" i="17"/>
  <c r="I44" i="12"/>
  <c r="O43" i="17"/>
  <c r="M49" i="17"/>
  <c r="M98" i="17"/>
  <c r="M80" i="17"/>
  <c r="M103" i="17"/>
  <c r="M91" i="17"/>
  <c r="M85" i="17"/>
  <c r="M37" i="17"/>
  <c r="M44" i="17"/>
  <c r="M83" i="17"/>
  <c r="M73" i="17"/>
  <c r="M47" i="17"/>
  <c r="M110" i="17"/>
  <c r="M92" i="17"/>
  <c r="M74" i="17"/>
  <c r="M52" i="17"/>
  <c r="M35" i="17"/>
  <c r="G27" i="22" s="1"/>
  <c r="J27" i="22" s="1"/>
  <c r="M100" i="17"/>
  <c r="M64" i="17"/>
  <c r="M104" i="17"/>
  <c r="M50" i="17"/>
  <c r="M77" i="17"/>
  <c r="M107" i="17"/>
  <c r="M82" i="17"/>
  <c r="L79" i="13"/>
  <c r="L70" i="13"/>
  <c r="M70" i="13" s="1"/>
  <c r="L52" i="13"/>
  <c r="M52" i="13" s="1"/>
  <c r="L88" i="13"/>
  <c r="N88" i="13" s="1"/>
  <c r="L51" i="13"/>
  <c r="M51" i="13" s="1"/>
  <c r="L66" i="13"/>
  <c r="N66" i="13" s="1"/>
  <c r="L89" i="13"/>
  <c r="M89" i="13" s="1"/>
  <c r="L46" i="13"/>
  <c r="M46" i="13" s="1"/>
  <c r="L99" i="13"/>
  <c r="M99" i="13" s="1"/>
  <c r="L87" i="13"/>
  <c r="N87" i="13" s="1"/>
  <c r="L84" i="13"/>
  <c r="M84" i="13" s="1"/>
  <c r="L63" i="13"/>
  <c r="M63" i="13" s="1"/>
  <c r="L81" i="13"/>
  <c r="M81" i="13" s="1"/>
  <c r="L43" i="13"/>
  <c r="N43" i="13" s="1"/>
  <c r="L106" i="13"/>
  <c r="M106" i="13" s="1"/>
  <c r="L62" i="13"/>
  <c r="M62" i="13" s="1"/>
  <c r="M97" i="13"/>
  <c r="N97" i="13"/>
  <c r="M48" i="13"/>
  <c r="N48" i="13"/>
  <c r="M79" i="13"/>
  <c r="N79" i="13"/>
  <c r="L82" i="13"/>
  <c r="M82" i="13" s="1"/>
  <c r="L45" i="13"/>
  <c r="M45" i="13" s="1"/>
  <c r="L114" i="13"/>
  <c r="M114" i="13" s="1"/>
  <c r="L100" i="13"/>
  <c r="M100" i="13" s="1"/>
  <c r="L104" i="13"/>
  <c r="M104" i="13" s="1"/>
  <c r="L85" i="13"/>
  <c r="M85" i="13" s="1"/>
  <c r="L67" i="13"/>
  <c r="N67" i="13" s="1"/>
  <c r="L44" i="13"/>
  <c r="M44" i="13" s="1"/>
  <c r="L113" i="13"/>
  <c r="N113" i="13" s="1"/>
  <c r="L95" i="13"/>
  <c r="M95" i="13" s="1"/>
  <c r="L40" i="13"/>
  <c r="N40" i="13" s="1"/>
  <c r="L76" i="13"/>
  <c r="N76" i="13" s="1"/>
  <c r="L39" i="13"/>
  <c r="N39" i="13" s="1"/>
  <c r="L94" i="13"/>
  <c r="L75" i="13"/>
  <c r="M75" i="13" s="1"/>
  <c r="L93" i="13"/>
  <c r="M93" i="13" s="1"/>
  <c r="L110" i="13"/>
  <c r="N110" i="13" s="1"/>
  <c r="M61" i="13"/>
  <c r="N61" i="13"/>
  <c r="L74" i="13"/>
  <c r="N74" i="13" s="1"/>
  <c r="L78" i="13"/>
  <c r="M78" i="13" s="1"/>
  <c r="L80" i="13"/>
  <c r="M80" i="13" s="1"/>
  <c r="L112" i="13"/>
  <c r="N112" i="13" s="1"/>
  <c r="L111" i="13"/>
  <c r="M111" i="13" s="1"/>
  <c r="L92" i="13"/>
  <c r="M92" i="13" s="1"/>
  <c r="L49" i="13"/>
  <c r="M49" i="13" s="1"/>
  <c r="L64" i="13"/>
  <c r="N64" i="13" s="1"/>
  <c r="L56" i="13"/>
  <c r="N56" i="13" s="1"/>
  <c r="L71" i="13"/>
  <c r="M71" i="13" s="1"/>
  <c r="L60" i="13"/>
  <c r="M60" i="13" s="1"/>
  <c r="L107" i="13"/>
  <c r="M107" i="13" s="1"/>
  <c r="L103" i="13"/>
  <c r="M103" i="13" s="1"/>
  <c r="L53" i="13"/>
  <c r="N53" i="13" s="1"/>
  <c r="L42" i="13"/>
  <c r="M42" i="13" s="1"/>
  <c r="L69" i="13"/>
  <c r="N69" i="13" s="1"/>
  <c r="N94" i="13"/>
  <c r="M94" i="13"/>
  <c r="N58" i="13"/>
  <c r="M58" i="13"/>
  <c r="M105" i="13"/>
  <c r="N105" i="13"/>
  <c r="M87" i="13"/>
  <c r="N102" i="13"/>
  <c r="M102" i="13"/>
  <c r="L38" i="13"/>
  <c r="L101" i="13"/>
  <c r="M101" i="13" s="1"/>
  <c r="L73" i="13"/>
  <c r="N73" i="13" s="1"/>
  <c r="L54" i="13"/>
  <c r="L91" i="13"/>
  <c r="N91" i="13" s="1"/>
  <c r="L72" i="13"/>
  <c r="M72" i="13" s="1"/>
  <c r="L86" i="13"/>
  <c r="N86" i="13" s="1"/>
  <c r="L83" i="13"/>
  <c r="M83" i="13" s="1"/>
  <c r="L77" i="13"/>
  <c r="M77" i="13" s="1"/>
  <c r="L68" i="13"/>
  <c r="M68" i="13" s="1"/>
  <c r="L65" i="13"/>
  <c r="M65" i="13" s="1"/>
  <c r="L59" i="13"/>
  <c r="N59" i="13" s="1"/>
  <c r="L50" i="13"/>
  <c r="M50" i="13" s="1"/>
  <c r="L41" i="13"/>
  <c r="M41" i="13" s="1"/>
  <c r="L55" i="13"/>
  <c r="M55" i="13" s="1"/>
  <c r="L37" i="13"/>
  <c r="M37" i="13" s="1"/>
  <c r="L109" i="13"/>
  <c r="M109" i="13" s="1"/>
  <c r="L36" i="13"/>
  <c r="M36" i="13" s="1"/>
  <c r="L108" i="13"/>
  <c r="N108" i="13" s="1"/>
  <c r="L90" i="13"/>
  <c r="N90" i="13" s="1"/>
  <c r="N70" i="13"/>
  <c r="L47" i="13"/>
  <c r="M57" i="13"/>
  <c r="N57" i="13"/>
  <c r="N46" i="13"/>
  <c r="M98" i="13"/>
  <c r="N98" i="13"/>
  <c r="M96" i="13"/>
  <c r="N96" i="13"/>
  <c r="N106" i="13"/>
  <c r="M73" i="13"/>
  <c r="M54" i="13"/>
  <c r="N54" i="13"/>
  <c r="J35" i="13"/>
  <c r="L35" i="13" s="1"/>
  <c r="N99" i="13"/>
  <c r="N81" i="13"/>
  <c r="J115" i="14"/>
  <c r="I85" i="14"/>
  <c r="I54" i="14"/>
  <c r="J61" i="14"/>
  <c r="J99" i="14"/>
  <c r="I42" i="14"/>
  <c r="J42" i="14"/>
  <c r="I59" i="14"/>
  <c r="J59" i="14"/>
  <c r="I58" i="14"/>
  <c r="J58" i="14"/>
  <c r="I107" i="14"/>
  <c r="J107" i="14"/>
  <c r="I89" i="14"/>
  <c r="J89" i="14"/>
  <c r="I53" i="14"/>
  <c r="J53" i="14"/>
  <c r="I106" i="14"/>
  <c r="J106" i="14"/>
  <c r="I88" i="14"/>
  <c r="J88" i="14"/>
  <c r="I52" i="14"/>
  <c r="J52" i="14"/>
  <c r="I87" i="14"/>
  <c r="J87" i="14"/>
  <c r="I51" i="14"/>
  <c r="J51" i="14"/>
  <c r="I78" i="14"/>
  <c r="J78" i="14"/>
  <c r="I77" i="14"/>
  <c r="J77" i="14"/>
  <c r="I76" i="14"/>
  <c r="J76" i="14"/>
  <c r="I71" i="14"/>
  <c r="J71" i="14"/>
  <c r="I70" i="14"/>
  <c r="J70" i="14"/>
  <c r="J105" i="14"/>
  <c r="I105" i="14"/>
  <c r="I69" i="14"/>
  <c r="J69" i="14"/>
  <c r="I66" i="14"/>
  <c r="J66" i="14"/>
  <c r="I114" i="14"/>
  <c r="J114" i="14"/>
  <c r="I113" i="14"/>
  <c r="J113" i="14"/>
  <c r="I94" i="14"/>
  <c r="J94" i="14"/>
  <c r="I102" i="14"/>
  <c r="J102" i="14"/>
  <c r="I48" i="14"/>
  <c r="J48" i="14"/>
  <c r="J98" i="14"/>
  <c r="I98" i="14"/>
  <c r="J80" i="14"/>
  <c r="I80" i="14"/>
  <c r="J62" i="14"/>
  <c r="I62" i="14"/>
  <c r="I44" i="14"/>
  <c r="J44" i="14"/>
  <c r="I96" i="14"/>
  <c r="J96" i="14"/>
  <c r="I95" i="14"/>
  <c r="J95" i="14"/>
  <c r="I84" i="14"/>
  <c r="J84" i="14"/>
  <c r="I60" i="14"/>
  <c r="J60" i="14"/>
  <c r="I41" i="14"/>
  <c r="J41" i="14"/>
  <c r="I112" i="14"/>
  <c r="J112" i="14"/>
  <c r="I40" i="14"/>
  <c r="J40" i="14"/>
  <c r="I111" i="14"/>
  <c r="J111" i="14"/>
  <c r="I93" i="14"/>
  <c r="J93" i="14"/>
  <c r="I75" i="14"/>
  <c r="J75" i="14"/>
  <c r="I57" i="14"/>
  <c r="J57" i="14"/>
  <c r="I39" i="14"/>
  <c r="J39" i="14"/>
  <c r="J110" i="14"/>
  <c r="I110" i="14"/>
  <c r="J92" i="14"/>
  <c r="I92" i="14"/>
  <c r="I74" i="14"/>
  <c r="J74" i="14"/>
  <c r="J56" i="14"/>
  <c r="I56" i="14"/>
  <c r="I38" i="14"/>
  <c r="J38" i="14"/>
  <c r="I55" i="14"/>
  <c r="J55" i="14"/>
  <c r="I37" i="14"/>
  <c r="J37" i="14"/>
  <c r="J101" i="14"/>
  <c r="J83" i="14"/>
  <c r="J65" i="14"/>
  <c r="J47" i="14"/>
  <c r="J17" i="14"/>
  <c r="J29" i="14"/>
  <c r="I20" i="14"/>
  <c r="I32" i="14"/>
  <c r="J23" i="14"/>
  <c r="J35" i="14"/>
  <c r="I36" i="14"/>
  <c r="J36" i="14"/>
  <c r="J102" i="12"/>
  <c r="I46" i="12"/>
  <c r="I105" i="12"/>
  <c r="J105" i="12"/>
  <c r="I95" i="12"/>
  <c r="J95" i="12"/>
  <c r="J104" i="12"/>
  <c r="I104" i="12"/>
  <c r="J86" i="12"/>
  <c r="I86" i="12"/>
  <c r="I115" i="12"/>
  <c r="J115" i="12"/>
  <c r="I59" i="12"/>
  <c r="J59" i="12"/>
  <c r="I66" i="12"/>
  <c r="J66" i="12"/>
  <c r="I43" i="12"/>
  <c r="J43" i="12"/>
  <c r="I79" i="12"/>
  <c r="J79" i="12"/>
  <c r="I108" i="12"/>
  <c r="J108" i="12"/>
  <c r="J92" i="12"/>
  <c r="J69" i="12"/>
  <c r="J48" i="12"/>
  <c r="I48" i="12"/>
  <c r="J67" i="12"/>
  <c r="I67" i="12"/>
  <c r="J113" i="12"/>
  <c r="I113" i="12"/>
  <c r="I61" i="12"/>
  <c r="J61" i="12"/>
  <c r="I84" i="12"/>
  <c r="J84" i="12"/>
  <c r="J68" i="12"/>
  <c r="I68" i="12"/>
  <c r="I87" i="12"/>
  <c r="J87" i="12"/>
  <c r="J90" i="12"/>
  <c r="I90" i="12"/>
  <c r="J100" i="12"/>
  <c r="I100" i="12"/>
  <c r="I110" i="12"/>
  <c r="J110" i="12"/>
  <c r="I38" i="12"/>
  <c r="J38" i="12"/>
  <c r="H106" i="12"/>
  <c r="J77" i="12"/>
  <c r="J64" i="12"/>
  <c r="H58" i="12"/>
  <c r="J54" i="12"/>
  <c r="H109" i="12"/>
  <c r="H57" i="12"/>
  <c r="H73" i="12"/>
  <c r="H53" i="12"/>
  <c r="H114" i="12"/>
  <c r="H91" i="12"/>
  <c r="H96" i="12"/>
  <c r="H89" i="12"/>
  <c r="H60" i="12"/>
  <c r="H76" i="12"/>
  <c r="O75" i="17" s="1"/>
  <c r="H111" i="12"/>
  <c r="H52" i="12"/>
  <c r="J97" i="12"/>
  <c r="H78" i="12"/>
  <c r="J74" i="12"/>
  <c r="H55" i="12"/>
  <c r="J51" i="12"/>
  <c r="H112" i="12"/>
  <c r="H37" i="12"/>
  <c r="H88" i="12"/>
  <c r="H40" i="12"/>
  <c r="H75" i="12"/>
  <c r="I103" i="12"/>
  <c r="J91" i="12"/>
  <c r="I94" i="12"/>
  <c r="J94" i="12"/>
  <c r="I71" i="12"/>
  <c r="J71" i="12"/>
  <c r="I42" i="12"/>
  <c r="J42" i="12"/>
  <c r="I70" i="12"/>
  <c r="J70" i="12"/>
  <c r="J96" i="12"/>
  <c r="I111" i="12"/>
  <c r="I93" i="12"/>
  <c r="J93" i="12"/>
  <c r="I76" i="12"/>
  <c r="J76" i="12"/>
  <c r="I107" i="12"/>
  <c r="J107" i="12"/>
  <c r="I39" i="12"/>
  <c r="J39" i="12"/>
  <c r="J99" i="12"/>
  <c r="J81" i="12"/>
  <c r="J63" i="12"/>
  <c r="J45" i="12"/>
  <c r="H36" i="12"/>
  <c r="J101" i="12"/>
  <c r="J83" i="12"/>
  <c r="J65" i="12"/>
  <c r="J47" i="12"/>
  <c r="J98" i="12"/>
  <c r="J80" i="12"/>
  <c r="J62" i="12"/>
  <c r="J44" i="12"/>
  <c r="I34" i="12"/>
  <c r="J101" i="10"/>
  <c r="I21" i="9"/>
  <c r="I33" i="9"/>
  <c r="I27" i="9"/>
  <c r="I50" i="10"/>
  <c r="I111" i="10"/>
  <c r="I42" i="11"/>
  <c r="I77" i="11"/>
  <c r="I48" i="11"/>
  <c r="J80" i="11"/>
  <c r="I80" i="11"/>
  <c r="I114" i="11"/>
  <c r="J114" i="11"/>
  <c r="J113" i="11"/>
  <c r="I113" i="11"/>
  <c r="J60" i="11"/>
  <c r="I60" i="11"/>
  <c r="J85" i="11"/>
  <c r="I85" i="11"/>
  <c r="I67" i="11"/>
  <c r="J67" i="11"/>
  <c r="J49" i="11"/>
  <c r="I49" i="11"/>
  <c r="J102" i="11"/>
  <c r="I102" i="11"/>
  <c r="I52" i="11"/>
  <c r="J52" i="11"/>
  <c r="I96" i="11"/>
  <c r="J96" i="11"/>
  <c r="J108" i="11"/>
  <c r="I108" i="11"/>
  <c r="I90" i="11"/>
  <c r="J90" i="11"/>
  <c r="J54" i="11"/>
  <c r="I54" i="11"/>
  <c r="I115" i="11"/>
  <c r="J115" i="11"/>
  <c r="I109" i="11"/>
  <c r="I51" i="10"/>
  <c r="J39" i="11"/>
  <c r="I39" i="11"/>
  <c r="I95" i="11"/>
  <c r="J95" i="11"/>
  <c r="J98" i="11"/>
  <c r="I98" i="11"/>
  <c r="J46" i="11"/>
  <c r="I46" i="11"/>
  <c r="I70" i="11"/>
  <c r="J70" i="11"/>
  <c r="H66" i="11"/>
  <c r="H100" i="11"/>
  <c r="H41" i="11"/>
  <c r="H116" i="11"/>
  <c r="H44" i="11"/>
  <c r="H75" i="11"/>
  <c r="H47" i="11"/>
  <c r="H50" i="11"/>
  <c r="H84" i="11"/>
  <c r="H62" i="11"/>
  <c r="H65" i="11"/>
  <c r="H72" i="11"/>
  <c r="H103" i="11"/>
  <c r="H78" i="11"/>
  <c r="H43" i="11"/>
  <c r="H68" i="11"/>
  <c r="H86" i="11"/>
  <c r="H104" i="11"/>
  <c r="J91" i="11"/>
  <c r="J88" i="11"/>
  <c r="J59" i="11"/>
  <c r="I48" i="10"/>
  <c r="J104" i="11"/>
  <c r="J77" i="10"/>
  <c r="I77" i="10"/>
  <c r="H56" i="11"/>
  <c r="H38" i="11"/>
  <c r="H107" i="11"/>
  <c r="H92" i="11"/>
  <c r="N90" i="17" s="1"/>
  <c r="H74" i="11"/>
  <c r="H112" i="11"/>
  <c r="H94" i="11"/>
  <c r="H76" i="11"/>
  <c r="H58" i="11"/>
  <c r="H40" i="11"/>
  <c r="H105" i="11"/>
  <c r="H87" i="11"/>
  <c r="H69" i="11"/>
  <c r="H51" i="11"/>
  <c r="J38" i="10"/>
  <c r="J101" i="11"/>
  <c r="J83" i="11"/>
  <c r="H110" i="11"/>
  <c r="H89" i="11"/>
  <c r="H71" i="11"/>
  <c r="H53" i="11"/>
  <c r="J107" i="11"/>
  <c r="I92" i="11"/>
  <c r="J92" i="11"/>
  <c r="I53" i="11"/>
  <c r="I38" i="11"/>
  <c r="J56" i="10"/>
  <c r="I56" i="10"/>
  <c r="J97" i="11"/>
  <c r="J79" i="11"/>
  <c r="J61" i="11"/>
  <c r="J43" i="11"/>
  <c r="J99" i="11"/>
  <c r="J81" i="11"/>
  <c r="J63" i="11"/>
  <c r="J45" i="11"/>
  <c r="I105" i="10"/>
  <c r="H37" i="11"/>
  <c r="J39" i="10"/>
  <c r="I39" i="10"/>
  <c r="J107" i="10"/>
  <c r="I107" i="10"/>
  <c r="I86" i="10"/>
  <c r="I81" i="10"/>
  <c r="I65" i="10"/>
  <c r="J59" i="10"/>
  <c r="I59" i="10"/>
  <c r="J110" i="10"/>
  <c r="I110" i="10"/>
  <c r="J42" i="10"/>
  <c r="I42" i="10"/>
  <c r="I89" i="10"/>
  <c r="J89" i="10"/>
  <c r="J102" i="10"/>
  <c r="I102" i="10"/>
  <c r="J47" i="10"/>
  <c r="I47" i="10"/>
  <c r="J69" i="10"/>
  <c r="I69" i="10"/>
  <c r="I99" i="10"/>
  <c r="I93" i="10"/>
  <c r="I84" i="10"/>
  <c r="J74" i="10"/>
  <c r="J92" i="10"/>
  <c r="J96" i="10"/>
  <c r="I96" i="10"/>
  <c r="J57" i="10"/>
  <c r="I57" i="10"/>
  <c r="I62" i="10"/>
  <c r="J62" i="10"/>
  <c r="J113" i="10"/>
  <c r="I113" i="10"/>
  <c r="J72" i="10"/>
  <c r="I72" i="10"/>
  <c r="J66" i="10"/>
  <c r="I66" i="10"/>
  <c r="I80" i="10"/>
  <c r="J80" i="10"/>
  <c r="J54" i="10"/>
  <c r="I54" i="10"/>
  <c r="I83" i="10"/>
  <c r="I75" i="10"/>
  <c r="J53" i="10"/>
  <c r="I108" i="10"/>
  <c r="I45" i="10"/>
  <c r="J104" i="10"/>
  <c r="I78" i="10"/>
  <c r="I95" i="10"/>
  <c r="J95" i="10"/>
  <c r="J90" i="10"/>
  <c r="I90" i="10"/>
  <c r="I68" i="10"/>
  <c r="J68" i="10"/>
  <c r="J98" i="10"/>
  <c r="I98" i="10"/>
  <c r="J114" i="10"/>
  <c r="I114" i="10"/>
  <c r="J63" i="10"/>
  <c r="I63" i="10"/>
  <c r="J71" i="10"/>
  <c r="I71" i="10"/>
  <c r="J87" i="10"/>
  <c r="I87" i="10"/>
  <c r="J44" i="10"/>
  <c r="I44" i="10"/>
  <c r="J60" i="10"/>
  <c r="I60" i="10"/>
  <c r="I41" i="10"/>
  <c r="J41" i="10"/>
  <c r="J67" i="10"/>
  <c r="I67" i="10"/>
  <c r="J40" i="10"/>
  <c r="I40" i="10"/>
  <c r="J109" i="10"/>
  <c r="I109" i="10"/>
  <c r="J97" i="10"/>
  <c r="I97" i="10"/>
  <c r="J70" i="10"/>
  <c r="I70" i="10"/>
  <c r="J115" i="10"/>
  <c r="I115" i="10"/>
  <c r="J88" i="10"/>
  <c r="I88" i="10"/>
  <c r="J61" i="10"/>
  <c r="I61" i="10"/>
  <c r="J103" i="10"/>
  <c r="I103" i="10"/>
  <c r="J76" i="10"/>
  <c r="I76" i="10"/>
  <c r="J49" i="10"/>
  <c r="I49" i="10"/>
  <c r="J106" i="10"/>
  <c r="I106" i="10"/>
  <c r="J79" i="10"/>
  <c r="I79" i="10"/>
  <c r="J94" i="10"/>
  <c r="I94" i="10"/>
  <c r="J82" i="10"/>
  <c r="I82" i="10"/>
  <c r="J55" i="10"/>
  <c r="I55" i="10"/>
  <c r="J43" i="10"/>
  <c r="I43" i="10"/>
  <c r="J112" i="10"/>
  <c r="I112" i="10"/>
  <c r="J85" i="10"/>
  <c r="I85" i="10"/>
  <c r="J58" i="10"/>
  <c r="I58" i="10"/>
  <c r="J100" i="10"/>
  <c r="I100" i="10"/>
  <c r="J73" i="10"/>
  <c r="I73" i="10"/>
  <c r="J46" i="10"/>
  <c r="I46" i="10"/>
  <c r="J91" i="10"/>
  <c r="I91" i="10"/>
  <c r="J64" i="10"/>
  <c r="I64" i="10"/>
  <c r="I37" i="10"/>
  <c r="J37" i="10"/>
  <c r="J52" i="10"/>
  <c r="I52" i="10"/>
  <c r="J36" i="10"/>
  <c r="I27" i="22" s="1"/>
  <c r="I56" i="9"/>
  <c r="J114" i="9"/>
  <c r="J108" i="9"/>
  <c r="I60" i="9"/>
  <c r="J60" i="9"/>
  <c r="J86" i="9"/>
  <c r="I86" i="9"/>
  <c r="J103" i="9"/>
  <c r="I103" i="9"/>
  <c r="J67" i="9"/>
  <c r="I67" i="9"/>
  <c r="J79" i="9"/>
  <c r="I79" i="9"/>
  <c r="I78" i="9"/>
  <c r="J78" i="9"/>
  <c r="J74" i="9"/>
  <c r="I74" i="9"/>
  <c r="J110" i="9"/>
  <c r="I110" i="9"/>
  <c r="J101" i="9"/>
  <c r="I101" i="9"/>
  <c r="I37" i="9"/>
  <c r="J37" i="9"/>
  <c r="I115" i="9"/>
  <c r="J115" i="9"/>
  <c r="I97" i="9"/>
  <c r="J97" i="9"/>
  <c r="I96" i="9"/>
  <c r="J96" i="9"/>
  <c r="I42" i="9"/>
  <c r="J42" i="9"/>
  <c r="I91" i="9"/>
  <c r="J91" i="9"/>
  <c r="J83" i="9"/>
  <c r="J73" i="9"/>
  <c r="J54" i="9"/>
  <c r="I49" i="9"/>
  <c r="I92" i="9"/>
  <c r="I68" i="9"/>
  <c r="J47" i="9"/>
  <c r="I94" i="9"/>
  <c r="J94" i="9"/>
  <c r="J39" i="9"/>
  <c r="I39" i="9"/>
  <c r="J77" i="9"/>
  <c r="I77" i="9"/>
  <c r="I70" i="9"/>
  <c r="J70" i="9"/>
  <c r="I43" i="9"/>
  <c r="J43" i="9"/>
  <c r="I52" i="9"/>
  <c r="J52" i="9"/>
  <c r="I107" i="9"/>
  <c r="J107" i="9"/>
  <c r="I100" i="9"/>
  <c r="J100" i="9"/>
  <c r="I93" i="9"/>
  <c r="J93" i="9"/>
  <c r="J66" i="9"/>
  <c r="I66" i="9"/>
  <c r="I53" i="9"/>
  <c r="J53" i="9"/>
  <c r="I46" i="9"/>
  <c r="J46" i="9"/>
  <c r="I76" i="9"/>
  <c r="J76" i="9"/>
  <c r="I113" i="9"/>
  <c r="J113" i="9"/>
  <c r="I106" i="9"/>
  <c r="J106" i="9"/>
  <c r="I59" i="9"/>
  <c r="J59" i="9"/>
  <c r="J102" i="9"/>
  <c r="I102" i="9"/>
  <c r="I89" i="9"/>
  <c r="J89" i="9"/>
  <c r="I82" i="9"/>
  <c r="J82" i="9"/>
  <c r="J75" i="9"/>
  <c r="I75" i="9"/>
  <c r="J48" i="9"/>
  <c r="I48" i="9"/>
  <c r="J41" i="9"/>
  <c r="I41" i="9"/>
  <c r="I112" i="9"/>
  <c r="J112" i="9"/>
  <c r="I58" i="9"/>
  <c r="J58" i="9"/>
  <c r="J95" i="9"/>
  <c r="I95" i="9"/>
  <c r="I88" i="9"/>
  <c r="J88" i="9"/>
  <c r="I40" i="9"/>
  <c r="J40" i="9"/>
  <c r="I111" i="9"/>
  <c r="J111" i="9"/>
  <c r="J84" i="9"/>
  <c r="I84" i="9"/>
  <c r="I71" i="9"/>
  <c r="J71" i="9"/>
  <c r="I64" i="9"/>
  <c r="J64" i="9"/>
  <c r="I57" i="9"/>
  <c r="J57" i="9"/>
  <c r="J105" i="9"/>
  <c r="J87" i="9"/>
  <c r="J69" i="9"/>
  <c r="J51" i="9"/>
  <c r="J99" i="9"/>
  <c r="J81" i="9"/>
  <c r="J63" i="9"/>
  <c r="J45" i="9"/>
  <c r="J98" i="9"/>
  <c r="J80" i="9"/>
  <c r="J62" i="9"/>
  <c r="J44" i="9"/>
  <c r="I36" i="9"/>
  <c r="J36" i="9"/>
  <c r="I26" i="22" s="1"/>
  <c r="I108" i="8"/>
  <c r="I61" i="8"/>
  <c r="J50" i="8"/>
  <c r="I50" i="8"/>
  <c r="I48" i="8"/>
  <c r="J48" i="8"/>
  <c r="J47" i="8"/>
  <c r="I47" i="8"/>
  <c r="I111" i="8"/>
  <c r="J111" i="8"/>
  <c r="J102" i="8"/>
  <c r="I102" i="8"/>
  <c r="J93" i="8"/>
  <c r="I93" i="8"/>
  <c r="I84" i="8"/>
  <c r="J84" i="8"/>
  <c r="I75" i="8"/>
  <c r="J75" i="8"/>
  <c r="J66" i="8"/>
  <c r="I66" i="8"/>
  <c r="I39" i="8"/>
  <c r="J39" i="8"/>
  <c r="J101" i="8"/>
  <c r="I101" i="8"/>
  <c r="J83" i="8"/>
  <c r="I83" i="8"/>
  <c r="J109" i="8"/>
  <c r="I109" i="8"/>
  <c r="I91" i="8"/>
  <c r="J91" i="8"/>
  <c r="I55" i="8"/>
  <c r="J55" i="8"/>
  <c r="I82" i="8"/>
  <c r="J82" i="8"/>
  <c r="I107" i="8"/>
  <c r="J107" i="8"/>
  <c r="I89" i="8"/>
  <c r="J89" i="8"/>
  <c r="I71" i="8"/>
  <c r="J71" i="8"/>
  <c r="J53" i="8"/>
  <c r="I53" i="8"/>
  <c r="J88" i="8"/>
  <c r="I88" i="8"/>
  <c r="I115" i="8"/>
  <c r="J115" i="8"/>
  <c r="I79" i="8"/>
  <c r="J79" i="8"/>
  <c r="I114" i="8"/>
  <c r="J114" i="8"/>
  <c r="I96" i="8"/>
  <c r="J96" i="8"/>
  <c r="I60" i="8"/>
  <c r="J60" i="8"/>
  <c r="I42" i="8"/>
  <c r="J42" i="8"/>
  <c r="I104" i="8"/>
  <c r="J104" i="8"/>
  <c r="J77" i="8"/>
  <c r="I77" i="8"/>
  <c r="I59" i="8"/>
  <c r="J59" i="8"/>
  <c r="I95" i="8"/>
  <c r="J95" i="8"/>
  <c r="J68" i="8"/>
  <c r="J43" i="8"/>
  <c r="I52" i="8"/>
  <c r="J90" i="8"/>
  <c r="J97" i="8"/>
  <c r="J73" i="8"/>
  <c r="J57" i="8"/>
  <c r="J41" i="8"/>
  <c r="I106" i="8"/>
  <c r="I65" i="8"/>
  <c r="J78" i="8"/>
  <c r="J54" i="8"/>
  <c r="J46" i="8"/>
  <c r="I44" i="8"/>
  <c r="J44" i="8"/>
  <c r="I103" i="8"/>
  <c r="J103" i="8"/>
  <c r="I85" i="8"/>
  <c r="J85" i="8"/>
  <c r="I67" i="8"/>
  <c r="J67" i="8"/>
  <c r="I49" i="8"/>
  <c r="J49" i="8"/>
  <c r="I98" i="8"/>
  <c r="J98" i="8"/>
  <c r="I80" i="8"/>
  <c r="J80" i="8"/>
  <c r="I62" i="8"/>
  <c r="J62" i="8"/>
  <c r="I110" i="8"/>
  <c r="J110" i="8"/>
  <c r="I92" i="8"/>
  <c r="J92" i="8"/>
  <c r="I74" i="8"/>
  <c r="J74" i="8"/>
  <c r="I56" i="8"/>
  <c r="J56" i="8"/>
  <c r="I38" i="8"/>
  <c r="J38" i="8"/>
  <c r="I105" i="8"/>
  <c r="J105" i="8"/>
  <c r="I87" i="8"/>
  <c r="J87" i="8"/>
  <c r="I69" i="8"/>
  <c r="J69" i="8"/>
  <c r="I51" i="8"/>
  <c r="J51" i="8"/>
  <c r="J99" i="8"/>
  <c r="J81" i="8"/>
  <c r="J63" i="8"/>
  <c r="J45" i="8"/>
  <c r="J112" i="8"/>
  <c r="J94" i="8"/>
  <c r="J76" i="8"/>
  <c r="J58" i="8"/>
  <c r="J40" i="8"/>
  <c r="H36" i="8"/>
  <c r="L70" i="7"/>
  <c r="J70" i="17" s="1"/>
  <c r="L114" i="7"/>
  <c r="J114" i="17" s="1"/>
  <c r="L84" i="7"/>
  <c r="J84" i="17" s="1"/>
  <c r="L106" i="7"/>
  <c r="L92" i="7"/>
  <c r="L58" i="7"/>
  <c r="L52" i="7"/>
  <c r="L94" i="7"/>
  <c r="L45" i="7"/>
  <c r="L88" i="7"/>
  <c r="L42" i="7"/>
  <c r="L81" i="7"/>
  <c r="L40" i="7"/>
  <c r="L67" i="7"/>
  <c r="L110" i="7"/>
  <c r="L103" i="7"/>
  <c r="L80" i="7"/>
  <c r="L79" i="7"/>
  <c r="L36" i="7"/>
  <c r="J36" i="17" s="1"/>
  <c r="L112" i="7"/>
  <c r="L66" i="7"/>
  <c r="L38" i="7"/>
  <c r="L76" i="7"/>
  <c r="L72" i="7"/>
  <c r="L86" i="7"/>
  <c r="L78" i="7"/>
  <c r="L56" i="7"/>
  <c r="L96" i="7"/>
  <c r="L77" i="7"/>
  <c r="L98" i="7"/>
  <c r="L68" i="7"/>
  <c r="L104" i="7"/>
  <c r="L62" i="7"/>
  <c r="L41" i="7"/>
  <c r="L64" i="7"/>
  <c r="L50" i="7"/>
  <c r="L102" i="7"/>
  <c r="L100" i="7"/>
  <c r="M48" i="7"/>
  <c r="N48" i="7"/>
  <c r="N76" i="7"/>
  <c r="M74" i="7"/>
  <c r="N74" i="7"/>
  <c r="M54" i="7"/>
  <c r="N54" i="7"/>
  <c r="M114" i="7"/>
  <c r="N114" i="7"/>
  <c r="M84" i="7"/>
  <c r="N84" i="7"/>
  <c r="M60" i="7"/>
  <c r="N60" i="7"/>
  <c r="M90" i="7"/>
  <c r="N90" i="7"/>
  <c r="M70" i="7"/>
  <c r="N70" i="7"/>
  <c r="N92" i="7"/>
  <c r="M108" i="7"/>
  <c r="N108" i="7"/>
  <c r="M36" i="7"/>
  <c r="N36" i="7"/>
  <c r="M82" i="7"/>
  <c r="N82" i="7"/>
  <c r="J99" i="7"/>
  <c r="L99" i="7" s="1"/>
  <c r="J99" i="17" s="1"/>
  <c r="J63" i="7"/>
  <c r="L63" i="7" s="1"/>
  <c r="J63" i="17" s="1"/>
  <c r="J85" i="7"/>
  <c r="L85" i="7" s="1"/>
  <c r="J85" i="17" s="1"/>
  <c r="J49" i="7"/>
  <c r="L49" i="7" s="1"/>
  <c r="J49" i="17" s="1"/>
  <c r="N43" i="7"/>
  <c r="J107" i="7"/>
  <c r="L107" i="7" s="1"/>
  <c r="J107" i="17" s="1"/>
  <c r="J71" i="7"/>
  <c r="L71" i="7" s="1"/>
  <c r="J71" i="17" s="1"/>
  <c r="J93" i="7"/>
  <c r="L93" i="7" s="1"/>
  <c r="J93" i="17" s="1"/>
  <c r="J57" i="7"/>
  <c r="L57" i="7" s="1"/>
  <c r="J57" i="17" s="1"/>
  <c r="J53" i="7"/>
  <c r="L53" i="7" s="1"/>
  <c r="J53" i="17" s="1"/>
  <c r="J101" i="7"/>
  <c r="L101" i="7" s="1"/>
  <c r="J101" i="17" s="1"/>
  <c r="J109" i="7"/>
  <c r="L109" i="7" s="1"/>
  <c r="J109" i="17" s="1"/>
  <c r="J73" i="7"/>
  <c r="L73" i="7" s="1"/>
  <c r="J73" i="17" s="1"/>
  <c r="J37" i="7"/>
  <c r="L37" i="7" s="1"/>
  <c r="J37" i="17" s="1"/>
  <c r="M46" i="7"/>
  <c r="N46" i="7"/>
  <c r="J65" i="7"/>
  <c r="L65" i="7" s="1"/>
  <c r="J65" i="17" s="1"/>
  <c r="J87" i="7"/>
  <c r="L87" i="7" s="1"/>
  <c r="J87" i="17" s="1"/>
  <c r="J51" i="7"/>
  <c r="L51" i="7" s="1"/>
  <c r="J51" i="17" s="1"/>
  <c r="J95" i="7"/>
  <c r="L95" i="7" s="1"/>
  <c r="J95" i="17" s="1"/>
  <c r="J59" i="7"/>
  <c r="L59" i="7" s="1"/>
  <c r="J59" i="17" s="1"/>
  <c r="J89" i="7"/>
  <c r="L89" i="7" s="1"/>
  <c r="J89" i="17" s="1"/>
  <c r="M58" i="7"/>
  <c r="J111" i="7"/>
  <c r="L111" i="7" s="1"/>
  <c r="J111" i="17" s="1"/>
  <c r="J75" i="7"/>
  <c r="L75" i="7" s="1"/>
  <c r="J75" i="17" s="1"/>
  <c r="M44" i="7"/>
  <c r="N44" i="7"/>
  <c r="J39" i="7"/>
  <c r="L39" i="7" s="1"/>
  <c r="J39" i="17" s="1"/>
  <c r="J97" i="7"/>
  <c r="L97" i="7" s="1"/>
  <c r="J97" i="17" s="1"/>
  <c r="J61" i="7"/>
  <c r="L61" i="7" s="1"/>
  <c r="J61" i="17" s="1"/>
  <c r="J83" i="7"/>
  <c r="L83" i="7" s="1"/>
  <c r="J83" i="17" s="1"/>
  <c r="J47" i="7"/>
  <c r="L47" i="7" s="1"/>
  <c r="J47" i="17" s="1"/>
  <c r="J105" i="7"/>
  <c r="L105" i="7" s="1"/>
  <c r="J105" i="17" s="1"/>
  <c r="J69" i="7"/>
  <c r="L69" i="7" s="1"/>
  <c r="J69" i="17" s="1"/>
  <c r="J113" i="7"/>
  <c r="L113" i="7" s="1"/>
  <c r="J113" i="17" s="1"/>
  <c r="J91" i="7"/>
  <c r="L91" i="7" s="1"/>
  <c r="J91" i="17" s="1"/>
  <c r="J55" i="7"/>
  <c r="L55" i="7" s="1"/>
  <c r="J55" i="17" s="1"/>
  <c r="L35" i="7"/>
  <c r="N39" i="6"/>
  <c r="S46" i="17"/>
  <c r="S44" i="17"/>
  <c r="I28" i="11"/>
  <c r="I34" i="11"/>
  <c r="J22" i="11"/>
  <c r="I18" i="14"/>
  <c r="I24" i="14"/>
  <c r="I30" i="14"/>
  <c r="I19" i="14"/>
  <c r="I25" i="14"/>
  <c r="I31" i="14"/>
  <c r="I21" i="14"/>
  <c r="I27" i="14"/>
  <c r="I33" i="14"/>
  <c r="I16" i="14"/>
  <c r="I22" i="14"/>
  <c r="I28" i="14"/>
  <c r="I34" i="14"/>
  <c r="N19" i="13"/>
  <c r="M19" i="13"/>
  <c r="N21" i="13"/>
  <c r="M21" i="13"/>
  <c r="N22" i="13"/>
  <c r="M22" i="13"/>
  <c r="N23" i="13"/>
  <c r="M23" i="13"/>
  <c r="N24" i="13"/>
  <c r="M24" i="13"/>
  <c r="N25" i="13"/>
  <c r="M25" i="13"/>
  <c r="N26" i="13"/>
  <c r="M26" i="13"/>
  <c r="N27" i="13"/>
  <c r="M27" i="13"/>
  <c r="N28" i="13"/>
  <c r="M28" i="13"/>
  <c r="N15" i="13"/>
  <c r="M15" i="13"/>
  <c r="N16" i="13"/>
  <c r="M16" i="13"/>
  <c r="N17" i="13"/>
  <c r="M17" i="13"/>
  <c r="N33" i="13"/>
  <c r="M33" i="13"/>
  <c r="N30" i="13"/>
  <c r="M30" i="13"/>
  <c r="N31" i="13"/>
  <c r="M31" i="13"/>
  <c r="N32" i="13"/>
  <c r="M32" i="13"/>
  <c r="N18" i="13"/>
  <c r="M18" i="13"/>
  <c r="N34" i="13"/>
  <c r="M34" i="13"/>
  <c r="M20" i="13"/>
  <c r="M29" i="13"/>
  <c r="I21" i="12"/>
  <c r="I27" i="12"/>
  <c r="I33" i="12"/>
  <c r="I16" i="12"/>
  <c r="I22" i="12"/>
  <c r="I28" i="12"/>
  <c r="I18" i="12"/>
  <c r="I24" i="12"/>
  <c r="I30" i="12"/>
  <c r="I19" i="12"/>
  <c r="I25" i="12"/>
  <c r="I31" i="12"/>
  <c r="I20" i="12"/>
  <c r="I26" i="12"/>
  <c r="I32" i="12"/>
  <c r="I17" i="12"/>
  <c r="I23" i="12"/>
  <c r="I29" i="12"/>
  <c r="I35" i="12"/>
  <c r="I19" i="11"/>
  <c r="I25" i="11"/>
  <c r="I31" i="11"/>
  <c r="I20" i="11"/>
  <c r="I26" i="11"/>
  <c r="I32" i="11"/>
  <c r="I21" i="11"/>
  <c r="I27" i="11"/>
  <c r="I33" i="11"/>
  <c r="I35" i="11"/>
  <c r="I17" i="11"/>
  <c r="I23" i="11"/>
  <c r="I29" i="11"/>
  <c r="I18" i="11"/>
  <c r="I24" i="11"/>
  <c r="I30" i="11"/>
  <c r="I36" i="11"/>
  <c r="I18" i="10"/>
  <c r="I24" i="10"/>
  <c r="I31" i="10"/>
  <c r="J19" i="10"/>
  <c r="I20" i="10"/>
  <c r="I26" i="10"/>
  <c r="J32" i="10"/>
  <c r="I21" i="10"/>
  <c r="I33" i="10"/>
  <c r="I16" i="10"/>
  <c r="I34" i="10"/>
  <c r="J22" i="10"/>
  <c r="J28" i="10"/>
  <c r="I17" i="10"/>
  <c r="I23" i="10"/>
  <c r="I29" i="10"/>
  <c r="I35" i="10"/>
  <c r="I30" i="10"/>
  <c r="I25" i="10"/>
  <c r="I27" i="10"/>
  <c r="I16" i="9"/>
  <c r="I22" i="9"/>
  <c r="I28" i="9"/>
  <c r="I34" i="9"/>
  <c r="I17" i="9"/>
  <c r="I23" i="9"/>
  <c r="I29" i="9"/>
  <c r="I35" i="9"/>
  <c r="I18" i="9"/>
  <c r="I24" i="9"/>
  <c r="I30" i="9"/>
  <c r="I19" i="9"/>
  <c r="I25" i="9"/>
  <c r="I31" i="9"/>
  <c r="I20" i="9"/>
  <c r="I26" i="9"/>
  <c r="I32" i="9"/>
  <c r="I18" i="8"/>
  <c r="I24" i="8"/>
  <c r="I30" i="8"/>
  <c r="I19" i="8"/>
  <c r="I25" i="8"/>
  <c r="I31" i="8"/>
  <c r="I20" i="8"/>
  <c r="I26" i="8"/>
  <c r="I32" i="8"/>
  <c r="I21" i="8"/>
  <c r="I27" i="8"/>
  <c r="I33" i="8"/>
  <c r="I16" i="8"/>
  <c r="I22" i="8"/>
  <c r="I28" i="8"/>
  <c r="I34" i="8"/>
  <c r="I17" i="8"/>
  <c r="I23" i="8"/>
  <c r="I29" i="8"/>
  <c r="I35" i="8"/>
  <c r="N22" i="7"/>
  <c r="M22" i="7"/>
  <c r="N23" i="7"/>
  <c r="M23" i="7"/>
  <c r="M24" i="7"/>
  <c r="N24" i="7"/>
  <c r="N25" i="7"/>
  <c r="M25" i="7"/>
  <c r="N26" i="7"/>
  <c r="M26" i="7"/>
  <c r="N27" i="7"/>
  <c r="M27" i="7"/>
  <c r="N28" i="7"/>
  <c r="M28" i="7"/>
  <c r="M29" i="7"/>
  <c r="N29" i="7"/>
  <c r="M15" i="7"/>
  <c r="N15" i="7"/>
  <c r="N16" i="7"/>
  <c r="M16" i="7"/>
  <c r="N17" i="7"/>
  <c r="M17" i="7"/>
  <c r="N18" i="7"/>
  <c r="M18" i="7"/>
  <c r="N19" i="7"/>
  <c r="M19" i="7"/>
  <c r="N31" i="7"/>
  <c r="M31" i="7"/>
  <c r="N20" i="7"/>
  <c r="M20" i="7"/>
  <c r="N32" i="7"/>
  <c r="M32" i="7"/>
  <c r="N33" i="7"/>
  <c r="M33" i="7"/>
  <c r="N34" i="7"/>
  <c r="M34" i="7"/>
  <c r="M15" i="6"/>
  <c r="N15" i="6"/>
  <c r="N16" i="6"/>
  <c r="M16" i="6"/>
  <c r="N30" i="6"/>
  <c r="M30" i="6"/>
  <c r="N17" i="6"/>
  <c r="M17" i="6"/>
  <c r="N31" i="6"/>
  <c r="M31" i="6"/>
  <c r="N18" i="6"/>
  <c r="M18" i="6"/>
  <c r="N32" i="6"/>
  <c r="M32" i="6"/>
  <c r="M33" i="6"/>
  <c r="N33" i="6"/>
  <c r="N34" i="6"/>
  <c r="M34" i="6"/>
  <c r="N21" i="6"/>
  <c r="M21" i="6"/>
  <c r="N22" i="6"/>
  <c r="M22" i="6"/>
  <c r="N23" i="6"/>
  <c r="M23" i="6"/>
  <c r="M24" i="6"/>
  <c r="N24" i="6"/>
  <c r="N25" i="6"/>
  <c r="M25" i="6"/>
  <c r="N26" i="6"/>
  <c r="M26" i="6"/>
  <c r="N27" i="6"/>
  <c r="M27" i="6"/>
  <c r="M29" i="6"/>
  <c r="N20" i="6"/>
  <c r="M19" i="6"/>
  <c r="M28" i="6"/>
  <c r="N16" i="5"/>
  <c r="M16" i="5"/>
  <c r="S16" i="17" s="1"/>
  <c r="N34" i="5"/>
  <c r="M34" i="5"/>
  <c r="N17" i="5"/>
  <c r="M17" i="5"/>
  <c r="N18" i="5"/>
  <c r="M18" i="5"/>
  <c r="S18" i="17" s="1"/>
  <c r="N19" i="5"/>
  <c r="M19" i="5"/>
  <c r="N20" i="5"/>
  <c r="M20" i="5"/>
  <c r="N21" i="5"/>
  <c r="M21" i="5"/>
  <c r="N22" i="5"/>
  <c r="M22" i="5"/>
  <c r="S22" i="17" s="1"/>
  <c r="N23" i="5"/>
  <c r="M23" i="5"/>
  <c r="N24" i="5"/>
  <c r="M24" i="5"/>
  <c r="S24" i="17" s="1"/>
  <c r="N25" i="5"/>
  <c r="M25" i="5"/>
  <c r="N26" i="5"/>
  <c r="M26" i="5"/>
  <c r="N27" i="5"/>
  <c r="M27" i="5"/>
  <c r="N28" i="5"/>
  <c r="M28" i="5"/>
  <c r="N29" i="5"/>
  <c r="M29" i="5"/>
  <c r="N30" i="5"/>
  <c r="M30" i="5"/>
  <c r="S30" i="17" s="1"/>
  <c r="N31" i="5"/>
  <c r="M31" i="5"/>
  <c r="S31" i="17" s="1"/>
  <c r="N32" i="5"/>
  <c r="M32" i="5"/>
  <c r="S32" i="17" s="1"/>
  <c r="N15" i="5"/>
  <c r="M15" i="5"/>
  <c r="S15" i="17" s="1"/>
  <c r="N33" i="5"/>
  <c r="M33" i="5"/>
  <c r="M30" i="1"/>
  <c r="M15" i="1"/>
  <c r="M31" i="1"/>
  <c r="M16" i="1"/>
  <c r="M32" i="1"/>
  <c r="M17" i="1"/>
  <c r="M33" i="1"/>
  <c r="M18" i="1"/>
  <c r="M34" i="1"/>
  <c r="M20" i="1"/>
  <c r="M21" i="1"/>
  <c r="M22" i="1"/>
  <c r="M23" i="1"/>
  <c r="M24" i="1"/>
  <c r="M25" i="1"/>
  <c r="M26" i="1"/>
  <c r="M27" i="1"/>
  <c r="M29" i="1"/>
  <c r="S34" i="17"/>
  <c r="S19" i="17"/>
  <c r="S25" i="17"/>
  <c r="S26" i="17"/>
  <c r="S27" i="17"/>
  <c r="S23" i="17"/>
  <c r="S20" i="17"/>
  <c r="Q34" i="17" l="1"/>
  <c r="R34" i="17" s="1"/>
  <c r="T34" i="17" s="1"/>
  <c r="Q33" i="17"/>
  <c r="R33" i="17" s="1"/>
  <c r="T33" i="17" s="1"/>
  <c r="Q32" i="17"/>
  <c r="R32" i="17" s="1"/>
  <c r="T32" i="17" s="1"/>
  <c r="Q29" i="17"/>
  <c r="R29" i="17" s="1"/>
  <c r="T29" i="17" s="1"/>
  <c r="Q26" i="17"/>
  <c r="R26" i="17" s="1"/>
  <c r="T26" i="17" s="1"/>
  <c r="Q24" i="17"/>
  <c r="R24" i="17" s="1"/>
  <c r="T24" i="17" s="1"/>
  <c r="Q15" i="17"/>
  <c r="R15" i="17" s="1"/>
  <c r="T15" i="17" s="1"/>
  <c r="Q27" i="17"/>
  <c r="R27" i="17" s="1"/>
  <c r="T27" i="17" s="1"/>
  <c r="Q21" i="17"/>
  <c r="R21" i="17" s="1"/>
  <c r="T21" i="17" s="1"/>
  <c r="Q61" i="17"/>
  <c r="R61" i="17" s="1"/>
  <c r="T61" i="17" s="1"/>
  <c r="Q93" i="17"/>
  <c r="R93" i="17" s="1"/>
  <c r="T93" i="17" s="1"/>
  <c r="Q75" i="17"/>
  <c r="R75" i="17" s="1"/>
  <c r="T75" i="17" s="1"/>
  <c r="Q73" i="17"/>
  <c r="R73" i="17" s="1"/>
  <c r="T73" i="17" s="1"/>
  <c r="Q37" i="17"/>
  <c r="R37" i="17" s="1"/>
  <c r="T37" i="17" s="1"/>
  <c r="Q83" i="17"/>
  <c r="R83" i="17" s="1"/>
  <c r="T83" i="17" s="1"/>
  <c r="Q109" i="17"/>
  <c r="R109" i="17" s="1"/>
  <c r="T109" i="17" s="1"/>
  <c r="Q91" i="17"/>
  <c r="R91" i="17" s="1"/>
  <c r="T91" i="17" s="1"/>
  <c r="Q25" i="17"/>
  <c r="R25" i="17" s="1"/>
  <c r="T25" i="17" s="1"/>
  <c r="Q47" i="17"/>
  <c r="R47" i="17" s="1"/>
  <c r="T47" i="17" s="1"/>
  <c r="Q107" i="17"/>
  <c r="R107" i="17" s="1"/>
  <c r="T107" i="17" s="1"/>
  <c r="Q99" i="17"/>
  <c r="R99" i="17" s="1"/>
  <c r="T99" i="17" s="1"/>
  <c r="Q71" i="17"/>
  <c r="R71" i="17" s="1"/>
  <c r="T71" i="17" s="1"/>
  <c r="Q16" i="17"/>
  <c r="R16" i="17" s="1"/>
  <c r="T16" i="17" s="1"/>
  <c r="Q65" i="17"/>
  <c r="R65" i="17" s="1"/>
  <c r="T65" i="17" s="1"/>
  <c r="Q22" i="17"/>
  <c r="R22" i="17" s="1"/>
  <c r="T22" i="17" s="1"/>
  <c r="Q81" i="17"/>
  <c r="Q18" i="17"/>
  <c r="R18" i="17" s="1"/>
  <c r="T18" i="17" s="1"/>
  <c r="Q31" i="17"/>
  <c r="R31" i="17" s="1"/>
  <c r="T31" i="17" s="1"/>
  <c r="Q89" i="17"/>
  <c r="R89" i="17" s="1"/>
  <c r="T89" i="17" s="1"/>
  <c r="Q43" i="17"/>
  <c r="R43" i="17" s="1"/>
  <c r="T43" i="17" s="1"/>
  <c r="Q53" i="17"/>
  <c r="R53" i="17" s="1"/>
  <c r="T53" i="17" s="1"/>
  <c r="Q44" i="17"/>
  <c r="R44" i="17" s="1"/>
  <c r="T44" i="17" s="1"/>
  <c r="Q28" i="17"/>
  <c r="R28" i="17" s="1"/>
  <c r="T28" i="17" s="1"/>
  <c r="Q55" i="17"/>
  <c r="R55" i="17" s="1"/>
  <c r="T55" i="17" s="1"/>
  <c r="Q19" i="17"/>
  <c r="R19" i="17" s="1"/>
  <c r="T19" i="17" s="1"/>
  <c r="Q20" i="17"/>
  <c r="R20" i="17" s="1"/>
  <c r="T20" i="17" s="1"/>
  <c r="Q23" i="17"/>
  <c r="R23" i="17" s="1"/>
  <c r="T23" i="17" s="1"/>
  <c r="Q97" i="17"/>
  <c r="R97" i="17" s="1"/>
  <c r="T97" i="17" s="1"/>
  <c r="Q17" i="17"/>
  <c r="R17" i="17" s="1"/>
  <c r="T17" i="17" s="1"/>
  <c r="Q46" i="17"/>
  <c r="R46" i="17" s="1"/>
  <c r="T46" i="17" s="1"/>
  <c r="G20" i="22"/>
  <c r="J20" i="22" s="1"/>
  <c r="Q30" i="17"/>
  <c r="R30" i="17" s="1"/>
  <c r="T30" i="17" s="1"/>
  <c r="G34" i="22"/>
  <c r="J34" i="22" s="1"/>
  <c r="I23" i="22"/>
  <c r="G23" i="22"/>
  <c r="J23" i="22" s="1"/>
  <c r="M17" i="10"/>
  <c r="M16" i="10"/>
  <c r="G22" i="22"/>
  <c r="J22" i="22" s="1"/>
  <c r="I22" i="22"/>
  <c r="G21" i="22"/>
  <c r="J21" i="22" s="1"/>
  <c r="Q17" i="4"/>
  <c r="M17" i="9"/>
  <c r="M16" i="9"/>
  <c r="Q17" i="6"/>
  <c r="Q16" i="6"/>
  <c r="Q18" i="5"/>
  <c r="Q17" i="5"/>
  <c r="P17" i="1"/>
  <c r="P16" i="1"/>
  <c r="N35" i="7"/>
  <c r="J35" i="17"/>
  <c r="G24" i="22" s="1"/>
  <c r="J24" i="22" s="1"/>
  <c r="M100" i="7"/>
  <c r="J100" i="17"/>
  <c r="Q100" i="17" s="1"/>
  <c r="R100" i="17" s="1"/>
  <c r="T100" i="17" s="1"/>
  <c r="M102" i="7"/>
  <c r="S102" i="17" s="1"/>
  <c r="J102" i="17"/>
  <c r="M50" i="7"/>
  <c r="S50" i="17" s="1"/>
  <c r="J50" i="17"/>
  <c r="Q50" i="17" s="1"/>
  <c r="R50" i="17" s="1"/>
  <c r="T50" i="17" s="1"/>
  <c r="M64" i="7"/>
  <c r="J64" i="17"/>
  <c r="M41" i="7"/>
  <c r="S41" i="17" s="1"/>
  <c r="J41" i="17"/>
  <c r="Q41" i="17" s="1"/>
  <c r="M62" i="7"/>
  <c r="J62" i="17"/>
  <c r="Q62" i="17" s="1"/>
  <c r="N104" i="7"/>
  <c r="J104" i="17"/>
  <c r="Q104" i="17" s="1"/>
  <c r="R104" i="17" s="1"/>
  <c r="T104" i="17" s="1"/>
  <c r="M68" i="7"/>
  <c r="S68" i="17" s="1"/>
  <c r="J68" i="17"/>
  <c r="Q68" i="17" s="1"/>
  <c r="N98" i="7"/>
  <c r="J98" i="17"/>
  <c r="Q98" i="17" s="1"/>
  <c r="R98" i="17" s="1"/>
  <c r="T98" i="17" s="1"/>
  <c r="M77" i="7"/>
  <c r="J77" i="17"/>
  <c r="M96" i="7"/>
  <c r="J96" i="17"/>
  <c r="Q96" i="17" s="1"/>
  <c r="N56" i="7"/>
  <c r="J56" i="17"/>
  <c r="M78" i="7"/>
  <c r="J78" i="17"/>
  <c r="Q78" i="17" s="1"/>
  <c r="M86" i="7"/>
  <c r="S86" i="17" s="1"/>
  <c r="J86" i="17"/>
  <c r="Q86" i="17" s="1"/>
  <c r="M72" i="7"/>
  <c r="J72" i="17"/>
  <c r="M76" i="7"/>
  <c r="J76" i="17"/>
  <c r="N38" i="7"/>
  <c r="J38" i="17"/>
  <c r="M66" i="7"/>
  <c r="J66" i="17"/>
  <c r="M112" i="7"/>
  <c r="J112" i="17"/>
  <c r="Q112" i="17" s="1"/>
  <c r="M79" i="7"/>
  <c r="J79" i="17"/>
  <c r="N80" i="7"/>
  <c r="J80" i="17"/>
  <c r="Q80" i="17" s="1"/>
  <c r="R80" i="17" s="1"/>
  <c r="T80" i="17" s="1"/>
  <c r="M103" i="7"/>
  <c r="J103" i="17"/>
  <c r="M110" i="7"/>
  <c r="J110" i="17"/>
  <c r="M67" i="7"/>
  <c r="J67" i="17"/>
  <c r="N40" i="7"/>
  <c r="J40" i="17"/>
  <c r="Q40" i="17" s="1"/>
  <c r="M81" i="7"/>
  <c r="J81" i="17"/>
  <c r="M42" i="7"/>
  <c r="J42" i="17"/>
  <c r="M88" i="7"/>
  <c r="J88" i="17"/>
  <c r="M45" i="7"/>
  <c r="J45" i="17"/>
  <c r="N94" i="7"/>
  <c r="J94" i="17"/>
  <c r="Q94" i="17" s="1"/>
  <c r="M52" i="7"/>
  <c r="J52" i="17"/>
  <c r="Q52" i="17" s="1"/>
  <c r="R52" i="17" s="1"/>
  <c r="T52" i="17" s="1"/>
  <c r="N58" i="7"/>
  <c r="J58" i="17"/>
  <c r="Q58" i="17" s="1"/>
  <c r="M92" i="7"/>
  <c r="J92" i="17"/>
  <c r="Q92" i="17" s="1"/>
  <c r="R92" i="17" s="1"/>
  <c r="T92" i="17" s="1"/>
  <c r="N106" i="7"/>
  <c r="J106" i="17"/>
  <c r="Q106" i="17" s="1"/>
  <c r="I36" i="8"/>
  <c r="K35" i="17"/>
  <c r="G25" i="22" s="1"/>
  <c r="J25" i="22" s="1"/>
  <c r="I37" i="11"/>
  <c r="N35" i="17"/>
  <c r="G28" i="22" s="1"/>
  <c r="J28" i="22" s="1"/>
  <c r="J53" i="11"/>
  <c r="N51" i="17"/>
  <c r="Q51" i="17" s="1"/>
  <c r="I71" i="11"/>
  <c r="N69" i="17"/>
  <c r="Q69" i="17" s="1"/>
  <c r="J89" i="11"/>
  <c r="N87" i="17"/>
  <c r="I110" i="11"/>
  <c r="N108" i="17"/>
  <c r="J51" i="11"/>
  <c r="N49" i="17"/>
  <c r="Q49" i="17" s="1"/>
  <c r="R49" i="17" s="1"/>
  <c r="T49" i="17" s="1"/>
  <c r="I69" i="11"/>
  <c r="N67" i="17"/>
  <c r="I87" i="11"/>
  <c r="N85" i="17"/>
  <c r="Q85" i="17" s="1"/>
  <c r="R85" i="17" s="1"/>
  <c r="T85" i="17" s="1"/>
  <c r="J105" i="11"/>
  <c r="N103" i="17"/>
  <c r="J40" i="11"/>
  <c r="N38" i="17"/>
  <c r="I58" i="11"/>
  <c r="N56" i="17"/>
  <c r="J76" i="11"/>
  <c r="N74" i="17"/>
  <c r="Q74" i="17" s="1"/>
  <c r="R74" i="17" s="1"/>
  <c r="T74" i="17" s="1"/>
  <c r="I94" i="11"/>
  <c r="N92" i="17"/>
  <c r="J112" i="11"/>
  <c r="N110" i="17"/>
  <c r="J74" i="11"/>
  <c r="N72" i="17"/>
  <c r="I107" i="11"/>
  <c r="N105" i="17"/>
  <c r="J38" i="11"/>
  <c r="N36" i="17"/>
  <c r="J56" i="11"/>
  <c r="N54" i="17"/>
  <c r="I104" i="11"/>
  <c r="N102" i="17"/>
  <c r="J86" i="11"/>
  <c r="S84" i="17" s="1"/>
  <c r="N84" i="17"/>
  <c r="Q84" i="17" s="1"/>
  <c r="J68" i="11"/>
  <c r="N66" i="17"/>
  <c r="Q66" i="17" s="1"/>
  <c r="I43" i="11"/>
  <c r="N41" i="17"/>
  <c r="I78" i="11"/>
  <c r="N76" i="17"/>
  <c r="I103" i="11"/>
  <c r="N101" i="17"/>
  <c r="Q101" i="17" s="1"/>
  <c r="J72" i="11"/>
  <c r="S70" i="17" s="1"/>
  <c r="N70" i="17"/>
  <c r="Q70" i="17" s="1"/>
  <c r="I65" i="11"/>
  <c r="N63" i="17"/>
  <c r="Q63" i="17" s="1"/>
  <c r="J62" i="11"/>
  <c r="N60" i="17"/>
  <c r="J84" i="11"/>
  <c r="N82" i="17"/>
  <c r="Q82" i="17" s="1"/>
  <c r="R82" i="17" s="1"/>
  <c r="T82" i="17" s="1"/>
  <c r="J50" i="11"/>
  <c r="S48" i="17" s="1"/>
  <c r="N48" i="17"/>
  <c r="Q48" i="17" s="1"/>
  <c r="I47" i="11"/>
  <c r="N45" i="17"/>
  <c r="J75" i="11"/>
  <c r="N73" i="17"/>
  <c r="J44" i="11"/>
  <c r="N42" i="17"/>
  <c r="Q42" i="17" s="1"/>
  <c r="I116" i="11"/>
  <c r="N114" i="17"/>
  <c r="Q114" i="17" s="1"/>
  <c r="I41" i="11"/>
  <c r="N39" i="17"/>
  <c r="I100" i="11"/>
  <c r="N98" i="17"/>
  <c r="J66" i="11"/>
  <c r="N64" i="17"/>
  <c r="I36" i="12"/>
  <c r="O35" i="17"/>
  <c r="G29" i="22" s="1"/>
  <c r="I75" i="12"/>
  <c r="O74" i="17"/>
  <c r="I40" i="12"/>
  <c r="O39" i="17"/>
  <c r="I88" i="12"/>
  <c r="O87" i="17"/>
  <c r="I37" i="12"/>
  <c r="O36" i="17"/>
  <c r="J112" i="12"/>
  <c r="O111" i="17"/>
  <c r="Q111" i="17" s="1"/>
  <c r="J55" i="12"/>
  <c r="O54" i="17"/>
  <c r="I78" i="12"/>
  <c r="O77" i="17"/>
  <c r="I52" i="12"/>
  <c r="O51" i="17"/>
  <c r="J111" i="12"/>
  <c r="O110" i="17"/>
  <c r="I60" i="12"/>
  <c r="O59" i="17"/>
  <c r="Q59" i="17" s="1"/>
  <c r="I89" i="12"/>
  <c r="O88" i="17"/>
  <c r="I96" i="12"/>
  <c r="O95" i="17"/>
  <c r="Q95" i="17" s="1"/>
  <c r="I91" i="12"/>
  <c r="O90" i="17"/>
  <c r="Q90" i="17" s="1"/>
  <c r="I114" i="12"/>
  <c r="O113" i="17"/>
  <c r="Q113" i="17" s="1"/>
  <c r="I53" i="12"/>
  <c r="O52" i="17"/>
  <c r="J73" i="12"/>
  <c r="O72" i="17"/>
  <c r="J57" i="12"/>
  <c r="O56" i="17"/>
  <c r="J109" i="12"/>
  <c r="O108" i="17"/>
  <c r="I58" i="12"/>
  <c r="O57" i="17"/>
  <c r="Q57" i="17" s="1"/>
  <c r="I106" i="12"/>
  <c r="O105" i="17"/>
  <c r="S54" i="17"/>
  <c r="S58" i="17"/>
  <c r="S72" i="17"/>
  <c r="S90" i="17"/>
  <c r="S110" i="17"/>
  <c r="S112" i="17"/>
  <c r="S60" i="17"/>
  <c r="S62" i="17"/>
  <c r="S64" i="17"/>
  <c r="S78" i="17"/>
  <c r="S79" i="17"/>
  <c r="S81" i="17"/>
  <c r="S82" i="17"/>
  <c r="S96" i="17"/>
  <c r="S100" i="17"/>
  <c r="S29" i="17"/>
  <c r="M39" i="13"/>
  <c r="M66" i="13"/>
  <c r="M88" i="13"/>
  <c r="N93" i="13"/>
  <c r="N75" i="13"/>
  <c r="M108" i="13"/>
  <c r="N51" i="13"/>
  <c r="N52" i="13"/>
  <c r="M76" i="13"/>
  <c r="N49" i="13"/>
  <c r="N89" i="13"/>
  <c r="N104" i="13"/>
  <c r="N95" i="13"/>
  <c r="M91" i="13"/>
  <c r="N84" i="13"/>
  <c r="N100" i="13"/>
  <c r="M113" i="13"/>
  <c r="N92" i="13"/>
  <c r="M43" i="13"/>
  <c r="N72" i="13"/>
  <c r="N45" i="13"/>
  <c r="N62" i="13"/>
  <c r="N63" i="13"/>
  <c r="N55" i="13"/>
  <c r="M74" i="13"/>
  <c r="M112" i="13"/>
  <c r="M67" i="13"/>
  <c r="N85" i="13"/>
  <c r="M69" i="13"/>
  <c r="N42" i="13"/>
  <c r="N82" i="13"/>
  <c r="N114" i="13"/>
  <c r="N44" i="13"/>
  <c r="M86" i="13"/>
  <c r="M110" i="13"/>
  <c r="N65" i="13"/>
  <c r="M40" i="13"/>
  <c r="N60" i="13"/>
  <c r="N77" i="13"/>
  <c r="M64" i="13"/>
  <c r="M53" i="13"/>
  <c r="N111" i="13"/>
  <c r="N83" i="13"/>
  <c r="N78" i="13"/>
  <c r="N107" i="13"/>
  <c r="N103" i="13"/>
  <c r="N71" i="13"/>
  <c r="M56" i="13"/>
  <c r="N80" i="13"/>
  <c r="M38" i="13"/>
  <c r="N38" i="13"/>
  <c r="M90" i="13"/>
  <c r="M59" i="13"/>
  <c r="N68" i="13"/>
  <c r="N101" i="13"/>
  <c r="N109" i="13"/>
  <c r="N37" i="13"/>
  <c r="N50" i="13"/>
  <c r="N36" i="13"/>
  <c r="N41" i="13"/>
  <c r="M47" i="13"/>
  <c r="N47" i="13"/>
  <c r="M35" i="13"/>
  <c r="H34" i="22" s="1"/>
  <c r="N35" i="13"/>
  <c r="I112" i="12"/>
  <c r="J58" i="12"/>
  <c r="J106" i="12"/>
  <c r="J36" i="12"/>
  <c r="I29" i="22" s="1"/>
  <c r="J78" i="12"/>
  <c r="S77" i="17" s="1"/>
  <c r="I57" i="12"/>
  <c r="I109" i="12"/>
  <c r="J52" i="12"/>
  <c r="J114" i="12"/>
  <c r="I73" i="12"/>
  <c r="J60" i="12"/>
  <c r="J37" i="12"/>
  <c r="S36" i="17" s="1"/>
  <c r="J75" i="12"/>
  <c r="S74" i="17" s="1"/>
  <c r="J40" i="12"/>
  <c r="J88" i="12"/>
  <c r="J89" i="12"/>
  <c r="J53" i="12"/>
  <c r="I55" i="12"/>
  <c r="I56" i="11"/>
  <c r="I66" i="11"/>
  <c r="J116" i="11"/>
  <c r="S114" i="17" s="1"/>
  <c r="J110" i="11"/>
  <c r="S108" i="17" s="1"/>
  <c r="I72" i="11"/>
  <c r="J100" i="11"/>
  <c r="I62" i="11"/>
  <c r="J65" i="11"/>
  <c r="I75" i="11"/>
  <c r="I84" i="11"/>
  <c r="I44" i="11"/>
  <c r="I50" i="11"/>
  <c r="J78" i="11"/>
  <c r="S76" i="17" s="1"/>
  <c r="J103" i="11"/>
  <c r="J47" i="11"/>
  <c r="J41" i="11"/>
  <c r="J69" i="11"/>
  <c r="I105" i="11"/>
  <c r="I40" i="11"/>
  <c r="J58" i="11"/>
  <c r="J87" i="11"/>
  <c r="I86" i="11"/>
  <c r="I74" i="11"/>
  <c r="I68" i="11"/>
  <c r="I89" i="11"/>
  <c r="J37" i="11"/>
  <c r="I28" i="22" s="1"/>
  <c r="I76" i="11"/>
  <c r="J94" i="11"/>
  <c r="S92" i="17" s="1"/>
  <c r="I112" i="11"/>
  <c r="J71" i="11"/>
  <c r="I51" i="11"/>
  <c r="J36" i="8"/>
  <c r="I25" i="22" s="1"/>
  <c r="N42" i="7"/>
  <c r="N72" i="7"/>
  <c r="N52" i="7"/>
  <c r="N86" i="7"/>
  <c r="M106" i="7"/>
  <c r="S106" i="17" s="1"/>
  <c r="N45" i="7"/>
  <c r="M104" i="7"/>
  <c r="S104" i="17" s="1"/>
  <c r="N81" i="7"/>
  <c r="N110" i="7"/>
  <c r="M40" i="7"/>
  <c r="S40" i="17" s="1"/>
  <c r="N64" i="7"/>
  <c r="N67" i="7"/>
  <c r="M94" i="7"/>
  <c r="S94" i="17" s="1"/>
  <c r="M80" i="7"/>
  <c r="S80" i="17" s="1"/>
  <c r="N41" i="7"/>
  <c r="N102" i="7"/>
  <c r="M38" i="7"/>
  <c r="S38" i="17" s="1"/>
  <c r="N88" i="7"/>
  <c r="N112" i="7"/>
  <c r="N100" i="7"/>
  <c r="N68" i="7"/>
  <c r="N62" i="7"/>
  <c r="N66" i="7"/>
  <c r="N79" i="7"/>
  <c r="N103" i="7"/>
  <c r="N78" i="7"/>
  <c r="M98" i="7"/>
  <c r="S98" i="17" s="1"/>
  <c r="M56" i="7"/>
  <c r="S56" i="17" s="1"/>
  <c r="N50" i="7"/>
  <c r="M35" i="7"/>
  <c r="N96" i="7"/>
  <c r="N77" i="7"/>
  <c r="M63" i="7"/>
  <c r="S63" i="17" s="1"/>
  <c r="N63" i="7"/>
  <c r="M37" i="7"/>
  <c r="S37" i="17" s="1"/>
  <c r="N37" i="7"/>
  <c r="M75" i="7"/>
  <c r="S75" i="17" s="1"/>
  <c r="N75" i="7"/>
  <c r="M73" i="7"/>
  <c r="S73" i="17" s="1"/>
  <c r="N73" i="7"/>
  <c r="M39" i="7"/>
  <c r="S39" i="17" s="1"/>
  <c r="N39" i="7"/>
  <c r="M111" i="7"/>
  <c r="S111" i="17" s="1"/>
  <c r="N111" i="7"/>
  <c r="M91" i="7"/>
  <c r="S91" i="17" s="1"/>
  <c r="N91" i="7"/>
  <c r="M101" i="7"/>
  <c r="S101" i="17" s="1"/>
  <c r="N101" i="7"/>
  <c r="M53" i="7"/>
  <c r="S53" i="17" s="1"/>
  <c r="N53" i="7"/>
  <c r="M113" i="7"/>
  <c r="S113" i="17" s="1"/>
  <c r="N113" i="7"/>
  <c r="M89" i="7"/>
  <c r="S89" i="17" s="1"/>
  <c r="N89" i="7"/>
  <c r="M99" i="7"/>
  <c r="S99" i="17" s="1"/>
  <c r="N99" i="7"/>
  <c r="M109" i="7"/>
  <c r="S109" i="17" s="1"/>
  <c r="N109" i="7"/>
  <c r="M55" i="7"/>
  <c r="S55" i="17" s="1"/>
  <c r="N55" i="7"/>
  <c r="M69" i="7"/>
  <c r="S69" i="17" s="1"/>
  <c r="N69" i="7"/>
  <c r="M59" i="7"/>
  <c r="S59" i="17" s="1"/>
  <c r="N59" i="7"/>
  <c r="M57" i="7"/>
  <c r="S57" i="17" s="1"/>
  <c r="N57" i="7"/>
  <c r="M95" i="7"/>
  <c r="S95" i="17" s="1"/>
  <c r="N95" i="7"/>
  <c r="M107" i="7"/>
  <c r="S107" i="17" s="1"/>
  <c r="N107" i="7"/>
  <c r="M105" i="7"/>
  <c r="S105" i="17" s="1"/>
  <c r="N105" i="7"/>
  <c r="M71" i="7"/>
  <c r="S71" i="17" s="1"/>
  <c r="N71" i="7"/>
  <c r="M51" i="7"/>
  <c r="S51" i="17" s="1"/>
  <c r="N51" i="7"/>
  <c r="M61" i="7"/>
  <c r="S61" i="17" s="1"/>
  <c r="N61" i="7"/>
  <c r="M65" i="7"/>
  <c r="S65" i="17" s="1"/>
  <c r="N65" i="7"/>
  <c r="M93" i="7"/>
  <c r="S93" i="17" s="1"/>
  <c r="N93" i="7"/>
  <c r="M47" i="7"/>
  <c r="S47" i="17" s="1"/>
  <c r="N47" i="7"/>
  <c r="M83" i="7"/>
  <c r="S83" i="17" s="1"/>
  <c r="N83" i="7"/>
  <c r="M87" i="7"/>
  <c r="S87" i="17" s="1"/>
  <c r="N87" i="7"/>
  <c r="M49" i="7"/>
  <c r="S49" i="17" s="1"/>
  <c r="N49" i="7"/>
  <c r="M97" i="7"/>
  <c r="S97" i="17" s="1"/>
  <c r="N97" i="7"/>
  <c r="M85" i="7"/>
  <c r="S85" i="17" s="1"/>
  <c r="N85" i="7"/>
  <c r="Q77" i="17" l="1"/>
  <c r="R77" i="17" s="1"/>
  <c r="T77" i="17" s="1"/>
  <c r="Q54" i="17"/>
  <c r="R54" i="17" s="1"/>
  <c r="T54" i="17" s="1"/>
  <c r="Q110" i="17"/>
  <c r="R110" i="17" s="1"/>
  <c r="T110" i="17" s="1"/>
  <c r="Q88" i="17"/>
  <c r="R88" i="17" s="1"/>
  <c r="T88" i="17" s="1"/>
  <c r="Q36" i="17"/>
  <c r="R36" i="17" s="1"/>
  <c r="T36" i="17" s="1"/>
  <c r="Q39" i="17"/>
  <c r="R39" i="17" s="1"/>
  <c r="T39" i="17" s="1"/>
  <c r="Q105" i="17"/>
  <c r="R105" i="17" s="1"/>
  <c r="T105" i="17" s="1"/>
  <c r="Q72" i="17"/>
  <c r="R72" i="17" s="1"/>
  <c r="T72" i="17" s="1"/>
  <c r="Q108" i="17"/>
  <c r="R108" i="17" s="1"/>
  <c r="T108" i="17" s="1"/>
  <c r="Q87" i="17"/>
  <c r="Q56" i="17"/>
  <c r="Q76" i="17"/>
  <c r="R76" i="17" s="1"/>
  <c r="T76" i="17" s="1"/>
  <c r="Q38" i="17"/>
  <c r="R38" i="17" s="1"/>
  <c r="T38" i="17" s="1"/>
  <c r="Q67" i="17"/>
  <c r="R67" i="17" s="1"/>
  <c r="T67" i="17" s="1"/>
  <c r="Q103" i="17"/>
  <c r="R103" i="17" s="1"/>
  <c r="T103" i="17" s="1"/>
  <c r="Q64" i="17"/>
  <c r="R64" i="17" s="1"/>
  <c r="T64" i="17" s="1"/>
  <c r="Q60" i="17"/>
  <c r="R60" i="17" s="1"/>
  <c r="T60" i="17" s="1"/>
  <c r="Q45" i="17"/>
  <c r="R45" i="17" s="1"/>
  <c r="T45" i="17" s="1"/>
  <c r="Q102" i="17"/>
  <c r="R102" i="17" s="1"/>
  <c r="T102" i="17" s="1"/>
  <c r="R69" i="17"/>
  <c r="T69" i="17" s="1"/>
  <c r="R66" i="17"/>
  <c r="T66" i="17" s="1"/>
  <c r="Q79" i="17"/>
  <c r="R79" i="17" s="1"/>
  <c r="T79" i="17" s="1"/>
  <c r="R63" i="17"/>
  <c r="T63" i="17" s="1"/>
  <c r="Q35" i="17"/>
  <c r="R35" i="17" s="1"/>
  <c r="T35" i="17" s="1"/>
  <c r="R96" i="17"/>
  <c r="T96" i="17" s="1"/>
  <c r="R58" i="17"/>
  <c r="T58" i="17" s="1"/>
  <c r="R86" i="17"/>
  <c r="T86" i="17" s="1"/>
  <c r="R51" i="17"/>
  <c r="T51" i="17" s="1"/>
  <c r="R81" i="17"/>
  <c r="T81" i="17" s="1"/>
  <c r="R59" i="17"/>
  <c r="T59" i="17" s="1"/>
  <c r="R68" i="17"/>
  <c r="T68" i="17" s="1"/>
  <c r="R48" i="17"/>
  <c r="T48" i="17" s="1"/>
  <c r="R56" i="17"/>
  <c r="T56" i="17" s="1"/>
  <c r="R70" i="17"/>
  <c r="T70" i="17" s="1"/>
  <c r="R90" i="17"/>
  <c r="T90" i="17" s="1"/>
  <c r="R84" i="17"/>
  <c r="T84" i="17" s="1"/>
  <c r="R112" i="17"/>
  <c r="T112" i="17" s="1"/>
  <c r="R95" i="17"/>
  <c r="T95" i="17" s="1"/>
  <c r="R57" i="17"/>
  <c r="T57" i="17" s="1"/>
  <c r="R40" i="17"/>
  <c r="T40" i="17" s="1"/>
  <c r="R62" i="17"/>
  <c r="T62" i="17" s="1"/>
  <c r="R106" i="17"/>
  <c r="T106" i="17" s="1"/>
  <c r="R42" i="17"/>
  <c r="T42" i="17" s="1"/>
  <c r="R78" i="17"/>
  <c r="T78" i="17" s="1"/>
  <c r="R113" i="17"/>
  <c r="T113" i="17" s="1"/>
  <c r="R111" i="17"/>
  <c r="T111" i="17" s="1"/>
  <c r="R114" i="17"/>
  <c r="T114" i="17" s="1"/>
  <c r="R87" i="17"/>
  <c r="T87" i="17" s="1"/>
  <c r="R41" i="17"/>
  <c r="T41" i="17" s="1"/>
  <c r="R94" i="17"/>
  <c r="T94" i="17" s="1"/>
  <c r="R101" i="17"/>
  <c r="T101" i="17" s="1"/>
  <c r="M17" i="11"/>
  <c r="M16" i="11"/>
  <c r="Q14" i="13"/>
  <c r="Q15" i="13"/>
  <c r="M18" i="8"/>
  <c r="M17" i="8"/>
  <c r="S35" i="17"/>
  <c r="I24" i="22"/>
  <c r="I32" i="22" s="1"/>
  <c r="Q17" i="7"/>
  <c r="Q16" i="7"/>
  <c r="J29" i="22"/>
  <c r="G32" i="22"/>
  <c r="M17" i="12"/>
  <c r="M16" i="12"/>
  <c r="S52" i="17"/>
  <c r="S45" i="17"/>
  <c r="S88" i="17"/>
  <c r="S42" i="17"/>
  <c r="S67" i="17"/>
  <c r="S103" i="17"/>
  <c r="S66" i="17"/>
  <c r="J32" i="22" l="1"/>
  <c r="H37" i="22" s="1"/>
  <c r="V15" i="17"/>
  <c r="V18" i="17"/>
</calcChain>
</file>

<file path=xl/sharedStrings.xml><?xml version="1.0" encoding="utf-8"?>
<sst xmlns="http://schemas.openxmlformats.org/spreadsheetml/2006/main" count="2001" uniqueCount="673">
  <si>
    <t>माधव प्रौद्योगिकी एवं विज्ञान संस्थान, ग्वालियर (म.प्र.), भारत</t>
  </si>
  <si>
    <t>Madhav Institute of Technology &amp; Science DU, Gwalior (M.P.), INDIA</t>
  </si>
  <si>
    <t>Deemed University</t>
  </si>
  <si>
    <t>(Declared under Distinct Category by Ministry of Education, Government of India)</t>
  </si>
  <si>
    <t>NAAC ACCREDITED WITH A++ GRADE</t>
  </si>
  <si>
    <t>Department of Engineering Mathematics &amp; Computing</t>
  </si>
  <si>
    <t>B. Tech. I Semester (MAC)</t>
  </si>
  <si>
    <t xml:space="preserve">SCHEME </t>
  </si>
  <si>
    <t>S.NO</t>
  </si>
  <si>
    <t xml:space="preserve"> COURSE CODE</t>
  </si>
  <si>
    <t xml:space="preserve">COURSE NAME </t>
  </si>
  <si>
    <t>Maximum Marks Allotted</t>
  </si>
  <si>
    <t>Total Marks</t>
  </si>
  <si>
    <t>Total Credits</t>
  </si>
  <si>
    <t>THEORY BLOCK</t>
  </si>
  <si>
    <t>Practical Block</t>
  </si>
  <si>
    <t>CONTINOUS  EVALUATION</t>
  </si>
  <si>
    <t>Continuous Evaluation</t>
  </si>
  <si>
    <t>MINOR EVALUATION 1</t>
  </si>
  <si>
    <t>MINOR EVALUATION 2</t>
  </si>
  <si>
    <t>QUIZ/ ASSIGMENT</t>
  </si>
  <si>
    <t>MAJOR EVALUATION</t>
  </si>
  <si>
    <t>Lab Work</t>
  </si>
  <si>
    <t xml:space="preserve">Major 
Evaluation </t>
  </si>
  <si>
    <t>Introduction to Computing</t>
  </si>
  <si>
    <t>-</t>
  </si>
  <si>
    <t>Computer Programming</t>
  </si>
  <si>
    <t xml:space="preserve">Advanced Calculus </t>
  </si>
  <si>
    <t>Digital Logic Design</t>
  </si>
  <si>
    <t>Differential Equations</t>
  </si>
  <si>
    <t>Computer Programming Lab</t>
  </si>
  <si>
    <t>Computing Lab for Data Analysis</t>
  </si>
  <si>
    <t>Semester Proficiency</t>
  </si>
  <si>
    <t>Micro Project-1</t>
  </si>
  <si>
    <t>Language Lab</t>
  </si>
  <si>
    <t>NECXXXX</t>
  </si>
  <si>
    <t xml:space="preserve">Novel Engaging Course </t>
  </si>
  <si>
    <t>TOTAL</t>
  </si>
  <si>
    <t xml:space="preserve">Universal Human Values &amp; Professional Ethics 
(UHVPE) </t>
  </si>
  <si>
    <t>GRADE</t>
  </si>
  <si>
    <t>DC</t>
  </si>
  <si>
    <t>INTRODUCTION TO C0MPUTING</t>
  </si>
  <si>
    <t>S.No</t>
  </si>
  <si>
    <t>ENROLLMENT NO.</t>
  </si>
  <si>
    <t>Minor-1</t>
  </si>
  <si>
    <t>Minor-2</t>
  </si>
  <si>
    <t>Quiz</t>
  </si>
  <si>
    <t>Assignment</t>
  </si>
  <si>
    <t>Quiz+Assignment</t>
  </si>
  <si>
    <t>Major</t>
  </si>
  <si>
    <t>Total</t>
  </si>
  <si>
    <t>CREDIT</t>
  </si>
  <si>
    <t>Result</t>
  </si>
  <si>
    <t>PASS/FAIL</t>
  </si>
  <si>
    <t>ESC</t>
  </si>
  <si>
    <t>COMPUTER PROGRAMMING</t>
  </si>
  <si>
    <t>DIGITAL LOGIC DESIGN</t>
  </si>
  <si>
    <t>BSC</t>
  </si>
  <si>
    <t>DIFFERENTIAL EQUATIONS</t>
  </si>
  <si>
    <t>DLC</t>
  </si>
  <si>
    <t>Continuous evaluation</t>
  </si>
  <si>
    <t>Lab Work &amp; Sessional</t>
  </si>
  <si>
    <t>Computing lab for data analysis</t>
  </si>
  <si>
    <t>SP</t>
  </si>
  <si>
    <t>PBL</t>
  </si>
  <si>
    <t>MICRO PROJECT</t>
  </si>
  <si>
    <t>HSMC</t>
  </si>
  <si>
    <t xml:space="preserve">Language lab </t>
  </si>
  <si>
    <t>NECXXXXX</t>
  </si>
  <si>
    <t>NEC</t>
  </si>
  <si>
    <t>Novel engaging course</t>
  </si>
  <si>
    <t>SUB 1</t>
  </si>
  <si>
    <t>SUB 2</t>
  </si>
  <si>
    <t>SUB 3</t>
  </si>
  <si>
    <t>SUB 4</t>
  </si>
  <si>
    <t>SUB 5</t>
  </si>
  <si>
    <t>SUB 6</t>
  </si>
  <si>
    <t>SUB 7</t>
  </si>
  <si>
    <t>SUB 8</t>
  </si>
  <si>
    <t>SUB 9</t>
  </si>
  <si>
    <t>SUB 10</t>
  </si>
  <si>
    <t>SUB 11</t>
  </si>
  <si>
    <t>Pass %</t>
  </si>
  <si>
    <t>%</t>
  </si>
  <si>
    <t xml:space="preserve">          माधव प्रौद्योगिकी एवं विज्ञान संस्थान, ग्वालियर (म.प्र.), भारत</t>
  </si>
  <si>
    <t xml:space="preserve">            Madhav Institute of Technology &amp; Science DU, Gwalior (M.P.), INDIA</t>
  </si>
  <si>
    <t xml:space="preserve">                Deemed University</t>
  </si>
  <si>
    <t xml:space="preserve">    (Declared under Distinct Category by Ministry of Education, Government of India)</t>
  </si>
  <si>
    <t xml:space="preserve">    NAAC ACCREDITED WITH A++ GRADE</t>
  </si>
  <si>
    <t xml:space="preserve">         Department of Engineering Mathematics &amp; Computing</t>
  </si>
  <si>
    <t xml:space="preserve">              B. Tech. I Semester (MAC)</t>
  </si>
  <si>
    <t>FAIL</t>
  </si>
  <si>
    <t xml:space="preserve">             Deemed University</t>
  </si>
  <si>
    <t xml:space="preserve">         Madhav Institute of Technology &amp; Science DU, Gwalior (M.P.), INDIA</t>
  </si>
  <si>
    <t xml:space="preserve">        माधव प्रौद्योगिकी एवं विज्ञान संस्थान, ग्वालियर (म.प्र.), भारत</t>
  </si>
  <si>
    <t xml:space="preserve">   NAAC ACCREDITED WITH A++ GRADE</t>
  </si>
  <si>
    <t xml:space="preserve">       Department of Engineering Mathematics &amp; Computing</t>
  </si>
  <si>
    <t xml:space="preserve">          B. Tech. I Semester (MAC)</t>
  </si>
  <si>
    <t xml:space="preserve">           (Declared under Distinct Category by Ministry of Education, Government of India)</t>
  </si>
  <si>
    <t xml:space="preserve">                                  Deemed University</t>
  </si>
  <si>
    <t xml:space="preserve">                      Madhav Institute of Technology &amp; Science DU, Gwalior (M.P.), INDIA</t>
  </si>
  <si>
    <t xml:space="preserve">                      माधव प्रौद्योगिकी एवं विज्ञान संस्थान, ग्वालियर (म.प्र.), भारत</t>
  </si>
  <si>
    <t xml:space="preserve">                                  Department of Engineering Mathematics &amp; Computing</t>
  </si>
  <si>
    <t xml:space="preserve">                                    B. Tech. I Semester (MAC)</t>
  </si>
  <si>
    <t xml:space="preserve">        Department of Engineering Mathematics &amp; Computing</t>
  </si>
  <si>
    <t xml:space="preserve">                 B. Tech. I Semester (MAC)</t>
  </si>
  <si>
    <t xml:space="preserve">  माधव प्रौद्योगिकी एवं विज्ञान संस्थान, ग्वालियर (म.प्र.), भारत</t>
  </si>
  <si>
    <t xml:space="preserve">                        Deemed University</t>
  </si>
  <si>
    <t xml:space="preserve">              माधव प्रौद्योगिकी एवं विज्ञान संस्थान, ग्वालियर (म.प्र.), भारत</t>
  </si>
  <si>
    <t xml:space="preserve">     Madhav Institute of Technology &amp; Science DU, Gwalior (M.P.), INDIA</t>
  </si>
  <si>
    <t xml:space="preserve">              NAAC ACCREDITED WITH A++ GRADE</t>
  </si>
  <si>
    <t xml:space="preserve">                    Department of Engineering Mathematics &amp; Computing</t>
  </si>
  <si>
    <t xml:space="preserve">                          B. Tech. I Semester (MAC)</t>
  </si>
  <si>
    <t xml:space="preserve">                       Deemed University</t>
  </si>
  <si>
    <t xml:space="preserve">        NAAC ACCREDITED WITH A++ GRADE</t>
  </si>
  <si>
    <t xml:space="preserve">          Madhav Institute of Technology &amp; Science DU, Gwalior (M.P.), INDIA</t>
  </si>
  <si>
    <t xml:space="preserve">           माधव प्रौद्योगिकी एवं विज्ञान संस्थान, ग्वालियर (म.प्र.), भारत</t>
  </si>
  <si>
    <t xml:space="preserve">                     Department of Engineering Mathematics &amp; Computing</t>
  </si>
  <si>
    <t xml:space="preserve">                           B. Tech. I Semester (MAC)</t>
  </si>
  <si>
    <t xml:space="preserve">           Madhav Institute of Technology &amp; Science DU, Gwalior (M.P.), INDIA</t>
  </si>
  <si>
    <t xml:space="preserve">                 माधव प्रौद्योगिकी एवं विज्ञान संस्थान, ग्वालियर (म.प्र.), भारत</t>
  </si>
  <si>
    <t xml:space="preserve">          NAAC ACCREDITED WITH A++ GRADE</t>
  </si>
  <si>
    <t xml:space="preserve">                         Department of Engineering Mathematics &amp; Computing</t>
  </si>
  <si>
    <t xml:space="preserve">                Department of Engineering Mathematics &amp; Computing</t>
  </si>
  <si>
    <t xml:space="preserve">       NAAC ACCREDITED WITH A++ GRADE</t>
  </si>
  <si>
    <t xml:space="preserve">                        B. Tech. I Semester (MAC)</t>
  </si>
  <si>
    <t xml:space="preserve">                     Deemed University</t>
  </si>
  <si>
    <t xml:space="preserve">                    Deemed University</t>
  </si>
  <si>
    <t xml:space="preserve">            माधव प्रौद्योगिकी एवं विज्ञान संस्थान, ग्वालियर (म.प्र.), भारत</t>
  </si>
  <si>
    <t xml:space="preserve">                       B. Tech. I Semester (MAC)</t>
  </si>
  <si>
    <t xml:space="preserve">                      Department of Engineering Mathematics &amp; Computing</t>
  </si>
  <si>
    <t xml:space="preserve">                         B. Tech. I Semester (MAC)</t>
  </si>
  <si>
    <t xml:space="preserve">NUMBER OF STUDENTS THAT PASSED : </t>
  </si>
  <si>
    <t xml:space="preserve">NUMBER OF STUDENTS THAT FAILED : </t>
  </si>
  <si>
    <t>STUDENT NAME</t>
  </si>
  <si>
    <t>D.O.B.</t>
  </si>
  <si>
    <t>24mc10aa1@mitsgwl.ac.in</t>
  </si>
  <si>
    <t>AASTHA PYASI</t>
  </si>
  <si>
    <t>NARENDRA PYASI</t>
  </si>
  <si>
    <t>ARCHNA PYASI</t>
  </si>
  <si>
    <t>BTMC24O1001</t>
  </si>
  <si>
    <t>B.Tech.</t>
  </si>
  <si>
    <t>Mathematics and Computing</t>
  </si>
  <si>
    <t>24mc10ab2@mitsgwl.ac.in</t>
  </si>
  <si>
    <t>ABHAY PRATAP SINGH YADAV</t>
  </si>
  <si>
    <t>SUKHENDRA SINGH YADAV</t>
  </si>
  <si>
    <t>REKHA YADAV</t>
  </si>
  <si>
    <t>BTMC24O1002</t>
  </si>
  <si>
    <t>24mc10ab3@mitsgwl.ac.in</t>
  </si>
  <si>
    <t>ABHAY SHARMA</t>
  </si>
  <si>
    <t>MR UTTAM NARAYAN SHARMA</t>
  </si>
  <si>
    <t>MRS NEELMA SHARMA</t>
  </si>
  <si>
    <t>BTMC24O1003</t>
  </si>
  <si>
    <t>a9893414501@gmail.com</t>
  </si>
  <si>
    <t>ABHI JAIN</t>
  </si>
  <si>
    <t>ARUN KUMAR JAIN</t>
  </si>
  <si>
    <t>VINITA JAIN</t>
  </si>
  <si>
    <t>BTMC24O1004</t>
  </si>
  <si>
    <t>24mc10ab5@mitsgwl.ac.in</t>
  </si>
  <si>
    <t>ABHI KACHHWAHA</t>
  </si>
  <si>
    <t>VINOD KACHHWAHA</t>
  </si>
  <si>
    <t>MEERA KACHHWAHA</t>
  </si>
  <si>
    <t>BTMC24O1005</t>
  </si>
  <si>
    <t>apal98332@gmail.com</t>
  </si>
  <si>
    <t>ABHISHEK PAL</t>
  </si>
  <si>
    <t>NAVAL SINGH</t>
  </si>
  <si>
    <t>URMILA PAL</t>
  </si>
  <si>
    <t>BTMC24O1006</t>
  </si>
  <si>
    <t>24mc10ab8@mitsgwl.ac.in</t>
  </si>
  <si>
    <t>ABHISHEK YADAV</t>
  </si>
  <si>
    <t>MANOJ YADAV</t>
  </si>
  <si>
    <t>ANITA YADAV</t>
  </si>
  <si>
    <t>24mc10ad9@mitsgwl.ac.in</t>
  </si>
  <si>
    <t>ADARSH MISHRA</t>
  </si>
  <si>
    <t>RAKESH MISHRA</t>
  </si>
  <si>
    <t>PRABHA MISHRA</t>
  </si>
  <si>
    <t>BTMC24O1009</t>
  </si>
  <si>
    <t>24mc10ad10@mitsgwl.ac.in</t>
  </si>
  <si>
    <t>ADARSH SONI</t>
  </si>
  <si>
    <t>BHARAT BHUSHAN SONI</t>
  </si>
  <si>
    <t>SUNEETA SONI</t>
  </si>
  <si>
    <t>BTMC24O1010</t>
  </si>
  <si>
    <t>sonid45678@gmail.com</t>
  </si>
  <si>
    <t>ADITI GUPTA</t>
  </si>
  <si>
    <t>SANJAY GUPTA</t>
  </si>
  <si>
    <t>JULI GUPTA</t>
  </si>
  <si>
    <t>BTMC24O1011</t>
  </si>
  <si>
    <t>24mc10ad12@mitsgwl.ac.in</t>
  </si>
  <si>
    <t>ADITI JAIN</t>
  </si>
  <si>
    <t>PANKAJ JAIN</t>
  </si>
  <si>
    <t>RAKHI JAIN</t>
  </si>
  <si>
    <t>BTMC24O1012</t>
  </si>
  <si>
    <t>24mc10ad13@mitsgwl.ac.in</t>
  </si>
  <si>
    <t>ADITI SHARMA</t>
  </si>
  <si>
    <t>N R SHARMA</t>
  </si>
  <si>
    <t>PRATIMA SHARMA</t>
  </si>
  <si>
    <t>BTMC24O1013</t>
  </si>
  <si>
    <t>24mc10ad14@mitsgwl.ac.in</t>
  </si>
  <si>
    <t>ADITYA SINGH TOMAR</t>
  </si>
  <si>
    <t>KIRAN TOMAR</t>
  </si>
  <si>
    <t>24mc10af16@mitsgwl.ac.in</t>
  </si>
  <si>
    <t>AFREEN FATIMA</t>
  </si>
  <si>
    <t>SYED FAREED UDDIN</t>
  </si>
  <si>
    <t>SHAMA FATIMA</t>
  </si>
  <si>
    <t>BTMC24O1016</t>
  </si>
  <si>
    <t>24mc10aj17@mitsgwl.ac.in</t>
  </si>
  <si>
    <t>AJEET PRATAP SINGH KUSTWAR</t>
  </si>
  <si>
    <t>VIKRAM SINGH</t>
  </si>
  <si>
    <t>PUNIYA BAI</t>
  </si>
  <si>
    <t>BTMC24O1017</t>
  </si>
  <si>
    <t>akarshbansal808@gmail.com</t>
  </si>
  <si>
    <t>AKARSH BANSAL</t>
  </si>
  <si>
    <t>RAGHVENDRA BANSAL</t>
  </si>
  <si>
    <t>SHALINI BANSAL</t>
  </si>
  <si>
    <t>BTMC24O1018</t>
  </si>
  <si>
    <t>24mc10ak19@mitsgwl.ac.in</t>
  </si>
  <si>
    <t>AKMAL KHAN</t>
  </si>
  <si>
    <t>TARAUDDIN KHAN</t>
  </si>
  <si>
    <t>SHABANA BANO</t>
  </si>
  <si>
    <t>BTMC24O1019</t>
  </si>
  <si>
    <t>24mc10am20@mitsgwl.ac.in</t>
  </si>
  <si>
    <t>AMAN YADAV</t>
  </si>
  <si>
    <t>PRAHALAD SINGH YADAV</t>
  </si>
  <si>
    <t>RAJNI DEVI</t>
  </si>
  <si>
    <t>BTMC24O1020</t>
  </si>
  <si>
    <t>24mc10an22@mitsgwl.ac.in</t>
  </si>
  <si>
    <t>ANANTIKA SONI</t>
  </si>
  <si>
    <t>PRADEEP KUMAR SONI</t>
  </si>
  <si>
    <t>ANURADHA SONI</t>
  </si>
  <si>
    <t>BTMC24O1022</t>
  </si>
  <si>
    <t>24mc10an23@mitsgwl.ac.in</t>
  </si>
  <si>
    <t>ANANYA DUBEY</t>
  </si>
  <si>
    <t>AHSISH DUBEY</t>
  </si>
  <si>
    <t>ARCHNA DUBEY</t>
  </si>
  <si>
    <t>BTMC24O1023</t>
  </si>
  <si>
    <t>24mc10an24@mitsgwl.ac.in</t>
  </si>
  <si>
    <t>ANANYA SHARMA</t>
  </si>
  <si>
    <t>PRABHAT SHARMA</t>
  </si>
  <si>
    <t>SUGANDHA SHARMA</t>
  </si>
  <si>
    <t>BTMC24O1024</t>
  </si>
  <si>
    <t>24mc10an25@mitsgwl.ac.in</t>
  </si>
  <si>
    <t>ANEEKA DWIVEDI</t>
  </si>
  <si>
    <t>MANOJ KUMAR DWIVEDI</t>
  </si>
  <si>
    <t>MANISHA DWIVEDI</t>
  </si>
  <si>
    <t>BTMC24O1025</t>
  </si>
  <si>
    <t>24mc10an26@mitsgwl.ac.in</t>
  </si>
  <si>
    <t>ANSH SHARMA</t>
  </si>
  <si>
    <t>VINAY SHARMA</t>
  </si>
  <si>
    <t>SEEMA SHARMA</t>
  </si>
  <si>
    <t>BTMC24O1026</t>
  </si>
  <si>
    <t>24mc10an27@mitsgwl.ac.in</t>
  </si>
  <si>
    <t>ANSHIKA PARWAR</t>
  </si>
  <si>
    <t>RAHUL KUMAR PARWAR</t>
  </si>
  <si>
    <t>SANDEEPA PARWAR</t>
  </si>
  <si>
    <t>BTMC24O1027</t>
  </si>
  <si>
    <t>24mc10an28@mitsgwl.ac.in</t>
  </si>
  <si>
    <t>ANUJ DANGI</t>
  </si>
  <si>
    <t>DEVISINGH DANGI</t>
  </si>
  <si>
    <t>NEETA DANGI</t>
  </si>
  <si>
    <t>24mc10an29@mitsgwl.ac.in</t>
  </si>
  <si>
    <t>ANUSHREE MAZUMDAR</t>
  </si>
  <si>
    <t>BISHWA PRIYA MAZUMDAR</t>
  </si>
  <si>
    <t>RANJEETA MAZUMDAR</t>
  </si>
  <si>
    <t>BTMC24O1029</t>
  </si>
  <si>
    <t>24mc10ar31@mitsgwl.ac.in</t>
  </si>
  <si>
    <t>ARNAV MAHAJAN</t>
  </si>
  <si>
    <t>PANKAJ MAHAJAN</t>
  </si>
  <si>
    <t>POOJA MAHAJAN</t>
  </si>
  <si>
    <t>topankajmahajan@gmail.com</t>
  </si>
  <si>
    <t>BTMC24O1031</t>
  </si>
  <si>
    <t>24mc10ar32@mitsgwl.ac.in</t>
  </si>
  <si>
    <t>ARPIT YADAV</t>
  </si>
  <si>
    <t>VINOD YADAV</t>
  </si>
  <si>
    <t>PREETI YADAV</t>
  </si>
  <si>
    <t>24mc10as34@mitsgwl.ac.in</t>
  </si>
  <si>
    <t>ASHISH SINGH RAJAWAT</t>
  </si>
  <si>
    <t>UDAY PRATAP SINGH RAJAWAT</t>
  </si>
  <si>
    <t>PINKI</t>
  </si>
  <si>
    <t>BTMC24O1034</t>
  </si>
  <si>
    <t>mehtaaum117@gmail.com</t>
  </si>
  <si>
    <t>AUM MEHTA</t>
  </si>
  <si>
    <t>SURENDRA MEHTA</t>
  </si>
  <si>
    <t>ABHILASHA MEHTA</t>
  </si>
  <si>
    <t>BTMC24O1035</t>
  </si>
  <si>
    <t>24mc10ay37@mitsgwl.ac.in</t>
  </si>
  <si>
    <t>AYUSH GUPTA</t>
  </si>
  <si>
    <t>OM PRAKASH GUPTA</t>
  </si>
  <si>
    <t>RANI GUPTA</t>
  </si>
  <si>
    <t>BTMC24O1037</t>
  </si>
  <si>
    <t>ayushk25aug@gmail.com</t>
  </si>
  <si>
    <t>AYUSH KUSHWAH</t>
  </si>
  <si>
    <t>MANOJ KUSHWAH</t>
  </si>
  <si>
    <t>RENU KUSHWAH</t>
  </si>
  <si>
    <t>BTMC24O1038</t>
  </si>
  <si>
    <t>24mc10ay40@mitsgwl.ac.in</t>
  </si>
  <si>
    <t>AYUSH TRIPATHI</t>
  </si>
  <si>
    <t>ANIL TRIPATHI</t>
  </si>
  <si>
    <t>REENA TRIPATHI</t>
  </si>
  <si>
    <t>BTMC24O1040</t>
  </si>
  <si>
    <t>seemakhan159.1976@gmail.com</t>
  </si>
  <si>
    <t>DANISH KHAN</t>
  </si>
  <si>
    <t>MOHJJAM KHAN</t>
  </si>
  <si>
    <t>SEEMA KHAN</t>
  </si>
  <si>
    <t>24mc10de43@mitsgwl.ac.in</t>
  </si>
  <si>
    <t>DEVANSH RAI</t>
  </si>
  <si>
    <t>KALICHARAN RAI</t>
  </si>
  <si>
    <t>POONAM RAI</t>
  </si>
  <si>
    <t>BTMC24O1043</t>
  </si>
  <si>
    <t>24mc10de44@mitsgwl.ac.in</t>
  </si>
  <si>
    <t>DEVYASH SHAH</t>
  </si>
  <si>
    <t>VIJAY KUMAR SHAH</t>
  </si>
  <si>
    <t>NIVEDITA SHAH</t>
  </si>
  <si>
    <t>BTMC24O1044</t>
  </si>
  <si>
    <t>24mc10dh46@mitsgwl.ac.in</t>
  </si>
  <si>
    <t>BTMC24O1046</t>
  </si>
  <si>
    <t>24mc10di47@mitsgwl.ac.in</t>
  </si>
  <si>
    <t>DIVYANI NEMA</t>
  </si>
  <si>
    <t>VIJAY KUMAR NEMA</t>
  </si>
  <si>
    <t>DIPTI NEMA</t>
  </si>
  <si>
    <t>24mc10di48@mitsgwl.ac.in</t>
  </si>
  <si>
    <t>DIVYANSH NARWARIA</t>
  </si>
  <si>
    <t>JAGMOHAN SINGH NARWARIA</t>
  </si>
  <si>
    <t>PREMLATA NARWARIA</t>
  </si>
  <si>
    <t>BTMC24O1048</t>
  </si>
  <si>
    <t>dspandey113@gmail.com</t>
  </si>
  <si>
    <t>DIVYANSH PANDEY</t>
  </si>
  <si>
    <t>ANAND PANDEY</t>
  </si>
  <si>
    <t>SUDHA PANDEY</t>
  </si>
  <si>
    <t>24mc10ga51@mitsgwl.ac.in</t>
  </si>
  <si>
    <t>GARV VIPIN GULATI</t>
  </si>
  <si>
    <t>VIPIN GULATI</t>
  </si>
  <si>
    <t>NEELAM GULATI</t>
  </si>
  <si>
    <t>BTMC24O1051</t>
  </si>
  <si>
    <t>govindsharma5816@gmail.com</t>
  </si>
  <si>
    <t>GOVIND SHARMA</t>
  </si>
  <si>
    <t>DHARMENDRA KUMAR SHARMA</t>
  </si>
  <si>
    <t>VIMLESH SHARMA</t>
  </si>
  <si>
    <t>harshitbking@gmail.com</t>
  </si>
  <si>
    <t>HARSHIT BHATNAGAR</t>
  </si>
  <si>
    <t>SHIV PRAKASH BHATNAGAR</t>
  </si>
  <si>
    <t>NISHA BHATNAGAR</t>
  </si>
  <si>
    <t>BTMC24O1053</t>
  </si>
  <si>
    <t>hsvishu19@gmail.com</t>
  </si>
  <si>
    <t>HARSHIT SHARMA</t>
  </si>
  <si>
    <t>SURENDRA KUMAR SHARMA</t>
  </si>
  <si>
    <t>REKHA SHARMA</t>
  </si>
  <si>
    <t>BTMC24O1054</t>
  </si>
  <si>
    <t>24mc10ha56@mitsgwl.ac.in</t>
  </si>
  <si>
    <t>HARSHITA SONI</t>
  </si>
  <si>
    <t>RAJENDRA KUMAR SONI</t>
  </si>
  <si>
    <t>RANJANA SONI</t>
  </si>
  <si>
    <t>24mc10hi57@mitsgwl.ac.in</t>
  </si>
  <si>
    <t>HIMANSHU SHUKLA</t>
  </si>
  <si>
    <t>SUNEEL KUMAR SHUKLA</t>
  </si>
  <si>
    <t>PRATIMA SHUKLA</t>
  </si>
  <si>
    <t>BTMC24O1056</t>
  </si>
  <si>
    <t>goyalbalkrishna6@gmail.com</t>
  </si>
  <si>
    <t>HIRAL GOYAL</t>
  </si>
  <si>
    <t>BALKRISHNA GOYAL</t>
  </si>
  <si>
    <t>PRITI GOYAL</t>
  </si>
  <si>
    <t>24mc10is59@mitsgwl.ac.in</t>
  </si>
  <si>
    <t>ISHA JAIN</t>
  </si>
  <si>
    <t>SUNIL JAIN</t>
  </si>
  <si>
    <t>ARCHANA JAIN</t>
  </si>
  <si>
    <t>BTMC24O1058</t>
  </si>
  <si>
    <t>ishikaprajapati427@gmail.com</t>
  </si>
  <si>
    <t>ISHIKA PRAJAPATI</t>
  </si>
  <si>
    <t>HARISH CHANDRA PRAJAPATI</t>
  </si>
  <si>
    <t>RANI PRAJAPATI</t>
  </si>
  <si>
    <t>BTMC24O1059</t>
  </si>
  <si>
    <t>jatinyadav1p@gmail.com</t>
  </si>
  <si>
    <t>JATIN YADAV</t>
  </si>
  <si>
    <t>RAJESH YADAV</t>
  </si>
  <si>
    <t>MITHLESH YADAV</t>
  </si>
  <si>
    <t>24mc10ja62@mitsgwl.ac.in</t>
  </si>
  <si>
    <t>JAYDEEP SINGH</t>
  </si>
  <si>
    <t>ARUNENDRA SINGH</t>
  </si>
  <si>
    <t>POONAM SINGH</t>
  </si>
  <si>
    <t>BTMC24O1061</t>
  </si>
  <si>
    <t>jayeshbagdi82@gmail.com</t>
  </si>
  <si>
    <t>JAYESH BAGDI</t>
  </si>
  <si>
    <t>RAJESH BAGDI</t>
  </si>
  <si>
    <t>SANGEETA BAGDI</t>
  </si>
  <si>
    <t>BTMC24O1062</t>
  </si>
  <si>
    <t>24mc10ka64@mitsgwl.ac.in</t>
  </si>
  <si>
    <t>KAISHAV KUMAWAT</t>
  </si>
  <si>
    <t>BALKRISHNA KUMAWAT</t>
  </si>
  <si>
    <t>SEEMA KUMAWAT</t>
  </si>
  <si>
    <t>BTMC24O1063</t>
  </si>
  <si>
    <t>24mc10ka65@mitsgwl.ac.in</t>
  </si>
  <si>
    <t>24mc10ka67@mitsgwl.ac.in</t>
  </si>
  <si>
    <t>24mc10ka68@mitsgwl.ac.in</t>
  </si>
  <si>
    <t>KAVINDRA THAKUR</t>
  </si>
  <si>
    <t>CHANDAN SINGH THAKUR</t>
  </si>
  <si>
    <t>SUNITA THAKUR</t>
  </si>
  <si>
    <t>24mc10ke70@mitsgwl.ac.in</t>
  </si>
  <si>
    <t>KETAN MALVIYA</t>
  </si>
  <si>
    <t>KAILASH MALVIYA</t>
  </si>
  <si>
    <t>REKHA MALVIYA</t>
  </si>
  <si>
    <t>24mc10kh71@mitsgwl.ac.in</t>
  </si>
  <si>
    <t>KHUSHI GOYAL</t>
  </si>
  <si>
    <t>DILIP GOYAL</t>
  </si>
  <si>
    <t>MADHU GOYAL</t>
  </si>
  <si>
    <t>BTMC24O1070</t>
  </si>
  <si>
    <t>24mc10kh72@mitsgwl.ac.in</t>
  </si>
  <si>
    <t>KHUSHI MALVIYA</t>
  </si>
  <si>
    <t>MAHENDRA MALVIYA</t>
  </si>
  <si>
    <t>ANITA MALVIYA</t>
  </si>
  <si>
    <t>BTMC24O1071</t>
  </si>
  <si>
    <t>kirrutomar147@gmail.com</t>
  </si>
  <si>
    <t>RAJKUMAR SINGH</t>
  </si>
  <si>
    <t>ANITA TOMAR</t>
  </si>
  <si>
    <t>chandrabhanyadav6924@gmail.com</t>
  </si>
  <si>
    <t>KULDEEP YADAV</t>
  </si>
  <si>
    <t>CHANDRABHAN SINGH YADAV</t>
  </si>
  <si>
    <t>RUPALI YADAV</t>
  </si>
  <si>
    <t>BTMC24O1073</t>
  </si>
  <si>
    <t>24mc10ma75@mitsgwl.ac.in</t>
  </si>
  <si>
    <t>MADHAV GUPTA</t>
  </si>
  <si>
    <t>KRISHNA KUMAR GUPTA</t>
  </si>
  <si>
    <t>ARCHANA GUPTA</t>
  </si>
  <si>
    <t>BTMC24O1074</t>
  </si>
  <si>
    <t>24mc10ma76@mitsgwl.ac.in</t>
  </si>
  <si>
    <t>MADHUSUDAN UPADHYAY</t>
  </si>
  <si>
    <t>BRAJKISHOR UPADHYAY</t>
  </si>
  <si>
    <t>REENA UPADHYAY</t>
  </si>
  <si>
    <t>BTMC24O1075</t>
  </si>
  <si>
    <t>mahatvaagarwal14@gmail.com</t>
  </si>
  <si>
    <t>MAHATVA AGARWAL</t>
  </si>
  <si>
    <t>ANOOP KUMAR AGARWAL</t>
  </si>
  <si>
    <t>KIRTI AGARWAL</t>
  </si>
  <si>
    <t>BTMC24O1076</t>
  </si>
  <si>
    <t>24mc10mi78@mitsgwl.ac.in</t>
  </si>
  <si>
    <t>MIHIR CHAUDHARY</t>
  </si>
  <si>
    <t>MAHENDRA CHAUDHARY</t>
  </si>
  <si>
    <t>HEMLATA CHAUDHARY</t>
  </si>
  <si>
    <t>BTMC24O1077</t>
  </si>
  <si>
    <t>24mc10mi79@mitsgwl.ac.in</t>
  </si>
  <si>
    <t>24mc10mo80@mitsgwl.ac.in</t>
  </si>
  <si>
    <t>MOHIT MISHRA</t>
  </si>
  <si>
    <t>VIJAY MISHRA</t>
  </si>
  <si>
    <t>SHYAMLATA MISHRA</t>
  </si>
  <si>
    <t>BTMC24O1079</t>
  </si>
  <si>
    <t>24mc10mo81@mitsgwl.ac.in</t>
  </si>
  <si>
    <t>MOHIT PRAJAPATI</t>
  </si>
  <si>
    <t>GYAN SINGH PRAJAPATI</t>
  </si>
  <si>
    <t>KAVITA PRAJAPATI</t>
  </si>
  <si>
    <t>BTMC24O1080</t>
  </si>
  <si>
    <t>24mc10mr82@mitsgwl.ac.in</t>
  </si>
  <si>
    <t>MRADUL SHRIVASTAVA</t>
  </si>
  <si>
    <t>JEETENDRA SHRIVASTAVA</t>
  </si>
  <si>
    <t>ARCHANA SHRIVASTAVA</t>
  </si>
  <si>
    <t>BTMC24O1081</t>
  </si>
  <si>
    <t>24mc10mr83@mitsgwl.ac.in</t>
  </si>
  <si>
    <t>MRITUNJAY SHARMA</t>
  </si>
  <si>
    <t>BHUPENDRA SHARMA</t>
  </si>
  <si>
    <t>VANDANA SHARMA</t>
  </si>
  <si>
    <t>24mc10mu84@mitsgwl.ac.in</t>
  </si>
  <si>
    <t>MUSKAN GURJAR</t>
  </si>
  <si>
    <t>SATISH PAL SINGH GURJAR</t>
  </si>
  <si>
    <t>RINKI GURJAR</t>
  </si>
  <si>
    <t>24mc10na85@mitsgwl.ac.in</t>
  </si>
  <si>
    <t>NAMAN JAIN</t>
  </si>
  <si>
    <t>CHANDRA SHEKHAR JAIN</t>
  </si>
  <si>
    <t>BTMC24O1084</t>
  </si>
  <si>
    <t>24mc10na86@mitsgwl.ac.in</t>
  </si>
  <si>
    <t>NANDINI RAJPUT</t>
  </si>
  <si>
    <t>RAM KUMAR RAJPUT</t>
  </si>
  <si>
    <t>REKHA RAJPUT</t>
  </si>
  <si>
    <t>24mc10na87@mitsgwl.ac.in</t>
  </si>
  <si>
    <t>NAVAL KISHOR SHARMA</t>
  </si>
  <si>
    <t>BALKRISHAN SHARMA</t>
  </si>
  <si>
    <t>SUNITA SHARMA</t>
  </si>
  <si>
    <t>BTMC24O1086</t>
  </si>
  <si>
    <t>24mc10na88@mitsgwl.ac.in</t>
  </si>
  <si>
    <t>NAVEEN MALVIYA</t>
  </si>
  <si>
    <t>GAJENDRA MALVIYA</t>
  </si>
  <si>
    <t>SEEMA MALVIYA</t>
  </si>
  <si>
    <t>nmishra9651@gmail.com</t>
  </si>
  <si>
    <t>NIKHIL MISHRA</t>
  </si>
  <si>
    <t>KESH KUMAR MISHRA</t>
  </si>
  <si>
    <t>BABLI MISHRA</t>
  </si>
  <si>
    <t>24mc10ni90@mitsgwl.ac.in</t>
  </si>
  <si>
    <t>NIKHIL YADAV</t>
  </si>
  <si>
    <t>GAJENDRA YADAV</t>
  </si>
  <si>
    <t>ASHA YADAV</t>
  </si>
  <si>
    <t>BTMC24O1089</t>
  </si>
  <si>
    <t>24mc10ni91@mitsgwl.ac.in</t>
  </si>
  <si>
    <t>NIRAMAY SHRIVASTAVA</t>
  </si>
  <si>
    <t>ALEKH SHRIVASTAVA</t>
  </si>
  <si>
    <t>SUSUMLATA SHRIVASTAVA</t>
  </si>
  <si>
    <t>BTMC24O1090</t>
  </si>
  <si>
    <t>nishasahni2626@gmail.com</t>
  </si>
  <si>
    <t>NISHA SAHNI</t>
  </si>
  <si>
    <t>MOHAN SAHNI</t>
  </si>
  <si>
    <t>MALA DEVI</t>
  </si>
  <si>
    <t>24mc10ni93@mitsgwl.ac.in</t>
  </si>
  <si>
    <t>NITYA JAIN</t>
  </si>
  <si>
    <t>VINEET JAIN</t>
  </si>
  <si>
    <t>MONICA JAIN</t>
  </si>
  <si>
    <t>BTMC24O1092</t>
  </si>
  <si>
    <t>parigupta2319@gmail.com</t>
  </si>
  <si>
    <t>PARI GUPTA</t>
  </si>
  <si>
    <t>MUKESH GUPTA</t>
  </si>
  <si>
    <t>MAYA GUPTA</t>
  </si>
  <si>
    <t>BTMC24O1093</t>
  </si>
  <si>
    <t>24mc10pa95@mitsgwl.ac.in</t>
  </si>
  <si>
    <t>PARUL AGRAWAL</t>
  </si>
  <si>
    <t>VIKASH AGRAWAL</t>
  </si>
  <si>
    <t>SUMAN AGRAWAL</t>
  </si>
  <si>
    <t>BTMC24O1094</t>
  </si>
  <si>
    <t>24mc10pi96@mitsgwl.ac.in</t>
  </si>
  <si>
    <t>PIYUSH VISHWAKARMA</t>
  </si>
  <si>
    <t>PRAKASH VISHWAKARMA</t>
  </si>
  <si>
    <t>ANITA VISHWAKARMA</t>
  </si>
  <si>
    <t>24mc10po97@mitsgwl.ac.in</t>
  </si>
  <si>
    <t>BTMC24O1096</t>
  </si>
  <si>
    <t>24mc10po98@mitsgwl.ac.in</t>
  </si>
  <si>
    <t>POORVI TOMAR</t>
  </si>
  <si>
    <t>ANIL SINGH TOMAR</t>
  </si>
  <si>
    <t>JYOTI TOMAR</t>
  </si>
  <si>
    <t>BTMC24O1097</t>
  </si>
  <si>
    <t>24mc10pr99@mitsgwl.ac.in</t>
  </si>
  <si>
    <t>PRADYUMN RAGHUWANSHI</t>
  </si>
  <si>
    <t>SATYENDRA RAGHUWANSHI</t>
  </si>
  <si>
    <t>MATI RAGHUWANSHI</t>
  </si>
  <si>
    <t>BTMC24O1098</t>
  </si>
  <si>
    <t>24mc10pr100@mitsgwl.ac.in</t>
  </si>
  <si>
    <t>PRATHMESH CHORGHADE</t>
  </si>
  <si>
    <t>PRADEEP DIWAKAR CHORGHADE</t>
  </si>
  <si>
    <t>PRATIMA CHORGHADE</t>
  </si>
  <si>
    <t>24mc10pr101@mitsgwl.ac.in</t>
  </si>
  <si>
    <t>PRAVEEN SOLANKI</t>
  </si>
  <si>
    <t>NAMDEO SOLANKI</t>
  </si>
  <si>
    <t>VIDHYA SOLANKI</t>
  </si>
  <si>
    <t>BTMC24O1100</t>
  </si>
  <si>
    <t>24mc10pr102@mitsgwl.ac.in</t>
  </si>
  <si>
    <t>PRIYANSH NAMDEO</t>
  </si>
  <si>
    <t>PARESH NAMDEO</t>
  </si>
  <si>
    <t>SUNITA NAMDEO</t>
  </si>
  <si>
    <t>24mc10pr103@mitsgwl.ac.in</t>
  </si>
  <si>
    <t>PRIYANSHU SHUKLA</t>
  </si>
  <si>
    <t>DEEPAK KUMAR SHUKLA</t>
  </si>
  <si>
    <t>MANJU LATA SHUKLA</t>
  </si>
  <si>
    <t>24mc10pu104@mitsgwl.ac.in</t>
  </si>
  <si>
    <t>24mc10ra105@mitsgwl.ac.in</t>
  </si>
  <si>
    <t>RAGHVENDRA SAHU</t>
  </si>
  <si>
    <t>SHOBHARAM SAHU</t>
  </si>
  <si>
    <t>RAJKUMARI SAHU</t>
  </si>
  <si>
    <t>24mc10ri107@mitsgwl.ac.in</t>
  </si>
  <si>
    <t>RIMJHIM HABLANI</t>
  </si>
  <si>
    <t>SANJAY HABLANI</t>
  </si>
  <si>
    <t>KAJAL HABLANI</t>
  </si>
  <si>
    <t>rishpandey.30@gmail.com</t>
  </si>
  <si>
    <t>RISHABH PANDEY</t>
  </si>
  <si>
    <t>AMITESH PANDEY</t>
  </si>
  <si>
    <t>KIRTI PANDEY</t>
  </si>
  <si>
    <t>24mc1Ori110@mitsgwl.ac.in</t>
  </si>
  <si>
    <t>RISHABH SINGH</t>
  </si>
  <si>
    <t>NAROTTAM SINGH</t>
  </si>
  <si>
    <t>RADHA DEVI</t>
  </si>
  <si>
    <t>EMAIL ADDRESS</t>
  </si>
  <si>
    <t>FATHER'S NAME</t>
  </si>
  <si>
    <t>MOTHER'S NAME</t>
  </si>
  <si>
    <t>COURSE</t>
  </si>
  <si>
    <t>BTMC24O1007</t>
  </si>
  <si>
    <t>BTMC24O1008</t>
  </si>
  <si>
    <t>BTMC24O1014</t>
  </si>
  <si>
    <t>BTMC24O1015</t>
  </si>
  <si>
    <t>BTMC24O1021</t>
  </si>
  <si>
    <t>BTMC24O1028</t>
  </si>
  <si>
    <t>BTMC24O1030</t>
  </si>
  <si>
    <t>BTMC24O1032</t>
  </si>
  <si>
    <t>BTMC24O1033</t>
  </si>
  <si>
    <t>BTMC24O1036</t>
  </si>
  <si>
    <t>BTMC24O1039</t>
  </si>
  <si>
    <t>BTMC24O1041</t>
  </si>
  <si>
    <t>BTMC24O1042</t>
  </si>
  <si>
    <t>BTMC24O1045</t>
  </si>
  <si>
    <t>BTMC24O1047</t>
  </si>
  <si>
    <t>BTMC24O1049</t>
  </si>
  <si>
    <t>BTMC24O1050</t>
  </si>
  <si>
    <t>BTMC24O1052</t>
  </si>
  <si>
    <t>BTMC24O1055</t>
  </si>
  <si>
    <t>BTMC24O1057</t>
  </si>
  <si>
    <t>BTMC24O1060</t>
  </si>
  <si>
    <t>BTMC24O1064</t>
  </si>
  <si>
    <t>BTMC24O1065</t>
  </si>
  <si>
    <t>BTMC24O1066</t>
  </si>
  <si>
    <t>BTMC24O1067</t>
  </si>
  <si>
    <t>BTMC24O1068</t>
  </si>
  <si>
    <t>BTMC24O1069</t>
  </si>
  <si>
    <t>BTMC24O1072</t>
  </si>
  <si>
    <t>BTMC24O1078</t>
  </si>
  <si>
    <t>BTMC24O1082</t>
  </si>
  <si>
    <t>BTMC24O1083</t>
  </si>
  <si>
    <t>BTMC24O1085</t>
  </si>
  <si>
    <t>BTMC24O1087</t>
  </si>
  <si>
    <t>BTMC24O1088</t>
  </si>
  <si>
    <t>BTMC24O1091</t>
  </si>
  <si>
    <t>BTMC24O1095</t>
  </si>
  <si>
    <t>BTMC24O1099</t>
  </si>
  <si>
    <t>BRANCH</t>
  </si>
  <si>
    <t xml:space="preserve">STUDENT NAME: </t>
  </si>
  <si>
    <t>FATHER'S NAME:</t>
  </si>
  <si>
    <t>MOTHER'S NAME:</t>
  </si>
  <si>
    <t xml:space="preserve">COURSE: </t>
  </si>
  <si>
    <t>SEMESTER:</t>
  </si>
  <si>
    <t xml:space="preserve">ENROLLMENT NO.: </t>
  </si>
  <si>
    <t xml:space="preserve"> MARKSHEET</t>
  </si>
  <si>
    <t>D.O.B:</t>
  </si>
  <si>
    <t>BRANCH:</t>
  </si>
  <si>
    <t>SUBJECT CODE</t>
  </si>
  <si>
    <t>SUBJECT NAME</t>
  </si>
  <si>
    <t>OBTAINED</t>
  </si>
  <si>
    <t>GAJENDRA SINGH TOMAR</t>
  </si>
  <si>
    <t>DHRUV JAIN</t>
  </si>
  <si>
    <t>GOPAL JAIN</t>
  </si>
  <si>
    <t>RUBI JAIN</t>
  </si>
  <si>
    <t>KANCHAN MATHE</t>
  </si>
  <si>
    <t>PRAMOD MATHE</t>
  </si>
  <si>
    <t>SUNITA MATHE</t>
  </si>
  <si>
    <t>KAUSHAL KAURAV</t>
  </si>
  <si>
    <t>SHIROMAN SINGH KAURAV</t>
  </si>
  <si>
    <t>MONIKA KAURAV</t>
  </si>
  <si>
    <t>SANTOSH KUMAR NAGAR</t>
  </si>
  <si>
    <t>MENA NAGAR</t>
  </si>
  <si>
    <t>PURUSHOTTAM NAGAR</t>
  </si>
  <si>
    <t>POOJA MANVI RAJPUT</t>
  </si>
  <si>
    <t>BIRBAL SINGH RAJPUT</t>
  </si>
  <si>
    <t>SHASHI RAJPUT</t>
  </si>
  <si>
    <t>MITA GUPTA</t>
  </si>
  <si>
    <t>D.K. GUPTA</t>
  </si>
  <si>
    <t>RITU GUPTA</t>
  </si>
  <si>
    <t>MIRNAL TIWARI</t>
  </si>
  <si>
    <t>D.K. TIWARI</t>
  </si>
  <si>
    <t>RENU TIWARI</t>
  </si>
  <si>
    <t>MADHU UPADHYAY</t>
  </si>
  <si>
    <t>MONTY UPADHYAY</t>
  </si>
  <si>
    <t>RINKI UPADHYAY</t>
  </si>
  <si>
    <t>KAISHAV PANDEY</t>
  </si>
  <si>
    <t>KRISHNA PANDEY</t>
  </si>
  <si>
    <t>SITA PANDEY</t>
  </si>
  <si>
    <t>ARNAV SOLANKI</t>
  </si>
  <si>
    <t>PREETI SOLANKI</t>
  </si>
  <si>
    <t>ADWIT SINGH</t>
  </si>
  <si>
    <t>BHARAT SINGH</t>
  </si>
  <si>
    <t>LELIA SINGH</t>
  </si>
  <si>
    <t>TOTAL CREDIT</t>
  </si>
  <si>
    <t>GRADING:</t>
  </si>
  <si>
    <t>100 - 90</t>
  </si>
  <si>
    <t xml:space="preserve"> B               </t>
  </si>
  <si>
    <t>89-60</t>
  </si>
  <si>
    <t xml:space="preserve">F                </t>
  </si>
  <si>
    <t xml:space="preserve"> BELOW 35</t>
  </si>
  <si>
    <t xml:space="preserve">  A          </t>
  </si>
  <si>
    <t xml:space="preserve">C                              </t>
  </si>
  <si>
    <t xml:space="preserve">  D    </t>
  </si>
  <si>
    <t xml:space="preserve">  44-35</t>
  </si>
  <si>
    <t xml:space="preserve">  59-45        </t>
  </si>
  <si>
    <t>CLASS OVERVIEW</t>
  </si>
  <si>
    <t xml:space="preserve">PASSED </t>
  </si>
  <si>
    <t xml:space="preserve"> FAILED </t>
  </si>
  <si>
    <t>PASSED</t>
  </si>
  <si>
    <t>FAILED</t>
  </si>
  <si>
    <t xml:space="preserve"> PASSED : </t>
  </si>
  <si>
    <t xml:space="preserve"> FAILED : </t>
  </si>
  <si>
    <t xml:space="preserve">FAILED : </t>
  </si>
  <si>
    <t xml:space="preserve">PASSED : </t>
  </si>
  <si>
    <t xml:space="preserve"> CLASS OVERVIEW</t>
  </si>
  <si>
    <t>ADVANCED CALCULAS</t>
  </si>
  <si>
    <t>S.NO.</t>
  </si>
  <si>
    <t>UHVPE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</si>
</sst>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270B9D"/>
      <name val="Noto Sans"/>
      <family val="2"/>
      <charset val="1"/>
    </font>
    <font>
      <sz val="16"/>
      <color theme="1"/>
      <name val="Calibri"/>
      <family val="2"/>
      <scheme val="minor"/>
    </font>
    <font>
      <b/>
      <sz val="16"/>
      <color rgb="FFD52720"/>
      <name val="Noto Sans"/>
      <family val="2"/>
      <charset val="1"/>
    </font>
    <font>
      <b/>
      <sz val="16"/>
      <color rgb="FF259208"/>
      <name val="Noto Sans"/>
      <family val="2"/>
      <charset val="1"/>
    </font>
    <font>
      <b/>
      <sz val="20"/>
      <color rgb="FF270B9D"/>
      <name val="Noto Sans"/>
      <family val="2"/>
    </font>
    <font>
      <b/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rgb="FF270B9D"/>
      <name val="Noto Sans"/>
      <family val="2"/>
      <charset val="1"/>
    </font>
    <font>
      <sz val="18"/>
      <color theme="1"/>
      <name val="Calibri"/>
      <family val="2"/>
      <scheme val="minor"/>
    </font>
    <font>
      <b/>
      <sz val="20"/>
      <color rgb="FF270B9D"/>
      <name val="Noto Sans"/>
      <family val="2"/>
      <charset val="1"/>
    </font>
    <font>
      <b/>
      <sz val="14"/>
      <color theme="1"/>
      <name val="Calibri"/>
      <family val="2"/>
      <scheme val="minor"/>
    </font>
    <font>
      <b/>
      <sz val="14"/>
      <color rgb="FF259208"/>
      <name val="Noto Sans"/>
      <family val="2"/>
      <charset val="1"/>
    </font>
    <font>
      <sz val="10"/>
      <color theme="1"/>
      <name val="Arial"/>
      <family val="2"/>
    </font>
    <font>
      <b/>
      <sz val="14"/>
      <color rgb="FF270B9D"/>
      <name val="Noto Sans"/>
      <family val="2"/>
      <charset val="1"/>
    </font>
    <font>
      <b/>
      <sz val="12"/>
      <color rgb="FFD52720"/>
      <name val="Noto Sans"/>
      <family val="2"/>
      <charset val="1"/>
    </font>
    <font>
      <b/>
      <sz val="12"/>
      <color rgb="FF270B9D"/>
      <name val="Noto Sans"/>
      <family val="2"/>
      <charset val="1"/>
    </font>
    <font>
      <b/>
      <sz val="11"/>
      <color rgb="FF259208"/>
      <name val="Noto Sans"/>
      <family val="2"/>
      <charset val="1"/>
    </font>
    <font>
      <b/>
      <sz val="11"/>
      <color rgb="FFD52720"/>
      <name val="Noto Sans"/>
      <family val="2"/>
      <charset val="1"/>
    </font>
    <font>
      <sz val="24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22"/>
      <color rgb="FF270B9D"/>
      <name val="Noto Sans"/>
      <family val="2"/>
      <charset val="1"/>
    </font>
    <font>
      <b/>
      <sz val="18"/>
      <color rgb="FFD52720"/>
      <name val="Noto Sans"/>
      <family val="2"/>
      <charset val="1"/>
    </font>
    <font>
      <b/>
      <sz val="20"/>
      <color rgb="FFD52720"/>
      <name val="Noto Sans"/>
      <family val="2"/>
      <charset val="1"/>
    </font>
    <font>
      <b/>
      <sz val="18"/>
      <color rgb="FF259208"/>
      <name val="Noto Sans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rgb="FFF06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BC2F8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CCCCCC"/>
      </top>
      <bottom style="medium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/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thin">
        <color indexed="64"/>
      </top>
      <bottom style="medium">
        <color rgb="FFCCCCCC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0" xfId="0" applyFont="1"/>
    <xf numFmtId="0" fontId="1" fillId="5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0" xfId="0" applyFont="1"/>
    <xf numFmtId="0" fontId="0" fillId="11" borderId="1" xfId="0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0" borderId="0" xfId="0" applyFont="1" applyAlignment="1">
      <alignment horizontal="center"/>
    </xf>
    <xf numFmtId="0" fontId="15" fillId="0" borderId="0" xfId="0" applyFont="1" applyAlignment="1">
      <alignment vertical="center"/>
    </xf>
    <xf numFmtId="0" fontId="0" fillId="0" borderId="12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20" xfId="0" applyBorder="1"/>
    <xf numFmtId="0" fontId="0" fillId="12" borderId="0" xfId="0" applyFill="1" applyAlignment="1">
      <alignment horizontal="center"/>
    </xf>
    <xf numFmtId="0" fontId="0" fillId="12" borderId="13" xfId="0" applyFill="1" applyBorder="1" applyAlignment="1">
      <alignment horizontal="center"/>
    </xf>
    <xf numFmtId="0" fontId="0" fillId="12" borderId="0" xfId="0" applyFill="1" applyAlignment="1">
      <alignment horizontal="center" wrapText="1"/>
    </xf>
    <xf numFmtId="0" fontId="0" fillId="12" borderId="20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12" borderId="28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3" borderId="32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8" borderId="32" xfId="0" applyFill="1" applyBorder="1" applyAlignment="1">
      <alignment horizontal="center"/>
    </xf>
    <xf numFmtId="0" fontId="0" fillId="12" borderId="35" xfId="0" applyFill="1" applyBorder="1" applyAlignment="1">
      <alignment horizontal="center"/>
    </xf>
    <xf numFmtId="0" fontId="0" fillId="12" borderId="36" xfId="0" applyFill="1" applyBorder="1" applyAlignment="1">
      <alignment horizontal="center"/>
    </xf>
    <xf numFmtId="0" fontId="0" fillId="12" borderId="37" xfId="0" applyFill="1" applyBorder="1" applyAlignment="1">
      <alignment horizontal="center"/>
    </xf>
    <xf numFmtId="0" fontId="0" fillId="12" borderId="38" xfId="0" applyFill="1" applyBorder="1" applyAlignment="1">
      <alignment horizontal="center"/>
    </xf>
    <xf numFmtId="0" fontId="0" fillId="12" borderId="39" xfId="0" applyFill="1" applyBorder="1" applyAlignment="1">
      <alignment horizontal="center"/>
    </xf>
    <xf numFmtId="0" fontId="0" fillId="12" borderId="40" xfId="0" applyFill="1" applyBorder="1" applyAlignment="1">
      <alignment horizontal="center"/>
    </xf>
    <xf numFmtId="0" fontId="0" fillId="12" borderId="41" xfId="0" applyFill="1" applyBorder="1" applyAlignment="1">
      <alignment horizontal="center"/>
    </xf>
    <xf numFmtId="0" fontId="0" fillId="12" borderId="42" xfId="0" applyFill="1" applyBorder="1" applyAlignment="1">
      <alignment horizontal="center"/>
    </xf>
    <xf numFmtId="0" fontId="0" fillId="12" borderId="33" xfId="0" applyFill="1" applyBorder="1" applyAlignment="1">
      <alignment horizontal="center"/>
    </xf>
    <xf numFmtId="0" fontId="0" fillId="12" borderId="43" xfId="0" applyFill="1" applyBorder="1" applyAlignment="1">
      <alignment horizontal="center"/>
    </xf>
    <xf numFmtId="0" fontId="0" fillId="12" borderId="22" xfId="0" applyFill="1" applyBorder="1" applyAlignment="1">
      <alignment horizontal="center" wrapText="1"/>
    </xf>
    <xf numFmtId="0" fontId="0" fillId="12" borderId="34" xfId="0" applyFill="1" applyBorder="1" applyAlignment="1">
      <alignment horizontal="center"/>
    </xf>
    <xf numFmtId="0" fontId="22" fillId="14" borderId="22" xfId="0" applyFont="1" applyFill="1" applyBorder="1" applyAlignment="1">
      <alignment horizontal="center" wrapText="1"/>
    </xf>
    <xf numFmtId="0" fontId="22" fillId="14" borderId="2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2" fontId="0" fillId="12" borderId="0" xfId="0" applyNumberFormat="1" applyFill="1" applyAlignment="1">
      <alignment horizontal="center"/>
    </xf>
    <xf numFmtId="0" fontId="0" fillId="12" borderId="44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15" fillId="10" borderId="10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10" borderId="18" xfId="0" applyFont="1" applyFill="1" applyBorder="1" applyAlignment="1">
      <alignment horizontal="center" vertical="center" wrapText="1"/>
    </xf>
    <xf numFmtId="0" fontId="15" fillId="10" borderId="19" xfId="0" applyFont="1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wrapText="1"/>
    </xf>
    <xf numFmtId="0" fontId="0" fillId="2" borderId="45" xfId="0" applyFill="1" applyBorder="1" applyAlignment="1">
      <alignment horizontal="center" wrapText="1"/>
    </xf>
    <xf numFmtId="0" fontId="0" fillId="2" borderId="44" xfId="0" applyFill="1" applyBorder="1" applyAlignment="1">
      <alignment horizontal="center" wrapText="1"/>
    </xf>
    <xf numFmtId="0" fontId="15" fillId="2" borderId="44" xfId="0" applyFont="1" applyFill="1" applyBorder="1" applyAlignment="1">
      <alignment horizontal="center" vertical="center" wrapText="1"/>
    </xf>
    <xf numFmtId="0" fontId="15" fillId="10" borderId="47" xfId="0" applyFont="1" applyFill="1" applyBorder="1" applyAlignment="1">
      <alignment horizontal="center" vertical="center" wrapText="1"/>
    </xf>
    <xf numFmtId="0" fontId="15" fillId="10" borderId="48" xfId="0" applyFont="1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wrapText="1"/>
    </xf>
    <xf numFmtId="0" fontId="0" fillId="2" borderId="28" xfId="0" applyFill="1" applyBorder="1" applyAlignment="1">
      <alignment horizontal="center" wrapText="1"/>
    </xf>
    <xf numFmtId="0" fontId="0" fillId="2" borderId="26" xfId="0" applyFill="1" applyBorder="1" applyAlignment="1">
      <alignment horizontal="center" wrapText="1"/>
    </xf>
    <xf numFmtId="0" fontId="0" fillId="2" borderId="34" xfId="0" applyFill="1" applyBorder="1" applyAlignment="1">
      <alignment horizontal="center" wrapText="1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8" borderId="3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2" fillId="14" borderId="21" xfId="0" applyFont="1" applyFill="1" applyBorder="1" applyAlignment="1">
      <alignment horizontal="center" vertical="center"/>
    </xf>
    <xf numFmtId="0" fontId="22" fillId="14" borderId="23" xfId="0" applyFont="1" applyFill="1" applyBorder="1" applyAlignment="1">
      <alignment horizontal="center" vertical="center"/>
    </xf>
    <xf numFmtId="0" fontId="22" fillId="14" borderId="26" xfId="0" applyFont="1" applyFill="1" applyBorder="1" applyAlignment="1">
      <alignment horizontal="center" vertical="center"/>
    </xf>
    <xf numFmtId="0" fontId="22" fillId="14" borderId="28" xfId="0" applyFont="1" applyFill="1" applyBorder="1" applyAlignment="1">
      <alignment horizontal="center" vertic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38" xfId="0" applyFill="1" applyBorder="1" applyAlignment="1">
      <alignment horizontal="center"/>
    </xf>
    <xf numFmtId="0" fontId="0" fillId="12" borderId="39" xfId="0" applyFill="1" applyBorder="1" applyAlignment="1">
      <alignment horizontal="center"/>
    </xf>
    <xf numFmtId="0" fontId="0" fillId="12" borderId="24" xfId="0" applyFill="1" applyBorder="1" applyAlignment="1">
      <alignment horizontal="center" wrapText="1"/>
    </xf>
    <xf numFmtId="0" fontId="0" fillId="12" borderId="25" xfId="0" applyFill="1" applyBorder="1" applyAlignment="1">
      <alignment horizontal="center" wrapText="1"/>
    </xf>
    <xf numFmtId="0" fontId="0" fillId="12" borderId="40" xfId="0" applyFill="1" applyBorder="1" applyAlignment="1">
      <alignment horizontal="center" wrapText="1"/>
    </xf>
    <xf numFmtId="0" fontId="0" fillId="12" borderId="41" xfId="0" applyFill="1" applyBorder="1" applyAlignment="1">
      <alignment horizontal="center" wrapText="1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/>
    </xf>
    <xf numFmtId="0" fontId="0" fillId="12" borderId="28" xfId="0" applyFill="1" applyBorder="1" applyAlignment="1">
      <alignment horizontal="center"/>
    </xf>
    <xf numFmtId="14" fontId="0" fillId="12" borderId="0" xfId="0" applyNumberFormat="1" applyFill="1" applyAlignment="1">
      <alignment horizontal="center" wrapText="1"/>
    </xf>
    <xf numFmtId="0" fontId="0" fillId="12" borderId="27" xfId="0" applyFill="1" applyBorder="1" applyAlignment="1">
      <alignment horizontal="center" wrapText="1"/>
    </xf>
    <xf numFmtId="0" fontId="0" fillId="12" borderId="26" xfId="0" applyFill="1" applyBorder="1" applyAlignment="1">
      <alignment horizontal="center" wrapText="1"/>
    </xf>
    <xf numFmtId="0" fontId="0" fillId="12" borderId="28" xfId="0" applyFill="1" applyBorder="1" applyAlignment="1">
      <alignment horizontal="center" wrapText="1"/>
    </xf>
    <xf numFmtId="0" fontId="0" fillId="12" borderId="21" xfId="0" applyFill="1" applyBorder="1" applyAlignment="1">
      <alignment horizontal="center" wrapText="1"/>
    </xf>
    <xf numFmtId="0" fontId="0" fillId="12" borderId="23" xfId="0" applyFill="1" applyBorder="1" applyAlignment="1">
      <alignment horizontal="center" wrapText="1"/>
    </xf>
    <xf numFmtId="0" fontId="0" fillId="12" borderId="22" xfId="0" applyFill="1" applyBorder="1" applyAlignment="1">
      <alignment horizontal="center" wrapText="1"/>
    </xf>
    <xf numFmtId="0" fontId="0" fillId="12" borderId="0" xfId="0" applyFill="1" applyAlignment="1">
      <alignment horizontal="center" wrapText="1"/>
    </xf>
    <xf numFmtId="0" fontId="16" fillId="12" borderId="21" xfId="0" applyFont="1" applyFill="1" applyBorder="1" applyAlignment="1">
      <alignment horizontal="center" wrapText="1"/>
    </xf>
    <xf numFmtId="0" fontId="16" fillId="12" borderId="22" xfId="0" applyFont="1" applyFill="1" applyBorder="1" applyAlignment="1">
      <alignment horizontal="center" wrapText="1"/>
    </xf>
    <xf numFmtId="0" fontId="16" fillId="12" borderId="23" xfId="0" applyFont="1" applyFill="1" applyBorder="1" applyAlignment="1">
      <alignment horizontal="center" wrapText="1"/>
    </xf>
    <xf numFmtId="0" fontId="18" fillId="12" borderId="24" xfId="0" applyFont="1" applyFill="1" applyBorder="1" applyAlignment="1">
      <alignment horizontal="center" wrapText="1"/>
    </xf>
    <xf numFmtId="0" fontId="18" fillId="12" borderId="0" xfId="0" applyFont="1" applyFill="1" applyAlignment="1">
      <alignment horizontal="center" wrapText="1"/>
    </xf>
    <xf numFmtId="0" fontId="18" fillId="12" borderId="25" xfId="0" applyFont="1" applyFill="1" applyBorder="1" applyAlignment="1">
      <alignment horizontal="center" wrapText="1"/>
    </xf>
    <xf numFmtId="0" fontId="17" fillId="12" borderId="24" xfId="0" applyFont="1" applyFill="1" applyBorder="1" applyAlignment="1">
      <alignment horizontal="center" wrapText="1"/>
    </xf>
    <xf numFmtId="0" fontId="17" fillId="12" borderId="0" xfId="0" applyFont="1" applyFill="1" applyAlignment="1">
      <alignment horizontal="center" wrapText="1"/>
    </xf>
    <xf numFmtId="0" fontId="17" fillId="12" borderId="25" xfId="0" applyFont="1" applyFill="1" applyBorder="1" applyAlignment="1">
      <alignment horizontal="center" wrapText="1"/>
    </xf>
    <xf numFmtId="0" fontId="19" fillId="12" borderId="24" xfId="0" applyFont="1" applyFill="1" applyBorder="1" applyAlignment="1">
      <alignment horizontal="center" wrapText="1"/>
    </xf>
    <xf numFmtId="0" fontId="19" fillId="12" borderId="0" xfId="0" applyFont="1" applyFill="1" applyAlignment="1">
      <alignment horizontal="center" wrapText="1"/>
    </xf>
    <xf numFmtId="0" fontId="19" fillId="12" borderId="25" xfId="0" applyFont="1" applyFill="1" applyBorder="1" applyAlignment="1">
      <alignment horizontal="center" wrapText="1"/>
    </xf>
    <xf numFmtId="0" fontId="20" fillId="12" borderId="24" xfId="0" applyFont="1" applyFill="1" applyBorder="1" applyAlignment="1">
      <alignment horizontal="center" wrapText="1"/>
    </xf>
    <xf numFmtId="0" fontId="20" fillId="12" borderId="0" xfId="0" applyFont="1" applyFill="1" applyAlignment="1">
      <alignment horizontal="center" wrapText="1"/>
    </xf>
    <xf numFmtId="0" fontId="20" fillId="12" borderId="25" xfId="0" applyFont="1" applyFill="1" applyBorder="1" applyAlignment="1">
      <alignment horizontal="center" wrapText="1"/>
    </xf>
    <xf numFmtId="0" fontId="21" fillId="2" borderId="11" xfId="0" applyFont="1" applyFill="1" applyBorder="1" applyAlignment="1">
      <alignment horizontal="center"/>
    </xf>
    <xf numFmtId="0" fontId="21" fillId="2" borderId="29" xfId="0" applyFont="1" applyFill="1" applyBorder="1" applyAlignment="1">
      <alignment horizontal="center"/>
    </xf>
    <xf numFmtId="0" fontId="21" fillId="2" borderId="15" xfId="0" applyFont="1" applyFill="1" applyBorder="1" applyAlignment="1">
      <alignment horizontal="center"/>
    </xf>
    <xf numFmtId="0" fontId="21" fillId="2" borderId="20" xfId="0" applyFont="1" applyFill="1" applyBorder="1" applyAlignment="1">
      <alignment horizontal="center"/>
    </xf>
    <xf numFmtId="0" fontId="22" fillId="14" borderId="27" xfId="0" applyFont="1" applyFill="1" applyBorder="1" applyAlignment="1">
      <alignment horizontal="center"/>
    </xf>
    <xf numFmtId="0" fontId="22" fillId="14" borderId="28" xfId="0" applyFont="1" applyFill="1" applyBorder="1" applyAlignment="1">
      <alignment horizontal="center"/>
    </xf>
    <xf numFmtId="0" fontId="22" fillId="14" borderId="22" xfId="0" applyFont="1" applyFill="1" applyBorder="1" applyAlignment="1">
      <alignment horizontal="center" wrapText="1"/>
    </xf>
    <xf numFmtId="0" fontId="22" fillId="14" borderId="23" xfId="0" applyFont="1" applyFill="1" applyBorder="1" applyAlignment="1">
      <alignment horizontal="center" wrapText="1"/>
    </xf>
    <xf numFmtId="0" fontId="22" fillId="14" borderId="2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3" borderId="0" xfId="0" applyFont="1" applyFill="1" applyAlignment="1">
      <alignment horizontal="center" wrapText="1"/>
    </xf>
    <xf numFmtId="0" fontId="6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0" fillId="11" borderId="8" xfId="0" applyFill="1" applyBorder="1" applyAlignment="1">
      <alignment horizontal="center" wrapText="1"/>
    </xf>
    <xf numFmtId="0" fontId="23" fillId="3" borderId="0" xfId="0" applyFont="1" applyFill="1" applyAlignment="1">
      <alignment horizontal="center" wrapText="1"/>
    </xf>
    <xf numFmtId="0" fontId="25" fillId="3" borderId="0" xfId="0" applyFont="1" applyFill="1" applyAlignment="1">
      <alignment horizontal="center" wrapText="1"/>
    </xf>
    <xf numFmtId="0" fontId="26" fillId="3" borderId="0" xfId="0" applyFont="1" applyFill="1" applyAlignment="1">
      <alignment horizontal="center" wrapText="1"/>
    </xf>
    <xf numFmtId="0" fontId="24" fillId="3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5" fillId="16" borderId="4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4" fontId="15" fillId="15" borderId="8" xfId="0" applyNumberFormat="1" applyFont="1" applyFill="1" applyBorder="1" applyAlignment="1">
      <alignment horizontal="center" vertical="center" wrapText="1"/>
    </xf>
    <xf numFmtId="0" fontId="0" fillId="2" borderId="44" xfId="0" applyFill="1" applyBorder="1" applyAlignment="1">
      <alignment horizontal="center" wrapText="1"/>
    </xf>
    <xf numFmtId="0" fontId="0" fillId="5" borderId="8" xfId="0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17" xfId="0" applyFont="1" applyFill="1" applyBorder="1" applyAlignment="1">
      <alignment horizontal="center" vertical="center" wrapText="1"/>
    </xf>
    <xf numFmtId="0" fontId="15" fillId="11" borderId="8" xfId="0" applyFont="1" applyFill="1" applyBorder="1" applyAlignment="1">
      <alignment horizontal="center" vertical="center" wrapText="1"/>
    </xf>
    <xf numFmtId="0" fontId="15" fillId="2" borderId="44" xfId="0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0" fontId="14" fillId="3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/>
    </xf>
    <xf numFmtId="0" fontId="10" fillId="3" borderId="0" xfId="0" applyFont="1" applyFill="1" applyAlignment="1">
      <alignment horizontal="center" wrapText="1"/>
    </xf>
    <xf numFmtId="0" fontId="1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/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BC2F8"/>
      <color rgb="FFABFFE9"/>
      <color rgb="FFFFFFFF"/>
      <color rgb="FFF0626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9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6F-4398-9B22-6CE881C4C0E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'SUB-1'!$P$17:$P$18</c:f>
              <c:strCache>
                <c:ptCount val="2"/>
                <c:pt idx="0">
                  <c:v>PASSED </c:v>
                </c:pt>
                <c:pt idx="1">
                  <c:v> FAILED </c:v>
                </c:pt>
              </c:strCache>
            </c:strRef>
          </c:cat>
          <c:val>
            <c:numRef>
              <c:f>'SUB-1'!$Q$17:$Q$18</c:f>
              <c:numCache>
                <c:formatCode>General</c:formatCode>
                <c:ptCount val="2"/>
                <c:pt idx="0">
                  <c:v>78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6F-4398-9B22-6CE881C4C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8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CCD-4A0C-935A-34E4A3CC0AB6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'SUB- 2'!$O$16:$O$17</c:f>
              <c:strCache>
                <c:ptCount val="2"/>
                <c:pt idx="0">
                  <c:v>PASSED</c:v>
                </c:pt>
                <c:pt idx="1">
                  <c:v>FAILED</c:v>
                </c:pt>
              </c:strCache>
            </c:strRef>
          </c:cat>
          <c:val>
            <c:numRef>
              <c:f>'SUB- 2'!$P$16:$P$17</c:f>
              <c:numCache>
                <c:formatCode>General</c:formatCode>
                <c:ptCount val="2"/>
                <c:pt idx="0">
                  <c:v>86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CD-4A0C-935A-34E4A3CC0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'SUB-3'!$P$17:$P$18</c:f>
              <c:strCache>
                <c:ptCount val="2"/>
                <c:pt idx="0">
                  <c:v> PASSED : </c:v>
                </c:pt>
                <c:pt idx="1">
                  <c:v> FAILED : </c:v>
                </c:pt>
              </c:strCache>
            </c:strRef>
          </c:cat>
          <c:val>
            <c:numRef>
              <c:f>'SUB-3'!$Q$17:$Q$18</c:f>
              <c:numCache>
                <c:formatCode>General</c:formatCode>
                <c:ptCount val="2"/>
                <c:pt idx="0">
                  <c:v>89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8-4A39-8E21-B3E6F1BCC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1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'SUB-4'!$P$16:$P$17</c:f>
              <c:strCache>
                <c:ptCount val="2"/>
                <c:pt idx="0">
                  <c:v> PASSED : </c:v>
                </c:pt>
                <c:pt idx="1">
                  <c:v>FAILED : </c:v>
                </c:pt>
              </c:strCache>
            </c:strRef>
          </c:cat>
          <c:val>
            <c:numRef>
              <c:f>'SUB-4'!$Q$16:$Q$17</c:f>
              <c:numCache>
                <c:formatCode>General</c:formatCode>
                <c:ptCount val="2"/>
                <c:pt idx="0">
                  <c:v>87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B1-49DA-8037-6824521C1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3-44C5-850A-8957167E33B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'SUB-5'!$P$16:$P$17</c:f>
              <c:strCache>
                <c:ptCount val="2"/>
                <c:pt idx="0">
                  <c:v> PASSED : </c:v>
                </c:pt>
                <c:pt idx="1">
                  <c:v>FAILED : </c:v>
                </c:pt>
              </c:strCache>
            </c:strRef>
          </c:cat>
          <c:val>
            <c:numRef>
              <c:f>'SUB-5'!$Q$16:$Q$17</c:f>
              <c:numCache>
                <c:formatCode>General</c:formatCode>
                <c:ptCount val="2"/>
                <c:pt idx="0">
                  <c:v>81</c:v>
                </c:pt>
                <c:pt idx="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D3-44C5-850A-8957167E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9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6ED-43DE-A208-68ECDC609D5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'SUB-6'!$L$17:$L$18</c:f>
              <c:strCache>
                <c:ptCount val="2"/>
                <c:pt idx="0">
                  <c:v>PASSED : </c:v>
                </c:pt>
                <c:pt idx="1">
                  <c:v> FAILED : </c:v>
                </c:pt>
              </c:strCache>
            </c:strRef>
          </c:cat>
          <c:val>
            <c:numRef>
              <c:f>'SUB-6'!$M$17:$M$18</c:f>
              <c:numCache>
                <c:formatCode>General</c:formatCode>
                <c:ptCount val="2"/>
                <c:pt idx="0">
                  <c:v>78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D-43DE-A208-68ECDC609D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8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16-42FD-B74A-1E68C4381024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16-42FD-B74A-1E68C438102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C616-42FD-B74A-1E68C438102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C616-42FD-B74A-1E68C43810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'SUB-7'!$L$16:$L$17</c:f>
              <c:strCache>
                <c:ptCount val="2"/>
                <c:pt idx="0">
                  <c:v>PASSED : </c:v>
                </c:pt>
                <c:pt idx="1">
                  <c:v>FAILED : </c:v>
                </c:pt>
              </c:strCache>
            </c:strRef>
          </c:cat>
          <c:val>
            <c:numRef>
              <c:f>'SUB-7'!$M$16:$M$17</c:f>
              <c:numCache>
                <c:formatCode>General</c:formatCode>
                <c:ptCount val="2"/>
                <c:pt idx="0">
                  <c:v>70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16-42FD-B74A-1E68C4381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9C-4B92-B756-B6F874E6415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'SUB-8'!$L$16:$L$17</c:f>
              <c:strCache>
                <c:ptCount val="2"/>
                <c:pt idx="0">
                  <c:v> PASSED : </c:v>
                </c:pt>
                <c:pt idx="1">
                  <c:v>FAILED : </c:v>
                </c:pt>
              </c:strCache>
            </c:strRef>
          </c:cat>
          <c:val>
            <c:numRef>
              <c:f>'SUB-8'!$M$16:$M$17</c:f>
              <c:numCache>
                <c:formatCode>General</c:formatCode>
                <c:ptCount val="2"/>
                <c:pt idx="0">
                  <c:v>67</c:v>
                </c:pt>
                <c:pt idx="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C-4B92-B756-B6F874E64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A3A-4892-B497-2F9289BDBF2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'SUB-9'!$L$16:$L$17</c:f>
              <c:strCache>
                <c:ptCount val="2"/>
                <c:pt idx="0">
                  <c:v>PASSED : </c:v>
                </c:pt>
                <c:pt idx="1">
                  <c:v>FAILED : </c:v>
                </c:pt>
              </c:strCache>
            </c:strRef>
          </c:cat>
          <c:val>
            <c:numRef>
              <c:f>'SUB-9'!$M$16:$M$17</c:f>
              <c:numCache>
                <c:formatCode>General</c:formatCode>
                <c:ptCount val="2"/>
                <c:pt idx="0">
                  <c:v>67</c:v>
                </c:pt>
                <c:pt idx="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3A-4892-B497-2F9289BDB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5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9-49FA-A297-B93F6945B4D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'SUB-10'!$L$16:$L$17</c:f>
              <c:strCache>
                <c:ptCount val="2"/>
                <c:pt idx="0">
                  <c:v>PASSED : </c:v>
                </c:pt>
                <c:pt idx="1">
                  <c:v>FAILED : </c:v>
                </c:pt>
              </c:strCache>
            </c:strRef>
          </c:cat>
          <c:val>
            <c:numRef>
              <c:f>'SUB-10'!$M$16:$M$17</c:f>
              <c:numCache>
                <c:formatCode>General</c:formatCode>
                <c:ptCount val="2"/>
                <c:pt idx="0">
                  <c:v>64</c:v>
                </c:pt>
                <c:pt idx="1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9-49FA-A297-B93F6945B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9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80-4CE7-880E-E50D46A4344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 NEC'!$L$15:$L$16</c:f>
              <c:strCache>
                <c:ptCount val="2"/>
                <c:pt idx="0">
                  <c:v> PASSED : </c:v>
                </c:pt>
                <c:pt idx="1">
                  <c:v> FAILED : </c:v>
                </c:pt>
              </c:strCache>
            </c:strRef>
          </c:cat>
          <c:val>
            <c:numRef>
              <c:f>'SUB- NEC'!$M$15:$M$16</c:f>
              <c:numCache>
                <c:formatCode>General</c:formatCode>
                <c:ptCount val="2"/>
                <c:pt idx="0">
                  <c:v>66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80-4CE7-880E-E50D46A434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explosion val="15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BD1-4F7E-8637-699B67F419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D1-4F7E-8637-699B67F419C4}"/>
              </c:ext>
            </c:extLst>
          </c:dPt>
          <c:dLbls>
            <c:dLbl>
              <c:idx val="0"/>
              <c:layout>
                <c:manualLayout>
                  <c:x val="4.4444444444444342E-2"/>
                  <c:y val="-3.240740740740740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D1-4F7E-8637-699B67F419C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'SUB-12'!$P$14:$P$15</c:f>
              <c:strCache>
                <c:ptCount val="2"/>
                <c:pt idx="0">
                  <c:v>PASSED : </c:v>
                </c:pt>
                <c:pt idx="1">
                  <c:v>FAILED : </c:v>
                </c:pt>
              </c:strCache>
            </c:strRef>
          </c:cat>
          <c:val>
            <c:numRef>
              <c:f>'SUB-12'!$Q$14:$Q$15</c:f>
              <c:numCache>
                <c:formatCode>General</c:formatCode>
                <c:ptCount val="2"/>
                <c:pt idx="0">
                  <c:v>89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D1-4F7E-8637-699B67F41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146051</xdr:rowOff>
    </xdr:from>
    <xdr:to>
      <xdr:col>1</xdr:col>
      <xdr:colOff>537941</xdr:colOff>
      <xdr:row>4</xdr:row>
      <xdr:rowOff>177187</xdr:rowOff>
    </xdr:to>
    <xdr:pic>
      <xdr:nvPicPr>
        <xdr:cNvPr id="2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B5B3AF63-8524-4BE4-896C-0A8C256D0F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46051"/>
          <a:ext cx="976091" cy="920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825047</xdr:colOff>
      <xdr:row>0</xdr:row>
      <xdr:rowOff>50799</xdr:rowOff>
    </xdr:from>
    <xdr:to>
      <xdr:col>9</xdr:col>
      <xdr:colOff>520700</xdr:colOff>
      <xdr:row>5</xdr:row>
      <xdr:rowOff>127501</xdr:rowOff>
    </xdr:to>
    <xdr:pic>
      <xdr:nvPicPr>
        <xdr:cNvPr id="3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3534996-878C-49DB-8945-AFB3E9972C2F}"/>
            </a:ext>
            <a:ext uri="{147F2762-F138-4A5C-976F-8EAC2B608ADB}">
              <a16:predDERef xmlns:a16="http://schemas.microsoft.com/office/drawing/2014/main" pred="{FB850934-7474-4311-A5AE-910BB6C8A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6147" y="50799"/>
          <a:ext cx="1118053" cy="11711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6803</xdr:colOff>
      <xdr:row>0</xdr:row>
      <xdr:rowOff>109311</xdr:rowOff>
    </xdr:from>
    <xdr:to>
      <xdr:col>5</xdr:col>
      <xdr:colOff>725714</xdr:colOff>
      <xdr:row>8</xdr:row>
      <xdr:rowOff>28047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7C518104-1E0E-4D6E-B852-4D317F99FD63}"/>
            </a:ext>
            <a:ext uri="{147F2762-F138-4A5C-976F-8EAC2B608ADB}">
              <a16:predDERef xmlns:a16="http://schemas.microsoft.com/office/drawing/2014/main" pred="{B40314BD-B7EA-4358-BBD6-8ECE838F47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3732" y="109311"/>
          <a:ext cx="1889125" cy="18600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981075</xdr:colOff>
      <xdr:row>0</xdr:row>
      <xdr:rowOff>145597</xdr:rowOff>
    </xdr:from>
    <xdr:to>
      <xdr:col>16</xdr:col>
      <xdr:colOff>98049</xdr:colOff>
      <xdr:row>9</xdr:row>
      <xdr:rowOff>36286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F0929F0C-D74F-4081-924E-7C524C0FC49B}"/>
            </a:ext>
            <a:ext uri="{147F2762-F138-4A5C-976F-8EAC2B608ADB}">
              <a16:predDERef xmlns:a16="http://schemas.microsoft.com/office/drawing/2014/main" pred="{7C518104-1E0E-4D6E-B852-4D317F99F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7646" y="145597"/>
          <a:ext cx="2137760" cy="20950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134711</xdr:colOff>
      <xdr:row>0</xdr:row>
      <xdr:rowOff>0</xdr:rowOff>
    </xdr:from>
    <xdr:to>
      <xdr:col>3</xdr:col>
      <xdr:colOff>458611</xdr:colOff>
      <xdr:row>6</xdr:row>
      <xdr:rowOff>193659</xdr:rowOff>
    </xdr:to>
    <xdr:pic>
      <xdr:nvPicPr>
        <xdr:cNvPr id="2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7732B74-7B13-40B9-B7F4-136835FC4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711" y="0"/>
          <a:ext cx="1981956" cy="1839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517425</xdr:colOff>
      <xdr:row>0</xdr:row>
      <xdr:rowOff>0</xdr:rowOff>
    </xdr:from>
    <xdr:to>
      <xdr:col>21</xdr:col>
      <xdr:colOff>0</xdr:colOff>
      <xdr:row>7</xdr:row>
      <xdr:rowOff>121353</xdr:rowOff>
    </xdr:to>
    <xdr:pic>
      <xdr:nvPicPr>
        <xdr:cNvPr id="3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996520DC-0F36-4466-9D2A-E1BDE4B1DD41}"/>
            </a:ext>
            <a:ext uri="{147F2762-F138-4A5C-976F-8EAC2B608ADB}">
              <a16:predDERef xmlns:a16="http://schemas.microsoft.com/office/drawing/2014/main" pred="{FB850934-7474-4311-A5AE-910BB6C8A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47703" y="0"/>
          <a:ext cx="2081371" cy="2096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396875</xdr:colOff>
      <xdr:row>0</xdr:row>
      <xdr:rowOff>0</xdr:rowOff>
    </xdr:from>
    <xdr:to>
      <xdr:col>5</xdr:col>
      <xdr:colOff>237067</xdr:colOff>
      <xdr:row>7</xdr:row>
      <xdr:rowOff>11642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E5EFF45-CBE3-4311-A204-98A0BCAA8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6075" y="0"/>
          <a:ext cx="1685925" cy="1704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697441</xdr:colOff>
      <xdr:row>0</xdr:row>
      <xdr:rowOff>0</xdr:rowOff>
    </xdr:from>
    <xdr:to>
      <xdr:col>17</xdr:col>
      <xdr:colOff>355599</xdr:colOff>
      <xdr:row>7</xdr:row>
      <xdr:rowOff>154517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A6A8164D-DED2-4943-836A-80F847060707}"/>
            </a:ext>
            <a:ext uri="{147F2762-F138-4A5C-976F-8EAC2B608ADB}">
              <a16:predDERef xmlns:a16="http://schemas.microsoft.com/office/drawing/2014/main" pred="{EE5EFF45-CBE3-4311-A204-98A0BCAA8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70241" y="0"/>
          <a:ext cx="1800225" cy="1847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329848</xdr:colOff>
      <xdr:row>0</xdr:row>
      <xdr:rowOff>0</xdr:rowOff>
    </xdr:from>
    <xdr:to>
      <xdr:col>5</xdr:col>
      <xdr:colOff>432153</xdr:colOff>
      <xdr:row>7</xdr:row>
      <xdr:rowOff>54908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696E61CD-EC3D-41A6-9D78-BDEF3B50B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55473" y="0"/>
          <a:ext cx="1725083" cy="1712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259645</xdr:colOff>
      <xdr:row>0</xdr:row>
      <xdr:rowOff>0</xdr:rowOff>
    </xdr:from>
    <xdr:to>
      <xdr:col>16</xdr:col>
      <xdr:colOff>535165</xdr:colOff>
      <xdr:row>7</xdr:row>
      <xdr:rowOff>180269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DD69E2AA-2E7F-4916-B5CF-C115550D3269}"/>
            </a:ext>
            <a:ext uri="{147F2762-F138-4A5C-976F-8EAC2B608ADB}">
              <a16:predDERef xmlns:a16="http://schemas.microsoft.com/office/drawing/2014/main" pred="{696E61CD-EC3D-41A6-9D78-BDEF3B50B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5201" y="0"/>
          <a:ext cx="1801283" cy="1838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3969</xdr:colOff>
      <xdr:row>18</xdr:row>
      <xdr:rowOff>176212</xdr:rowOff>
    </xdr:from>
    <xdr:to>
      <xdr:col>22</xdr:col>
      <xdr:colOff>273844</xdr:colOff>
      <xdr:row>33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3D9276-F31A-7AE4-48A1-67977F4E7F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878419</xdr:colOff>
      <xdr:row>0</xdr:row>
      <xdr:rowOff>0</xdr:rowOff>
    </xdr:from>
    <xdr:to>
      <xdr:col>5</xdr:col>
      <xdr:colOff>271640</xdr:colOff>
      <xdr:row>8</xdr:row>
      <xdr:rowOff>37748</xdr:rowOff>
    </xdr:to>
    <xdr:pic>
      <xdr:nvPicPr>
        <xdr:cNvPr id="8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1C090714-B3BF-40AB-9F61-E426254D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9919" y="0"/>
          <a:ext cx="1912054" cy="18792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674159</xdr:colOff>
      <xdr:row>0</xdr:row>
      <xdr:rowOff>0</xdr:rowOff>
    </xdr:from>
    <xdr:to>
      <xdr:col>16</xdr:col>
      <xdr:colOff>250472</xdr:colOff>
      <xdr:row>8</xdr:row>
      <xdr:rowOff>254520</xdr:rowOff>
    </xdr:to>
    <xdr:pic>
      <xdr:nvPicPr>
        <xdr:cNvPr id="9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C1AF1A6-64E3-4431-8C46-21A63E536BA4}"/>
            </a:ext>
            <a:ext uri="{147F2762-F138-4A5C-976F-8EAC2B608ADB}">
              <a16:predDERef xmlns:a16="http://schemas.microsoft.com/office/drawing/2014/main" pred="{696E61CD-EC3D-41A6-9D78-BDEF3B50B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21242" y="0"/>
          <a:ext cx="2073980" cy="2096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7402</xdr:colOff>
      <xdr:row>18</xdr:row>
      <xdr:rowOff>5234</xdr:rowOff>
    </xdr:from>
    <xdr:to>
      <xdr:col>20</xdr:col>
      <xdr:colOff>595420</xdr:colOff>
      <xdr:row>33</xdr:row>
      <xdr:rowOff>9997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8BB1C2-186C-994D-9FD3-745AD1FB9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115661</xdr:colOff>
      <xdr:row>0</xdr:row>
      <xdr:rowOff>0</xdr:rowOff>
    </xdr:from>
    <xdr:to>
      <xdr:col>5</xdr:col>
      <xdr:colOff>279703</xdr:colOff>
      <xdr:row>7</xdr:row>
      <xdr:rowOff>11149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1CE41CCF-A5C9-4FBA-AFB5-73A5511C8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2625" y="0"/>
          <a:ext cx="1789340" cy="1734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69396</xdr:colOff>
      <xdr:row>0</xdr:row>
      <xdr:rowOff>0</xdr:rowOff>
    </xdr:from>
    <xdr:to>
      <xdr:col>16</xdr:col>
      <xdr:colOff>339876</xdr:colOff>
      <xdr:row>7</xdr:row>
      <xdr:rowOff>80736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DD1509BC-844F-4556-8233-AC4CFBA2ECD0}"/>
            </a:ext>
            <a:ext uri="{147F2762-F138-4A5C-976F-8EAC2B608ADB}">
              <a16:predDERef xmlns:a16="http://schemas.microsoft.com/office/drawing/2014/main" pred="{1CE41CCF-A5C9-4FBA-AFB5-73A5511C8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32670" y="0"/>
          <a:ext cx="1805063" cy="1804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11906</xdr:colOff>
      <xdr:row>19</xdr:row>
      <xdr:rowOff>9525</xdr:rowOff>
    </xdr:from>
    <xdr:to>
      <xdr:col>22</xdr:col>
      <xdr:colOff>305593</xdr:colOff>
      <xdr:row>34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A314A0-B531-D9C9-478A-0ADBD5426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280459</xdr:colOff>
      <xdr:row>0</xdr:row>
      <xdr:rowOff>0</xdr:rowOff>
    </xdr:from>
    <xdr:to>
      <xdr:col>5</xdr:col>
      <xdr:colOff>825500</xdr:colOff>
      <xdr:row>7</xdr:row>
      <xdr:rowOff>20638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8B1F830-B8E8-43CE-B0A3-EF1CFD4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042" y="0"/>
          <a:ext cx="1709208" cy="1650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608012</xdr:colOff>
      <xdr:row>0</xdr:row>
      <xdr:rowOff>0</xdr:rowOff>
    </xdr:from>
    <xdr:to>
      <xdr:col>15</xdr:col>
      <xdr:colOff>520170</xdr:colOff>
      <xdr:row>7</xdr:row>
      <xdr:rowOff>163513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4917DE55-75AA-4994-9C3F-0072D640C475}"/>
            </a:ext>
            <a:ext uri="{147F2762-F138-4A5C-976F-8EAC2B608ADB}">
              <a16:predDERef xmlns:a16="http://schemas.microsoft.com/office/drawing/2014/main" pred="{E8B1F830-B8E8-43CE-B0A3-EF1CFD4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4512" y="0"/>
          <a:ext cx="1795991" cy="1793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11906</xdr:colOff>
      <xdr:row>18</xdr:row>
      <xdr:rowOff>9524</xdr:rowOff>
    </xdr:from>
    <xdr:to>
      <xdr:col>22</xdr:col>
      <xdr:colOff>305594</xdr:colOff>
      <xdr:row>33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7BD8F-0318-DB86-886C-8939EFB19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351517</xdr:colOff>
      <xdr:row>0</xdr:row>
      <xdr:rowOff>454</xdr:rowOff>
    </xdr:from>
    <xdr:to>
      <xdr:col>5</xdr:col>
      <xdr:colOff>435428</xdr:colOff>
      <xdr:row>6</xdr:row>
      <xdr:rowOff>272143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83A5ADED-B75A-4D25-AA7E-A3C48B30A3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4874" y="454"/>
          <a:ext cx="1707697" cy="1704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58737</xdr:colOff>
      <xdr:row>0</xdr:row>
      <xdr:rowOff>0</xdr:rowOff>
    </xdr:from>
    <xdr:to>
      <xdr:col>16</xdr:col>
      <xdr:colOff>331787</xdr:colOff>
      <xdr:row>7</xdr:row>
      <xdr:rowOff>136979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4891CA8E-37DF-44C7-865F-07AF3646CF8A}"/>
            </a:ext>
            <a:ext uri="{147F2762-F138-4A5C-976F-8EAC2B608ADB}">
              <a16:predDERef xmlns:a16="http://schemas.microsoft.com/office/drawing/2014/main" pred="{83A5ADED-B75A-4D25-AA7E-A3C48B30A3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98362" y="0"/>
          <a:ext cx="1804988" cy="1844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11906</xdr:colOff>
      <xdr:row>18</xdr:row>
      <xdr:rowOff>1588</xdr:rowOff>
    </xdr:from>
    <xdr:to>
      <xdr:col>22</xdr:col>
      <xdr:colOff>305593</xdr:colOff>
      <xdr:row>33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23E61-96B6-CFC4-6039-CE7C1FC03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324303</xdr:colOff>
      <xdr:row>0</xdr:row>
      <xdr:rowOff>18596</xdr:rowOff>
    </xdr:from>
    <xdr:to>
      <xdr:col>5</xdr:col>
      <xdr:colOff>408214</xdr:colOff>
      <xdr:row>7</xdr:row>
      <xdr:rowOff>20864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40FC8BD8-8C22-44DC-A969-94C481C32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7660" y="18596"/>
          <a:ext cx="1707697" cy="16804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27046</xdr:colOff>
      <xdr:row>0</xdr:row>
      <xdr:rowOff>0</xdr:rowOff>
    </xdr:from>
    <xdr:to>
      <xdr:col>16</xdr:col>
      <xdr:colOff>302352</xdr:colOff>
      <xdr:row>7</xdr:row>
      <xdr:rowOff>145143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24F674B6-7954-4129-9058-95FEF0F1B006}"/>
            </a:ext>
            <a:ext uri="{147F2762-F138-4A5C-976F-8EAC2B608ADB}">
              <a16:predDERef xmlns:a16="http://schemas.microsoft.com/office/drawing/2014/main" pred="{40FC8BD8-8C22-44DC-A969-94C481C32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75118" y="0"/>
          <a:ext cx="1805427" cy="18277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27781</xdr:colOff>
      <xdr:row>18</xdr:row>
      <xdr:rowOff>176212</xdr:rowOff>
    </xdr:from>
    <xdr:to>
      <xdr:col>17</xdr:col>
      <xdr:colOff>194468</xdr:colOff>
      <xdr:row>33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5A8179-1049-3E97-6988-47A0D9E1A4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342446</xdr:colOff>
      <xdr:row>0</xdr:row>
      <xdr:rowOff>0</xdr:rowOff>
    </xdr:from>
    <xdr:to>
      <xdr:col>5</xdr:col>
      <xdr:colOff>426357</xdr:colOff>
      <xdr:row>6</xdr:row>
      <xdr:rowOff>270468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0101DD90-DA64-4DCC-8E00-509F1C04C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5803" y="0"/>
          <a:ext cx="1707697" cy="16674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887746</xdr:colOff>
      <xdr:row>0</xdr:row>
      <xdr:rowOff>0</xdr:rowOff>
    </xdr:from>
    <xdr:to>
      <xdr:col>16</xdr:col>
      <xdr:colOff>249453</xdr:colOff>
      <xdr:row>7</xdr:row>
      <xdr:rowOff>130483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0717AE84-2209-4603-BA52-3465E3D32B56}"/>
            </a:ext>
            <a:ext uri="{147F2762-F138-4A5C-976F-8EAC2B608ADB}">
              <a16:predDERef xmlns:a16="http://schemas.microsoft.com/office/drawing/2014/main" pred="{0101DD90-DA64-4DCC-8E00-509F1C04C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0317" y="0"/>
          <a:ext cx="1856350" cy="1808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719666</xdr:colOff>
      <xdr:row>17</xdr:row>
      <xdr:rowOff>180622</xdr:rowOff>
    </xdr:from>
    <xdr:to>
      <xdr:col>17</xdr:col>
      <xdr:colOff>162278</xdr:colOff>
      <xdr:row>32</xdr:row>
      <xdr:rowOff>172155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C27969-B501-E3A7-3AA5-0DFC452D72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333375</xdr:colOff>
      <xdr:row>0</xdr:row>
      <xdr:rowOff>42333</xdr:rowOff>
    </xdr:from>
    <xdr:to>
      <xdr:col>5</xdr:col>
      <xdr:colOff>423333</xdr:colOff>
      <xdr:row>7</xdr:row>
      <xdr:rowOff>45508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B15D3812-1F3A-4ED2-9A09-9E60E1760A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4875" y="42333"/>
          <a:ext cx="1709208" cy="1664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949326</xdr:colOff>
      <xdr:row>0</xdr:row>
      <xdr:rowOff>0</xdr:rowOff>
    </xdr:from>
    <xdr:to>
      <xdr:col>16</xdr:col>
      <xdr:colOff>247650</xdr:colOff>
      <xdr:row>7</xdr:row>
      <xdr:rowOff>146050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D3F7E9F5-877F-4EEC-86C4-37160BF492B3}"/>
            </a:ext>
            <a:ext uri="{147F2762-F138-4A5C-976F-8EAC2B608ADB}">
              <a16:predDERef xmlns:a16="http://schemas.microsoft.com/office/drawing/2014/main" pred="{B15D3812-1F3A-4ED2-9A09-9E60E1760A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2826" y="0"/>
          <a:ext cx="1795991" cy="18076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11905</xdr:colOff>
      <xdr:row>17</xdr:row>
      <xdr:rowOff>176212</xdr:rowOff>
    </xdr:from>
    <xdr:to>
      <xdr:col>17</xdr:col>
      <xdr:colOff>178593</xdr:colOff>
      <xdr:row>32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54040F-C94F-DFE6-F68E-A5895B227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213254</xdr:colOff>
      <xdr:row>0</xdr:row>
      <xdr:rowOff>0</xdr:rowOff>
    </xdr:from>
    <xdr:to>
      <xdr:col>5</xdr:col>
      <xdr:colOff>307445</xdr:colOff>
      <xdr:row>7</xdr:row>
      <xdr:rowOff>1587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A30DD495-C182-4FC7-B893-026248F7D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4754" y="0"/>
          <a:ext cx="1713441" cy="16631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89429</xdr:colOff>
      <xdr:row>0</xdr:row>
      <xdr:rowOff>0</xdr:rowOff>
    </xdr:from>
    <xdr:to>
      <xdr:col>16</xdr:col>
      <xdr:colOff>356130</xdr:colOff>
      <xdr:row>7</xdr:row>
      <xdr:rowOff>144462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FDEB0B1D-ECBD-441F-87F8-5F88F5277900}"/>
            </a:ext>
            <a:ext uri="{147F2762-F138-4A5C-976F-8EAC2B608ADB}">
              <a16:predDERef xmlns:a16="http://schemas.microsoft.com/office/drawing/2014/main" pred="{A30DD495-C182-4FC7-B893-026248F7D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71929" y="0"/>
          <a:ext cx="1801284" cy="18060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11906</xdr:colOff>
      <xdr:row>18</xdr:row>
      <xdr:rowOff>9525</xdr:rowOff>
    </xdr:from>
    <xdr:to>
      <xdr:col>17</xdr:col>
      <xdr:colOff>178593</xdr:colOff>
      <xdr:row>33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73E1FC-0299-6756-D505-1E486E16F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238126</xdr:colOff>
      <xdr:row>1</xdr:row>
      <xdr:rowOff>20108</xdr:rowOff>
    </xdr:from>
    <xdr:to>
      <xdr:col>5</xdr:col>
      <xdr:colOff>328084</xdr:colOff>
      <xdr:row>7</xdr:row>
      <xdr:rowOff>209550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2BCC28DF-DEF7-48F3-9355-79EC875C5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9626" y="200025"/>
          <a:ext cx="1709208" cy="16711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24039</xdr:colOff>
      <xdr:row>0</xdr:row>
      <xdr:rowOff>169333</xdr:rowOff>
    </xdr:from>
    <xdr:to>
      <xdr:col>16</xdr:col>
      <xdr:colOff>289984</xdr:colOff>
      <xdr:row>8</xdr:row>
      <xdr:rowOff>57149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315CBF2E-38E4-4DC6-BB4D-CD54DF025D4E}"/>
            </a:ext>
            <a:ext uri="{147F2762-F138-4A5C-976F-8EAC2B608ADB}">
              <a16:predDERef xmlns:a16="http://schemas.microsoft.com/office/drawing/2014/main" pred="{2BCC28DF-DEF7-48F3-9355-79EC875C5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59456" y="169333"/>
          <a:ext cx="1800528" cy="18139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18</xdr:row>
      <xdr:rowOff>25399</xdr:rowOff>
    </xdr:from>
    <xdr:to>
      <xdr:col>17</xdr:col>
      <xdr:colOff>176389</xdr:colOff>
      <xdr:row>33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E9E951-02EE-967D-AB53-1E5FC5AFD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161018</xdr:colOff>
      <xdr:row>0</xdr:row>
      <xdr:rowOff>0</xdr:rowOff>
    </xdr:from>
    <xdr:to>
      <xdr:col>5</xdr:col>
      <xdr:colOff>244929</xdr:colOff>
      <xdr:row>7</xdr:row>
      <xdr:rowOff>3175</xdr:rowOff>
    </xdr:to>
    <xdr:pic>
      <xdr:nvPicPr>
        <xdr:cNvPr id="4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445493E3-DACC-429B-8B48-3E19A82CB2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4375" y="0"/>
          <a:ext cx="1707697" cy="16813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43996</xdr:colOff>
      <xdr:row>0</xdr:row>
      <xdr:rowOff>0</xdr:rowOff>
    </xdr:from>
    <xdr:to>
      <xdr:col>16</xdr:col>
      <xdr:colOff>313871</xdr:colOff>
      <xdr:row>7</xdr:row>
      <xdr:rowOff>142422</xdr:rowOff>
    </xdr:to>
    <xdr:pic>
      <xdr:nvPicPr>
        <xdr:cNvPr id="5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7AA0275-10BF-4185-ADDE-AD2612CA1170}"/>
            </a:ext>
            <a:ext uri="{147F2762-F138-4A5C-976F-8EAC2B608ADB}">
              <a16:predDERef xmlns:a16="http://schemas.microsoft.com/office/drawing/2014/main" pred="{445493E3-DACC-429B-8B48-3E19A82CB2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44853" y="0"/>
          <a:ext cx="1802947" cy="18206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724958</xdr:colOff>
      <xdr:row>17</xdr:row>
      <xdr:rowOff>9525</xdr:rowOff>
    </xdr:from>
    <xdr:to>
      <xdr:col>17</xdr:col>
      <xdr:colOff>153458</xdr:colOff>
      <xdr:row>32</xdr:row>
      <xdr:rowOff>53975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2CCBD7-66C7-263D-F795-57589BA28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134711</xdr:colOff>
      <xdr:row>1</xdr:row>
      <xdr:rowOff>27214</xdr:rowOff>
    </xdr:from>
    <xdr:to>
      <xdr:col>4</xdr:col>
      <xdr:colOff>779236</xdr:colOff>
      <xdr:row>7</xdr:row>
      <xdr:rowOff>187779</xdr:rowOff>
    </xdr:to>
    <xdr:pic>
      <xdr:nvPicPr>
        <xdr:cNvPr id="2" name="Picture 1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FB850934-7474-4311-A5AE-910BB6C8A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0282" y="208643"/>
          <a:ext cx="1705883" cy="1657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482147</xdr:colOff>
      <xdr:row>1</xdr:row>
      <xdr:rowOff>91167</xdr:rowOff>
    </xdr:from>
    <xdr:to>
      <xdr:col>17</xdr:col>
      <xdr:colOff>143329</xdr:colOff>
      <xdr:row>8</xdr:row>
      <xdr:rowOff>126999</xdr:rowOff>
    </xdr:to>
    <xdr:pic>
      <xdr:nvPicPr>
        <xdr:cNvPr id="3" name="Picture 2" descr="माधव प्रौद्योगिकी एवं विज्ञान संस्थान, ग्वालियर (म.प्र.), भारत">
          <a:extLst>
            <a:ext uri="{FF2B5EF4-FFF2-40B4-BE49-F238E27FC236}">
              <a16:creationId xmlns:a16="http://schemas.microsoft.com/office/drawing/2014/main" id="{EEE109ED-A48B-4C34-93CD-3F1FC64B3D39}"/>
            </a:ext>
            <a:ext uri="{147F2762-F138-4A5C-976F-8EAC2B608ADB}">
              <a16:predDERef xmlns:a16="http://schemas.microsoft.com/office/drawing/2014/main" pred="{FB850934-7474-4311-A5AE-910BB6C8A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22933" y="272596"/>
          <a:ext cx="1802039" cy="17956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7055</xdr:colOff>
      <xdr:row>16</xdr:row>
      <xdr:rowOff>4233</xdr:rowOff>
    </xdr:from>
    <xdr:to>
      <xdr:col>22</xdr:col>
      <xdr:colOff>331611</xdr:colOff>
      <xdr:row>30</xdr:row>
      <xdr:rowOff>179211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0D069F-5047-375E-35EC-EC583E821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C9C18-6EFB-4AA7-9E0D-FC6999349D95}">
  <sheetPr codeName="Sheet16"/>
  <dimension ref="A1:Q425"/>
  <sheetViews>
    <sheetView view="pageLayout" topLeftCell="A24" zoomScale="62" zoomScaleNormal="100" zoomScaleSheetLayoutView="36" zoomScalePageLayoutView="62" workbookViewId="0">
      <selection activeCell="C16" sqref="C16"/>
    </sheetView>
  </sheetViews>
  <sheetFormatPr defaultRowHeight="14.5" x14ac:dyDescent="0.35"/>
  <cols>
    <col min="1" max="1" width="6.6328125" customWidth="1"/>
    <col min="2" max="2" width="9.453125" customWidth="1"/>
    <col min="3" max="3" width="7.1796875" customWidth="1"/>
    <col min="5" max="5" width="18.54296875" customWidth="1"/>
    <col min="6" max="6" width="9.54296875" customWidth="1"/>
    <col min="7" max="7" width="11.08984375" customWidth="1"/>
    <col min="8" max="8" width="12.81640625" customWidth="1"/>
    <col min="9" max="9" width="7" customWidth="1"/>
    <col min="10" max="10" width="8.54296875" customWidth="1"/>
    <col min="11" max="11" width="3.54296875" customWidth="1"/>
  </cols>
  <sheetData>
    <row r="1" spans="1:10" x14ac:dyDescent="0.35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0.5" x14ac:dyDescent="0.55000000000000004">
      <c r="A2" s="135" t="s">
        <v>0</v>
      </c>
      <c r="B2" s="136"/>
      <c r="C2" s="136"/>
      <c r="D2" s="136"/>
      <c r="E2" s="136"/>
      <c r="F2" s="136"/>
      <c r="G2" s="136"/>
      <c r="H2" s="136"/>
      <c r="I2" s="136"/>
      <c r="J2" s="137"/>
    </row>
    <row r="3" spans="1:10" ht="18" x14ac:dyDescent="0.5">
      <c r="A3" s="138" t="s">
        <v>1</v>
      </c>
      <c r="B3" s="139"/>
      <c r="C3" s="139"/>
      <c r="D3" s="139"/>
      <c r="E3" s="139"/>
      <c r="F3" s="139"/>
      <c r="G3" s="139"/>
      <c r="H3" s="139"/>
      <c r="I3" s="139"/>
      <c r="J3" s="140"/>
    </row>
    <row r="4" spans="1:10" ht="18" x14ac:dyDescent="0.5">
      <c r="A4" s="141" t="s">
        <v>2</v>
      </c>
      <c r="B4" s="142"/>
      <c r="C4" s="142"/>
      <c r="D4" s="142"/>
      <c r="E4" s="142"/>
      <c r="F4" s="142"/>
      <c r="G4" s="142"/>
      <c r="H4" s="142"/>
      <c r="I4" s="142"/>
      <c r="J4" s="143"/>
    </row>
    <row r="5" spans="1:10" ht="16.5" x14ac:dyDescent="0.45">
      <c r="A5" s="144" t="s">
        <v>3</v>
      </c>
      <c r="B5" s="145"/>
      <c r="C5" s="145"/>
      <c r="D5" s="145"/>
      <c r="E5" s="145"/>
      <c r="F5" s="145"/>
      <c r="G5" s="145"/>
      <c r="H5" s="145"/>
      <c r="I5" s="145"/>
      <c r="J5" s="146"/>
    </row>
    <row r="6" spans="1:10" ht="16.5" x14ac:dyDescent="0.45">
      <c r="A6" s="147" t="s">
        <v>4</v>
      </c>
      <c r="B6" s="148"/>
      <c r="C6" s="148"/>
      <c r="D6" s="148"/>
      <c r="E6" s="148"/>
      <c r="F6" s="148"/>
      <c r="G6" s="148"/>
      <c r="H6" s="148"/>
      <c r="I6" s="148"/>
      <c r="J6" s="149"/>
    </row>
    <row r="7" spans="1:10" x14ac:dyDescent="0.35">
      <c r="A7" s="129" t="s">
        <v>609</v>
      </c>
      <c r="B7" s="128"/>
      <c r="C7" s="128"/>
      <c r="D7" s="128"/>
      <c r="E7" s="128"/>
      <c r="F7" s="128"/>
      <c r="G7" s="128"/>
      <c r="H7" s="128"/>
      <c r="I7" s="128"/>
      <c r="J7" s="130"/>
    </row>
    <row r="8" spans="1:10" x14ac:dyDescent="0.35">
      <c r="A8" s="58"/>
      <c r="B8" s="54"/>
      <c r="C8" s="54"/>
      <c r="D8" s="54"/>
      <c r="E8" s="54"/>
      <c r="F8" s="54"/>
      <c r="G8" s="54"/>
      <c r="H8" s="54"/>
      <c r="I8" s="54"/>
      <c r="J8" s="59"/>
    </row>
    <row r="9" spans="1:10" x14ac:dyDescent="0.35">
      <c r="A9" s="58"/>
      <c r="B9" s="54"/>
      <c r="C9" s="54"/>
      <c r="D9" s="54"/>
      <c r="E9" s="54"/>
      <c r="F9" s="54"/>
      <c r="G9" s="54"/>
      <c r="H9" s="54"/>
      <c r="I9" s="54"/>
      <c r="J9" s="59"/>
    </row>
    <row r="10" spans="1:10" x14ac:dyDescent="0.35">
      <c r="A10" s="131" t="s">
        <v>603</v>
      </c>
      <c r="B10" s="132"/>
      <c r="C10" s="133" t="str">
        <f>VLOOKUP($C$15,'STUDENT INFO'!$C$15:'STUDENT INFO'!$U$114,7,FALSE)</f>
        <v>ANANYA DUBEY</v>
      </c>
      <c r="D10" s="133"/>
      <c r="E10" s="133"/>
      <c r="F10" s="79"/>
      <c r="G10" s="85" t="s">
        <v>606</v>
      </c>
      <c r="H10" s="133" t="str">
        <f>VLOOKUP($C$15,'STUDENT INFO'!$C$15:'STUDENT INFO'!$U$114,18,FALSE)</f>
        <v>B.Tech.</v>
      </c>
      <c r="I10" s="133"/>
      <c r="J10" s="83"/>
    </row>
    <row r="11" spans="1:10" ht="14.5" customHeight="1" x14ac:dyDescent="0.35">
      <c r="A11" s="119" t="s">
        <v>604</v>
      </c>
      <c r="B11" s="120"/>
      <c r="C11" s="134" t="str">
        <f>VLOOKUP($C$15,'STUDENT INFO'!$C$15:'STUDENT INFO'!$U$114,10,FALSE)</f>
        <v>AHSISH DUBEY</v>
      </c>
      <c r="D11" s="134"/>
      <c r="E11" s="134"/>
      <c r="F11" s="56"/>
      <c r="G11" s="77" t="s">
        <v>611</v>
      </c>
      <c r="H11" s="134" t="str">
        <f>VLOOKUP($C$15,'STUDENT INFO'!$C$15:'STUDENT INFO'!$U$114,19,FALSE)</f>
        <v>Mathematics and Computing</v>
      </c>
      <c r="I11" s="134"/>
      <c r="J11" s="120"/>
    </row>
    <row r="12" spans="1:10" x14ac:dyDescent="0.35">
      <c r="A12" s="119" t="s">
        <v>605</v>
      </c>
      <c r="B12" s="120"/>
      <c r="C12" s="134" t="str">
        <f>VLOOKUP($C$15,'STUDENT INFO'!$C$15:'STUDENT INFO'!$U$114,13,FALSE)</f>
        <v>ARCHNA DUBEY</v>
      </c>
      <c r="D12" s="134"/>
      <c r="E12" s="134"/>
      <c r="F12" s="56"/>
      <c r="G12" s="77" t="s">
        <v>607</v>
      </c>
      <c r="H12" s="84" t="str">
        <f>ROMAN(1)</f>
        <v>I</v>
      </c>
      <c r="I12" s="56"/>
      <c r="J12" s="59"/>
    </row>
    <row r="13" spans="1:10" x14ac:dyDescent="0.35">
      <c r="A13" s="119" t="s">
        <v>610</v>
      </c>
      <c r="B13" s="120"/>
      <c r="C13" s="127">
        <f>VLOOKUP($C$15,'STUDENT INFO'!$C$15:'STUDENT INFO'!$U$114,16,FALSE)</f>
        <v>38566</v>
      </c>
      <c r="D13" s="127"/>
      <c r="E13" s="127"/>
      <c r="F13" s="54"/>
      <c r="G13" s="77"/>
      <c r="H13" s="54"/>
      <c r="I13" s="54"/>
      <c r="J13" s="59"/>
    </row>
    <row r="14" spans="1:10" x14ac:dyDescent="0.35">
      <c r="A14" s="58"/>
      <c r="B14" s="59"/>
      <c r="C14" s="54"/>
      <c r="D14" s="54"/>
      <c r="E14" s="54"/>
      <c r="F14" s="54"/>
      <c r="G14" s="77"/>
      <c r="H14" s="54"/>
      <c r="I14" s="54"/>
      <c r="J14" s="59"/>
    </row>
    <row r="15" spans="1:10" x14ac:dyDescent="0.35">
      <c r="A15" s="125" t="s">
        <v>608</v>
      </c>
      <c r="B15" s="126"/>
      <c r="C15" s="128" t="s">
        <v>569</v>
      </c>
      <c r="D15" s="128"/>
      <c r="E15" s="128"/>
      <c r="F15" s="61"/>
      <c r="G15" s="80"/>
      <c r="H15" s="61"/>
      <c r="I15" s="61"/>
      <c r="J15" s="62"/>
    </row>
    <row r="16" spans="1:10" x14ac:dyDescent="0.35">
      <c r="A16" s="58"/>
      <c r="B16" s="54"/>
      <c r="C16" s="54"/>
      <c r="D16" s="54"/>
      <c r="E16" s="54"/>
      <c r="F16" s="54"/>
      <c r="G16" s="54"/>
      <c r="H16" s="54"/>
      <c r="I16" s="54"/>
      <c r="J16" s="59"/>
    </row>
    <row r="17" spans="1:17" x14ac:dyDescent="0.35">
      <c r="A17" s="58"/>
      <c r="B17" s="54"/>
      <c r="C17" s="54"/>
      <c r="D17" s="54"/>
      <c r="E17" s="54"/>
      <c r="F17" s="54"/>
      <c r="G17" s="54"/>
      <c r="H17" s="54"/>
      <c r="I17" s="54"/>
      <c r="J17" s="59"/>
    </row>
    <row r="18" spans="1:17" ht="15" thickBot="1" x14ac:dyDescent="0.4">
      <c r="A18" s="58"/>
      <c r="B18" s="54"/>
      <c r="C18" s="54"/>
      <c r="D18" s="54"/>
      <c r="E18" s="54"/>
      <c r="F18" s="54"/>
      <c r="G18" s="54"/>
      <c r="H18" s="54"/>
      <c r="I18" s="54"/>
      <c r="J18" s="59"/>
    </row>
    <row r="19" spans="1:17" ht="15" thickBot="1" x14ac:dyDescent="0.4">
      <c r="A19" s="63" t="s">
        <v>8</v>
      </c>
      <c r="B19" s="106" t="s">
        <v>612</v>
      </c>
      <c r="C19" s="106"/>
      <c r="D19" s="106" t="s">
        <v>613</v>
      </c>
      <c r="E19" s="106"/>
      <c r="F19" s="64" t="s">
        <v>37</v>
      </c>
      <c r="G19" s="64" t="s">
        <v>614</v>
      </c>
      <c r="H19" s="64" t="s">
        <v>648</v>
      </c>
      <c r="I19" s="64" t="s">
        <v>51</v>
      </c>
      <c r="J19" s="65" t="s">
        <v>39</v>
      </c>
    </row>
    <row r="20" spans="1:17" x14ac:dyDescent="0.35">
      <c r="A20" s="69">
        <v>1</v>
      </c>
      <c r="B20" s="117">
        <f>'SUB-1'!E11</f>
        <v>25241101</v>
      </c>
      <c r="C20" s="118"/>
      <c r="D20" s="117" t="str">
        <f>SCHEME!F18</f>
        <v>Introduction to Computing</v>
      </c>
      <c r="E20" s="118"/>
      <c r="F20" s="76">
        <f>SCHEME!M18</f>
        <v>100</v>
      </c>
      <c r="G20" s="76">
        <f>VLOOKUP($C$15,'FINAL SHEET'!$E$15:$T$114,2,FALSE)</f>
        <v>67</v>
      </c>
      <c r="H20" s="76">
        <v>3</v>
      </c>
      <c r="I20" s="76">
        <f>VLOOKUP(C15,'SUB-1'!E15:M114,9,FALSE)</f>
        <v>2</v>
      </c>
      <c r="J20" s="55" t="str">
        <f>IF($G$20&gt;89,"A",IF($G$20&gt;59,"B",IF($G$20&gt;44,"C",IF($G$20&gt;34,"D","F"))))</f>
        <v>B</v>
      </c>
    </row>
    <row r="21" spans="1:17" x14ac:dyDescent="0.35">
      <c r="A21" s="70">
        <v>2</v>
      </c>
      <c r="B21" s="115">
        <f>'SUB- 2'!D11</f>
        <v>25241102</v>
      </c>
      <c r="C21" s="116"/>
      <c r="D21" s="115" t="str">
        <f>SCHEME!F19</f>
        <v>Computer Programming</v>
      </c>
      <c r="E21" s="116"/>
      <c r="F21" s="77">
        <f>SCHEME!M19</f>
        <v>100</v>
      </c>
      <c r="G21" s="77">
        <f>VLOOKUP($C$15,'FINAL SHEET'!$E$15:$T$114,3,FALSE)</f>
        <v>77</v>
      </c>
      <c r="H21" s="77">
        <v>2</v>
      </c>
      <c r="I21" s="77">
        <f>VLOOKUP(C15,'SUB- 2'!D15:L114,9,FALSE)</f>
        <v>2</v>
      </c>
      <c r="J21" s="55" t="str">
        <f t="shared" ref="J21:J26" si="0">IF(G21&gt;89,"A",IF(G21&gt;59,"B",IF(G21&gt;44,"C",IF(G21&gt;34,"D","F"))))</f>
        <v>B</v>
      </c>
      <c r="M21" s="107"/>
      <c r="N21" s="107"/>
      <c r="O21" s="107"/>
      <c r="P21" s="107"/>
      <c r="Q21" s="107"/>
    </row>
    <row r="22" spans="1:17" x14ac:dyDescent="0.35">
      <c r="A22" s="70">
        <v>3</v>
      </c>
      <c r="B22" s="115">
        <f>'SUB-3'!E11</f>
        <v>25241103</v>
      </c>
      <c r="C22" s="116"/>
      <c r="D22" s="115" t="str">
        <f>SCHEME!F20</f>
        <v xml:space="preserve">Advanced Calculus </v>
      </c>
      <c r="E22" s="116"/>
      <c r="F22" s="77">
        <f>SCHEME!M20</f>
        <v>100</v>
      </c>
      <c r="G22" s="77">
        <f>VLOOKUP($C$15,'FINAL SHEET'!$E$15:$T$114,4,FALSE)</f>
        <v>96</v>
      </c>
      <c r="H22" s="77">
        <v>3</v>
      </c>
      <c r="I22" s="77">
        <f>VLOOKUP(C15,'SUB-3'!E15:M114,9,FALSE)</f>
        <v>3</v>
      </c>
      <c r="J22" s="55" t="str">
        <f t="shared" si="0"/>
        <v>A</v>
      </c>
    </row>
    <row r="23" spans="1:17" x14ac:dyDescent="0.35">
      <c r="A23" s="70">
        <v>4</v>
      </c>
      <c r="B23" s="115">
        <f>'SUB-4'!E11</f>
        <v>25241104</v>
      </c>
      <c r="C23" s="116"/>
      <c r="D23" s="115" t="str">
        <f>SCHEME!F21</f>
        <v>Digital Logic Design</v>
      </c>
      <c r="E23" s="116"/>
      <c r="F23" s="77">
        <f>SCHEME!M21</f>
        <v>100</v>
      </c>
      <c r="G23" s="77">
        <f>VLOOKUP($C$15,'FINAL SHEET'!$E$15:$T$114,5,FALSE)</f>
        <v>81</v>
      </c>
      <c r="H23" s="77">
        <v>3</v>
      </c>
      <c r="I23" s="77">
        <f>VLOOKUP(C15,'SUB-4'!E15:M114,9,FALSE)</f>
        <v>3</v>
      </c>
      <c r="J23" s="55" t="str">
        <f t="shared" si="0"/>
        <v>B</v>
      </c>
    </row>
    <row r="24" spans="1:17" x14ac:dyDescent="0.35">
      <c r="A24" s="70">
        <v>5</v>
      </c>
      <c r="B24" s="115">
        <f>'SUB-5'!E11</f>
        <v>25241105</v>
      </c>
      <c r="C24" s="116"/>
      <c r="D24" s="115" t="str">
        <f>SCHEME!F22</f>
        <v>Differential Equations</v>
      </c>
      <c r="E24" s="116"/>
      <c r="F24" s="77">
        <f>SCHEME!M22</f>
        <v>100</v>
      </c>
      <c r="G24" s="77">
        <f>VLOOKUP($C$15,'FINAL SHEET'!$E$15:$T$114,6,FALSE)</f>
        <v>80</v>
      </c>
      <c r="H24" s="77">
        <v>3</v>
      </c>
      <c r="I24" s="77">
        <f>VLOOKUP(C15,'SUB-5'!E15:M114,9,FALSE)</f>
        <v>3</v>
      </c>
      <c r="J24" s="55" t="str">
        <f t="shared" si="0"/>
        <v>B</v>
      </c>
    </row>
    <row r="25" spans="1:17" x14ac:dyDescent="0.35">
      <c r="A25" s="70">
        <v>6</v>
      </c>
      <c r="B25" s="115">
        <f>'SUB-6'!E11</f>
        <v>25241106</v>
      </c>
      <c r="C25" s="116"/>
      <c r="D25" s="115" t="str">
        <f>SCHEME!F23</f>
        <v>Computer Programming Lab</v>
      </c>
      <c r="E25" s="116"/>
      <c r="F25" s="77">
        <f>SCHEME!M23</f>
        <v>100</v>
      </c>
      <c r="G25" s="77">
        <f>VLOOKUP($C$15,'FINAL SHEET'!$E$15:$T$114,7,FALSE)</f>
        <v>90</v>
      </c>
      <c r="H25" s="77">
        <v>1</v>
      </c>
      <c r="I25" s="77" t="str">
        <f>VLOOKUP(C15,'SUB-6'!E16:J115,6,FALSE)</f>
        <v>1</v>
      </c>
      <c r="J25" s="55" t="str">
        <f t="shared" si="0"/>
        <v>A</v>
      </c>
    </row>
    <row r="26" spans="1:17" ht="31.5" customHeight="1" x14ac:dyDescent="0.35">
      <c r="A26" s="86">
        <v>7</v>
      </c>
      <c r="B26" s="123">
        <f>'SUB-7'!E11</f>
        <v>25241107</v>
      </c>
      <c r="C26" s="124"/>
      <c r="D26" s="119" t="str">
        <f>SCHEME!F24</f>
        <v>Computing Lab for Data Analysis</v>
      </c>
      <c r="E26" s="120"/>
      <c r="F26" s="77">
        <f>SCHEME!M24</f>
        <v>100</v>
      </c>
      <c r="G26" s="77">
        <f>VLOOKUP($C$15,'FINAL SHEET'!$E$15:$T$114,8,FALSE)</f>
        <v>90</v>
      </c>
      <c r="H26" s="77">
        <v>1</v>
      </c>
      <c r="I26" s="77" t="str">
        <f>VLOOKUP(C15,'SUB-7'!E16:J115,6,FALSE)</f>
        <v>1</v>
      </c>
      <c r="J26" s="55" t="str">
        <f t="shared" si="0"/>
        <v>A</v>
      </c>
    </row>
    <row r="27" spans="1:17" x14ac:dyDescent="0.35">
      <c r="A27" s="70">
        <v>8</v>
      </c>
      <c r="B27" s="115">
        <f>'SUB-8'!E11</f>
        <v>25241108</v>
      </c>
      <c r="C27" s="116"/>
      <c r="D27" s="115" t="str">
        <f>SCHEME!F25</f>
        <v>Semester Proficiency</v>
      </c>
      <c r="E27" s="116"/>
      <c r="F27" s="77">
        <f>SCHEME!M25</f>
        <v>50</v>
      </c>
      <c r="G27" s="77">
        <f>VLOOKUP($C$15,'FINAL SHEET'!$E$15:$T$114,9,FALSE)</f>
        <v>30</v>
      </c>
      <c r="H27" s="77">
        <v>1</v>
      </c>
      <c r="I27" s="77" t="str">
        <f>VLOOKUP(C15,'SUB-8'!E16:J115,6,FALSE)</f>
        <v>1</v>
      </c>
      <c r="J27" s="55" t="str">
        <f>IF(G27&gt;39,"A",IF(G27&gt;29,"B",IF(G27&gt;19,"C",IF(G27&gt;15,"D","F"))))</f>
        <v>B</v>
      </c>
    </row>
    <row r="28" spans="1:17" x14ac:dyDescent="0.35">
      <c r="A28" s="70">
        <v>9</v>
      </c>
      <c r="B28" s="115">
        <f>'SUB-9'!E12</f>
        <v>25241109</v>
      </c>
      <c r="C28" s="116"/>
      <c r="D28" s="115" t="str">
        <f>SCHEME!F26</f>
        <v>Micro Project-1</v>
      </c>
      <c r="E28" s="116"/>
      <c r="F28" s="77">
        <f>SCHEME!M26</f>
        <v>100</v>
      </c>
      <c r="G28" s="77">
        <f>VLOOKUP($C$15,'FINAL SHEET'!$E$15:$T$114,10,FALSE)</f>
        <v>73</v>
      </c>
      <c r="H28" s="77">
        <v>1</v>
      </c>
      <c r="I28" s="77" t="str">
        <f>VLOOKUP(C15,'SUB-9'!E17:J116,6,FALSE)</f>
        <v>1</v>
      </c>
      <c r="J28" s="55" t="str">
        <f>IF(G28&gt;89,"A",IF(G28&gt;59,"B",IF(G28&gt;44,"C",IF(G28&gt;34,"D","F"))))</f>
        <v>B</v>
      </c>
    </row>
    <row r="29" spans="1:17" x14ac:dyDescent="0.35">
      <c r="A29" s="70">
        <v>10</v>
      </c>
      <c r="B29" s="115">
        <f>'SUB-10'!E11</f>
        <v>25241110</v>
      </c>
      <c r="C29" s="116"/>
      <c r="D29" s="115" t="str">
        <f>SCHEME!F27</f>
        <v>Language Lab</v>
      </c>
      <c r="E29" s="116"/>
      <c r="F29" s="77">
        <f>SCHEME!M27</f>
        <v>100</v>
      </c>
      <c r="G29" s="77">
        <f>VLOOKUP($C$15,'FINAL SHEET'!$E$15:$T$114,11,FALSE)</f>
        <v>97</v>
      </c>
      <c r="H29" s="77">
        <v>1</v>
      </c>
      <c r="I29" s="77" t="str">
        <f>VLOOKUP(C15,'SUB-10'!E16:J115,6,FALSE)</f>
        <v>1</v>
      </c>
      <c r="J29" s="55" t="str">
        <f>IF(G29&gt;89,"A",IF(G29&gt;59,"B",IF(G29&gt;44,"C",IF(G29&gt;34,"D","F"))))</f>
        <v>A</v>
      </c>
    </row>
    <row r="30" spans="1:17" x14ac:dyDescent="0.35">
      <c r="A30" s="70">
        <v>11</v>
      </c>
      <c r="B30" s="115" t="str">
        <f>'SUB- NEC'!E11</f>
        <v>NECXXXXX</v>
      </c>
      <c r="C30" s="116"/>
      <c r="D30" s="115" t="str">
        <f>SCHEME!F28</f>
        <v xml:space="preserve">Novel Engaging Course </v>
      </c>
      <c r="E30" s="116"/>
      <c r="F30" s="77">
        <f>SCHEME!M28</f>
        <v>50</v>
      </c>
      <c r="G30" s="77">
        <f>VLOOKUP($C$15,'FINAL SHEET'!$E$15:$T$114,12,FALSE)</f>
        <v>46</v>
      </c>
      <c r="H30" s="77">
        <v>1</v>
      </c>
      <c r="I30" s="77" t="str">
        <f>VLOOKUP(C15,'SUB- NEC'!E16:J115,6,FALSE)</f>
        <v>1</v>
      </c>
      <c r="J30" s="55" t="str">
        <f>IF(G30&gt;39,"A",IF(G30&gt;29,"B",IF(G30&gt;19,"C",IF(G30&gt;15,"D","F"))))</f>
        <v>A</v>
      </c>
    </row>
    <row r="31" spans="1:17" ht="15" thickBot="1" x14ac:dyDescent="0.4">
      <c r="A31" s="71"/>
      <c r="B31" s="74"/>
      <c r="C31" s="75"/>
      <c r="D31" s="74"/>
      <c r="E31" s="75"/>
      <c r="F31" s="78"/>
      <c r="G31" s="78"/>
      <c r="H31" s="78"/>
      <c r="I31" s="78"/>
      <c r="J31" s="55"/>
    </row>
    <row r="32" spans="1:17" ht="15" thickBot="1" x14ac:dyDescent="0.4">
      <c r="A32" s="66"/>
      <c r="B32" s="108" t="s">
        <v>37</v>
      </c>
      <c r="C32" s="108"/>
      <c r="D32" s="67"/>
      <c r="E32" s="67"/>
      <c r="F32" s="67">
        <v>1000</v>
      </c>
      <c r="G32" s="67">
        <f>SUM(G20:G30)</f>
        <v>827</v>
      </c>
      <c r="H32" s="67">
        <f>SUM(H20:H30)</f>
        <v>20</v>
      </c>
      <c r="I32" s="67">
        <f>I20+I21+I22+I23+I24+I25+I26+I27+I28+I29+I30</f>
        <v>19</v>
      </c>
      <c r="J32" s="68" t="str">
        <f>VLOOKUP(C15,'FINAL SHEET'!E15:T114,16,FALSE)</f>
        <v>PASS</v>
      </c>
    </row>
    <row r="33" spans="1:10" x14ac:dyDescent="0.35">
      <c r="A33" s="69"/>
      <c r="B33" s="72"/>
      <c r="C33" s="73"/>
      <c r="D33" s="72"/>
      <c r="E33" s="73"/>
      <c r="F33" s="76"/>
      <c r="G33" s="76"/>
      <c r="H33" s="76"/>
      <c r="I33" s="76"/>
      <c r="J33" s="55"/>
    </row>
    <row r="34" spans="1:10" ht="14.5" customHeight="1" x14ac:dyDescent="0.35">
      <c r="A34" s="70">
        <v>12</v>
      </c>
      <c r="B34" s="115">
        <f>'SUB-12'!E11</f>
        <v>25241112</v>
      </c>
      <c r="C34" s="116"/>
      <c r="D34" s="119" t="str">
        <f>SCHEME!F30</f>
        <v xml:space="preserve">Universal Human Values &amp; Professional Ethics 
(UHVPE) </v>
      </c>
      <c r="E34" s="120"/>
      <c r="F34" s="77">
        <v>100</v>
      </c>
      <c r="G34" s="77">
        <f>VLOOKUP(C15,'SUB-12'!E15:N114,8,FALSE)</f>
        <v>96</v>
      </c>
      <c r="H34" s="77">
        <f>VLOOKUP(C15,'SUB-12'!E15:N114,9,FALSE)</f>
        <v>3</v>
      </c>
      <c r="I34" s="77">
        <v>3</v>
      </c>
      <c r="J34" s="55" t="str">
        <f t="shared" ref="J34" si="1">IF(G34&gt;89,"A",IF(G34&gt;59,"B",IF(G34&gt;44,"C",IF(G34&gt;34,"D","F"))))</f>
        <v>A</v>
      </c>
    </row>
    <row r="35" spans="1:10" ht="15" thickBot="1" x14ac:dyDescent="0.4">
      <c r="A35" s="71"/>
      <c r="B35" s="74"/>
      <c r="C35" s="75"/>
      <c r="D35" s="121"/>
      <c r="E35" s="122"/>
      <c r="F35" s="78"/>
      <c r="G35" s="78"/>
      <c r="H35" s="78"/>
      <c r="I35" s="78"/>
      <c r="J35" s="57"/>
    </row>
    <row r="36" spans="1:10" ht="15" thickBot="1" x14ac:dyDescent="0.4">
      <c r="A36" s="58"/>
      <c r="B36" s="54"/>
      <c r="C36" s="54"/>
      <c r="D36" s="54"/>
      <c r="E36" s="54"/>
      <c r="F36" s="54"/>
      <c r="G36" s="54"/>
      <c r="H36" s="54"/>
      <c r="I36" s="54"/>
      <c r="J36" s="59"/>
    </row>
    <row r="37" spans="1:10" x14ac:dyDescent="0.35">
      <c r="A37" s="58"/>
      <c r="B37" s="54"/>
      <c r="C37" s="54"/>
      <c r="D37" s="54"/>
      <c r="E37" s="54"/>
      <c r="F37" s="54"/>
      <c r="G37" s="54"/>
      <c r="H37" s="150" t="str">
        <f>J32</f>
        <v>PASS</v>
      </c>
      <c r="I37" s="151"/>
      <c r="J37" s="59"/>
    </row>
    <row r="38" spans="1:10" ht="15" thickBot="1" x14ac:dyDescent="0.4">
      <c r="A38" s="58"/>
      <c r="B38" s="54"/>
      <c r="C38" s="54"/>
      <c r="D38" s="54"/>
      <c r="E38" s="54"/>
      <c r="F38" s="54"/>
      <c r="G38" s="54"/>
      <c r="H38" s="152"/>
      <c r="I38" s="153"/>
      <c r="J38" s="59"/>
    </row>
    <row r="39" spans="1:10" x14ac:dyDescent="0.35">
      <c r="A39" s="58"/>
      <c r="B39" s="54"/>
      <c r="C39" s="54"/>
      <c r="D39" s="54"/>
      <c r="E39" s="54"/>
      <c r="F39" s="54"/>
      <c r="G39" s="54"/>
      <c r="H39" s="54"/>
      <c r="I39" s="54"/>
      <c r="J39" s="59"/>
    </row>
    <row r="40" spans="1:10" x14ac:dyDescent="0.35">
      <c r="A40" s="111" t="s">
        <v>649</v>
      </c>
      <c r="B40" s="112"/>
      <c r="C40" s="158" t="s">
        <v>655</v>
      </c>
      <c r="D40" s="158"/>
      <c r="E40" s="81" t="s">
        <v>651</v>
      </c>
      <c r="F40" s="81" t="s">
        <v>656</v>
      </c>
      <c r="G40" s="158" t="s">
        <v>657</v>
      </c>
      <c r="H40" s="158"/>
      <c r="I40" s="156" t="s">
        <v>653</v>
      </c>
      <c r="J40" s="157"/>
    </row>
    <row r="41" spans="1:10" x14ac:dyDescent="0.35">
      <c r="A41" s="113"/>
      <c r="B41" s="114"/>
      <c r="C41" s="154" t="s">
        <v>650</v>
      </c>
      <c r="D41" s="154"/>
      <c r="E41" s="82" t="s">
        <v>652</v>
      </c>
      <c r="F41" s="82" t="s">
        <v>659</v>
      </c>
      <c r="G41" s="154" t="s">
        <v>658</v>
      </c>
      <c r="H41" s="154"/>
      <c r="I41" s="154" t="s">
        <v>654</v>
      </c>
      <c r="J41" s="155"/>
    </row>
    <row r="42" spans="1:10" x14ac:dyDescent="0.35">
      <c r="A42" s="87"/>
      <c r="B42" s="88"/>
      <c r="C42" s="88"/>
      <c r="D42" s="88"/>
      <c r="E42" s="88"/>
      <c r="F42" s="88"/>
      <c r="G42" s="88"/>
      <c r="H42" s="88"/>
      <c r="I42" s="109"/>
      <c r="J42" s="110"/>
    </row>
    <row r="43" spans="1:10" ht="25" customHeight="1" x14ac:dyDescent="0.35">
      <c r="A43" s="60"/>
      <c r="B43" s="61"/>
      <c r="C43" s="61"/>
      <c r="D43" s="61"/>
      <c r="E43" s="61"/>
      <c r="F43" s="61"/>
      <c r="G43" s="61"/>
      <c r="H43" s="61"/>
      <c r="I43" s="61"/>
      <c r="J43" s="62"/>
    </row>
    <row r="44" spans="1:10" x14ac:dyDescent="0.35">
      <c r="A44" s="103"/>
      <c r="B44" s="104"/>
      <c r="C44" s="104"/>
      <c r="D44" s="104"/>
      <c r="E44" s="104"/>
      <c r="F44" s="104"/>
      <c r="G44" s="104"/>
      <c r="H44" s="104"/>
      <c r="I44" s="104"/>
      <c r="J44" s="105"/>
    </row>
    <row r="54" spans="1:10" x14ac:dyDescent="0.35">
      <c r="A54" s="44"/>
      <c r="J54" s="45"/>
    </row>
    <row r="55" spans="1:10" x14ac:dyDescent="0.35">
      <c r="A55" s="44"/>
      <c r="J55" s="45"/>
    </row>
    <row r="56" spans="1:10" x14ac:dyDescent="0.35">
      <c r="A56" s="44"/>
      <c r="J56" s="45"/>
    </row>
    <row r="57" spans="1:10" x14ac:dyDescent="0.35">
      <c r="A57" s="44"/>
      <c r="J57" s="45"/>
    </row>
    <row r="58" spans="1:10" x14ac:dyDescent="0.35">
      <c r="A58" s="44"/>
      <c r="J58" s="45"/>
    </row>
    <row r="59" spans="1:10" x14ac:dyDescent="0.35">
      <c r="A59" s="44"/>
      <c r="J59" s="45"/>
    </row>
    <row r="60" spans="1:10" x14ac:dyDescent="0.35">
      <c r="A60" s="44"/>
      <c r="J60" s="45"/>
    </row>
    <row r="61" spans="1:10" x14ac:dyDescent="0.35">
      <c r="A61" s="44"/>
      <c r="J61" s="45"/>
    </row>
    <row r="62" spans="1:10" x14ac:dyDescent="0.35">
      <c r="A62" s="44"/>
      <c r="J62" s="45"/>
    </row>
    <row r="63" spans="1:10" x14ac:dyDescent="0.35">
      <c r="A63" s="44"/>
      <c r="J63" s="45"/>
    </row>
    <row r="64" spans="1:10" x14ac:dyDescent="0.35">
      <c r="A64" s="44"/>
      <c r="J64" s="45"/>
    </row>
    <row r="65" spans="1:10" x14ac:dyDescent="0.35">
      <c r="A65" s="44"/>
      <c r="J65" s="45"/>
    </row>
    <row r="66" spans="1:10" x14ac:dyDescent="0.35">
      <c r="A66" s="44"/>
      <c r="J66" s="45"/>
    </row>
    <row r="67" spans="1:10" x14ac:dyDescent="0.35">
      <c r="A67" s="44"/>
      <c r="J67" s="45"/>
    </row>
    <row r="68" spans="1:10" x14ac:dyDescent="0.35">
      <c r="A68" s="44"/>
      <c r="J68" s="45"/>
    </row>
    <row r="69" spans="1:10" x14ac:dyDescent="0.35">
      <c r="A69" s="44"/>
      <c r="J69" s="45"/>
    </row>
    <row r="70" spans="1:10" x14ac:dyDescent="0.35">
      <c r="A70" s="44"/>
      <c r="J70" s="45"/>
    </row>
    <row r="71" spans="1:10" x14ac:dyDescent="0.35">
      <c r="A71" s="44"/>
      <c r="J71" s="45"/>
    </row>
    <row r="72" spans="1:10" x14ac:dyDescent="0.35">
      <c r="A72" s="44"/>
      <c r="J72" s="45"/>
    </row>
    <row r="73" spans="1:10" x14ac:dyDescent="0.35">
      <c r="A73" s="44"/>
      <c r="J73" s="45"/>
    </row>
    <row r="74" spans="1:10" x14ac:dyDescent="0.35">
      <c r="A74" s="44"/>
      <c r="J74" s="45"/>
    </row>
    <row r="75" spans="1:10" x14ac:dyDescent="0.35">
      <c r="A75" s="44"/>
      <c r="J75" s="45"/>
    </row>
    <row r="76" spans="1:10" x14ac:dyDescent="0.35">
      <c r="A76" s="44"/>
      <c r="J76" s="45"/>
    </row>
    <row r="77" spans="1:10" x14ac:dyDescent="0.35">
      <c r="A77" s="44"/>
      <c r="J77" s="45"/>
    </row>
    <row r="78" spans="1:10" x14ac:dyDescent="0.35">
      <c r="A78" s="44"/>
      <c r="J78" s="45"/>
    </row>
    <row r="79" spans="1:10" x14ac:dyDescent="0.35">
      <c r="A79" s="44"/>
      <c r="J79" s="45"/>
    </row>
    <row r="80" spans="1:10" x14ac:dyDescent="0.35">
      <c r="A80" s="44"/>
      <c r="J80" s="45"/>
    </row>
    <row r="81" spans="1:10" x14ac:dyDescent="0.35">
      <c r="A81" s="44"/>
      <c r="J81" s="45"/>
    </row>
    <row r="82" spans="1:10" x14ac:dyDescent="0.35">
      <c r="A82" s="44"/>
      <c r="J82" s="45"/>
    </row>
    <row r="83" spans="1:10" x14ac:dyDescent="0.35">
      <c r="A83" s="44"/>
      <c r="J83" s="45"/>
    </row>
    <row r="84" spans="1:10" x14ac:dyDescent="0.35">
      <c r="A84" s="44"/>
      <c r="J84" s="45"/>
    </row>
    <row r="85" spans="1:10" x14ac:dyDescent="0.35">
      <c r="A85" s="44"/>
      <c r="J85" s="45"/>
    </row>
    <row r="86" spans="1:10" x14ac:dyDescent="0.35">
      <c r="A86" s="44"/>
      <c r="J86" s="45"/>
    </row>
    <row r="87" spans="1:10" x14ac:dyDescent="0.35">
      <c r="A87" s="44"/>
      <c r="J87" s="45"/>
    </row>
    <row r="88" spans="1:10" x14ac:dyDescent="0.35">
      <c r="A88" s="44"/>
      <c r="J88" s="45"/>
    </row>
    <row r="89" spans="1:10" x14ac:dyDescent="0.35">
      <c r="A89" s="44"/>
      <c r="J89" s="45"/>
    </row>
    <row r="90" spans="1:10" x14ac:dyDescent="0.35">
      <c r="A90" s="44"/>
      <c r="J90" s="45"/>
    </row>
    <row r="91" spans="1:10" x14ac:dyDescent="0.35">
      <c r="A91" s="44"/>
      <c r="J91" s="45"/>
    </row>
    <row r="92" spans="1:10" x14ac:dyDescent="0.35">
      <c r="A92" s="44"/>
      <c r="J92" s="45"/>
    </row>
    <row r="93" spans="1:10" x14ac:dyDescent="0.35">
      <c r="A93" s="44"/>
      <c r="J93" s="45"/>
    </row>
    <row r="94" spans="1:10" x14ac:dyDescent="0.35">
      <c r="A94" s="44"/>
      <c r="J94" s="45"/>
    </row>
    <row r="95" spans="1:10" x14ac:dyDescent="0.35">
      <c r="A95" s="44"/>
      <c r="J95" s="45"/>
    </row>
    <row r="96" spans="1:10" x14ac:dyDescent="0.35">
      <c r="A96" s="44"/>
      <c r="J96" s="45"/>
    </row>
    <row r="97" spans="1:10" x14ac:dyDescent="0.35">
      <c r="A97" s="44"/>
      <c r="J97" s="45"/>
    </row>
    <row r="98" spans="1:10" x14ac:dyDescent="0.35">
      <c r="A98" s="44"/>
      <c r="J98" s="45"/>
    </row>
    <row r="99" spans="1:10" x14ac:dyDescent="0.35">
      <c r="A99" s="44"/>
      <c r="J99" s="45"/>
    </row>
    <row r="100" spans="1:10" x14ac:dyDescent="0.35">
      <c r="A100" s="44"/>
      <c r="J100" s="45"/>
    </row>
    <row r="101" spans="1:10" x14ac:dyDescent="0.35">
      <c r="A101" s="44"/>
      <c r="J101" s="45"/>
    </row>
    <row r="102" spans="1:10" x14ac:dyDescent="0.35">
      <c r="A102" s="44"/>
      <c r="J102" s="45"/>
    </row>
    <row r="103" spans="1:10" x14ac:dyDescent="0.35">
      <c r="A103" s="44"/>
      <c r="J103" s="45"/>
    </row>
    <row r="104" spans="1:10" x14ac:dyDescent="0.35">
      <c r="A104" s="44"/>
      <c r="J104" s="45"/>
    </row>
    <row r="105" spans="1:10" x14ac:dyDescent="0.35">
      <c r="A105" s="44"/>
      <c r="J105" s="45"/>
    </row>
    <row r="106" spans="1:10" x14ac:dyDescent="0.35">
      <c r="A106" s="44"/>
      <c r="J106" s="45"/>
    </row>
    <row r="107" spans="1:10" x14ac:dyDescent="0.35">
      <c r="A107" s="44"/>
      <c r="J107" s="45"/>
    </row>
    <row r="108" spans="1:10" x14ac:dyDescent="0.35">
      <c r="A108" s="44"/>
      <c r="J108" s="45"/>
    </row>
    <row r="109" spans="1:10" x14ac:dyDescent="0.35">
      <c r="A109" s="44"/>
      <c r="J109" s="45"/>
    </row>
    <row r="110" spans="1:10" x14ac:dyDescent="0.35">
      <c r="A110" s="44"/>
      <c r="J110" s="45"/>
    </row>
    <row r="111" spans="1:10" x14ac:dyDescent="0.35">
      <c r="A111" s="44"/>
      <c r="J111" s="45"/>
    </row>
    <row r="112" spans="1:10" x14ac:dyDescent="0.35">
      <c r="A112" s="44"/>
      <c r="J112" s="45"/>
    </row>
    <row r="113" spans="1:10" x14ac:dyDescent="0.35">
      <c r="A113" s="44"/>
      <c r="J113" s="45"/>
    </row>
    <row r="114" spans="1:10" x14ac:dyDescent="0.35">
      <c r="A114" s="44"/>
      <c r="J114" s="45"/>
    </row>
    <row r="115" spans="1:10" x14ac:dyDescent="0.35">
      <c r="A115" s="44"/>
      <c r="J115" s="45"/>
    </row>
    <row r="116" spans="1:10" x14ac:dyDescent="0.35">
      <c r="A116" s="44"/>
      <c r="J116" s="45"/>
    </row>
    <row r="117" spans="1:10" x14ac:dyDescent="0.35">
      <c r="A117" s="44"/>
      <c r="J117" s="45"/>
    </row>
    <row r="118" spans="1:10" x14ac:dyDescent="0.35">
      <c r="A118" s="44"/>
      <c r="J118" s="45"/>
    </row>
    <row r="119" spans="1:10" x14ac:dyDescent="0.35">
      <c r="A119" s="44"/>
      <c r="J119" s="45"/>
    </row>
    <row r="120" spans="1:10" x14ac:dyDescent="0.35">
      <c r="A120" s="44"/>
      <c r="J120" s="45"/>
    </row>
    <row r="121" spans="1:10" x14ac:dyDescent="0.35">
      <c r="A121" s="44"/>
      <c r="J121" s="45"/>
    </row>
    <row r="122" spans="1:10" x14ac:dyDescent="0.35">
      <c r="A122" s="44"/>
      <c r="J122" s="45"/>
    </row>
    <row r="123" spans="1:10" x14ac:dyDescent="0.35">
      <c r="A123" s="44"/>
      <c r="J123" s="45"/>
    </row>
    <row r="124" spans="1:10" x14ac:dyDescent="0.35">
      <c r="A124" s="44"/>
      <c r="J124" s="45"/>
    </row>
    <row r="125" spans="1:10" x14ac:dyDescent="0.35">
      <c r="A125" s="44"/>
      <c r="J125" s="45"/>
    </row>
    <row r="126" spans="1:10" x14ac:dyDescent="0.35">
      <c r="A126" s="44"/>
      <c r="J126" s="45"/>
    </row>
    <row r="127" spans="1:10" x14ac:dyDescent="0.35">
      <c r="A127" s="44"/>
      <c r="J127" s="45"/>
    </row>
    <row r="128" spans="1:10" x14ac:dyDescent="0.35">
      <c r="A128" s="44"/>
      <c r="J128" s="45"/>
    </row>
    <row r="129" spans="1:10" x14ac:dyDescent="0.35">
      <c r="A129" s="44"/>
      <c r="J129" s="45"/>
    </row>
    <row r="130" spans="1:10" x14ac:dyDescent="0.35">
      <c r="A130" s="44"/>
      <c r="J130" s="45"/>
    </row>
    <row r="131" spans="1:10" x14ac:dyDescent="0.35">
      <c r="A131" s="44"/>
      <c r="J131" s="45"/>
    </row>
    <row r="132" spans="1:10" x14ac:dyDescent="0.35">
      <c r="A132" s="44"/>
      <c r="J132" s="45"/>
    </row>
    <row r="133" spans="1:10" x14ac:dyDescent="0.35">
      <c r="A133" s="44"/>
      <c r="J133" s="45"/>
    </row>
    <row r="134" spans="1:10" x14ac:dyDescent="0.35">
      <c r="A134" s="44"/>
      <c r="J134" s="45"/>
    </row>
    <row r="135" spans="1:10" x14ac:dyDescent="0.35">
      <c r="A135" s="44"/>
      <c r="J135" s="45"/>
    </row>
    <row r="136" spans="1:10" x14ac:dyDescent="0.35">
      <c r="A136" s="44"/>
      <c r="J136" s="45"/>
    </row>
    <row r="137" spans="1:10" x14ac:dyDescent="0.35">
      <c r="A137" s="44"/>
      <c r="J137" s="45"/>
    </row>
    <row r="138" spans="1:10" x14ac:dyDescent="0.35">
      <c r="A138" s="44"/>
      <c r="J138" s="45"/>
    </row>
    <row r="139" spans="1:10" x14ac:dyDescent="0.35">
      <c r="A139" s="44"/>
      <c r="J139" s="45"/>
    </row>
    <row r="140" spans="1:10" x14ac:dyDescent="0.35">
      <c r="A140" s="44"/>
      <c r="J140" s="45"/>
    </row>
    <row r="141" spans="1:10" x14ac:dyDescent="0.35">
      <c r="A141" s="44"/>
      <c r="J141" s="45"/>
    </row>
    <row r="142" spans="1:10" x14ac:dyDescent="0.35">
      <c r="A142" s="44"/>
      <c r="J142" s="45"/>
    </row>
    <row r="143" spans="1:10" x14ac:dyDescent="0.35">
      <c r="A143" s="44"/>
      <c r="J143" s="45"/>
    </row>
    <row r="144" spans="1:10" x14ac:dyDescent="0.35">
      <c r="A144" s="44"/>
      <c r="J144" s="45"/>
    </row>
    <row r="145" spans="1:10" x14ac:dyDescent="0.35">
      <c r="A145" s="44"/>
      <c r="J145" s="45"/>
    </row>
    <row r="146" spans="1:10" x14ac:dyDescent="0.35">
      <c r="A146" s="44"/>
      <c r="J146" s="45"/>
    </row>
    <row r="147" spans="1:10" x14ac:dyDescent="0.35">
      <c r="A147" s="44"/>
      <c r="J147" s="45"/>
    </row>
    <row r="148" spans="1:10" x14ac:dyDescent="0.35">
      <c r="A148" s="44"/>
      <c r="J148" s="45"/>
    </row>
    <row r="149" spans="1:10" x14ac:dyDescent="0.35">
      <c r="A149" s="44"/>
      <c r="J149" s="45"/>
    </row>
    <row r="150" spans="1:10" x14ac:dyDescent="0.35">
      <c r="A150" s="44"/>
      <c r="J150" s="45"/>
    </row>
    <row r="151" spans="1:10" x14ac:dyDescent="0.35">
      <c r="A151" s="44"/>
      <c r="J151" s="45"/>
    </row>
    <row r="152" spans="1:10" x14ac:dyDescent="0.35">
      <c r="A152" s="44"/>
      <c r="J152" s="45"/>
    </row>
    <row r="153" spans="1:10" x14ac:dyDescent="0.35">
      <c r="A153" s="44"/>
      <c r="J153" s="45"/>
    </row>
    <row r="154" spans="1:10" x14ac:dyDescent="0.35">
      <c r="A154" s="44"/>
      <c r="J154" s="45"/>
    </row>
    <row r="155" spans="1:10" x14ac:dyDescent="0.35">
      <c r="A155" s="44"/>
      <c r="J155" s="45"/>
    </row>
    <row r="156" spans="1:10" x14ac:dyDescent="0.35">
      <c r="A156" s="44"/>
      <c r="J156" s="45"/>
    </row>
    <row r="157" spans="1:10" x14ac:dyDescent="0.35">
      <c r="A157" s="44"/>
      <c r="J157" s="45"/>
    </row>
    <row r="158" spans="1:10" x14ac:dyDescent="0.35">
      <c r="A158" s="44"/>
      <c r="J158" s="45"/>
    </row>
    <row r="159" spans="1:10" x14ac:dyDescent="0.35">
      <c r="A159" s="44"/>
      <c r="J159" s="45"/>
    </row>
    <row r="160" spans="1:10" x14ac:dyDescent="0.35">
      <c r="A160" s="44"/>
      <c r="J160" s="45"/>
    </row>
    <row r="161" spans="1:10" x14ac:dyDescent="0.35">
      <c r="A161" s="44"/>
      <c r="J161" s="45"/>
    </row>
    <row r="162" spans="1:10" x14ac:dyDescent="0.35">
      <c r="A162" s="44"/>
      <c r="J162" s="45"/>
    </row>
    <row r="163" spans="1:10" x14ac:dyDescent="0.35">
      <c r="A163" s="44"/>
      <c r="J163" s="45"/>
    </row>
    <row r="164" spans="1:10" x14ac:dyDescent="0.35">
      <c r="A164" s="44"/>
      <c r="J164" s="45"/>
    </row>
    <row r="165" spans="1:10" x14ac:dyDescent="0.35">
      <c r="A165" s="44"/>
      <c r="J165" s="45"/>
    </row>
    <row r="166" spans="1:10" x14ac:dyDescent="0.35">
      <c r="A166" s="44"/>
      <c r="J166" s="45"/>
    </row>
    <row r="167" spans="1:10" x14ac:dyDescent="0.35">
      <c r="A167" s="44"/>
      <c r="J167" s="45"/>
    </row>
    <row r="168" spans="1:10" x14ac:dyDescent="0.35">
      <c r="A168" s="44"/>
      <c r="J168" s="45"/>
    </row>
    <row r="169" spans="1:10" x14ac:dyDescent="0.35">
      <c r="A169" s="44"/>
      <c r="J169" s="45"/>
    </row>
    <row r="170" spans="1:10" x14ac:dyDescent="0.35">
      <c r="A170" s="44"/>
      <c r="J170" s="45"/>
    </row>
    <row r="171" spans="1:10" x14ac:dyDescent="0.35">
      <c r="A171" s="44"/>
      <c r="J171" s="45"/>
    </row>
    <row r="172" spans="1:10" x14ac:dyDescent="0.35">
      <c r="A172" s="44"/>
      <c r="J172" s="45"/>
    </row>
    <row r="173" spans="1:10" x14ac:dyDescent="0.35">
      <c r="A173" s="44"/>
      <c r="J173" s="45"/>
    </row>
    <row r="174" spans="1:10" x14ac:dyDescent="0.35">
      <c r="A174" s="44"/>
      <c r="J174" s="45"/>
    </row>
    <row r="175" spans="1:10" x14ac:dyDescent="0.35">
      <c r="A175" s="44"/>
      <c r="J175" s="45"/>
    </row>
    <row r="176" spans="1:10" x14ac:dyDescent="0.35">
      <c r="A176" s="44"/>
      <c r="J176" s="45"/>
    </row>
    <row r="177" spans="1:10" x14ac:dyDescent="0.35">
      <c r="A177" s="44"/>
      <c r="J177" s="45"/>
    </row>
    <row r="178" spans="1:10" x14ac:dyDescent="0.35">
      <c r="A178" s="44"/>
      <c r="J178" s="45"/>
    </row>
    <row r="179" spans="1:10" x14ac:dyDescent="0.35">
      <c r="A179" s="44"/>
      <c r="J179" s="45"/>
    </row>
    <row r="180" spans="1:10" x14ac:dyDescent="0.35">
      <c r="A180" s="44"/>
      <c r="J180" s="45"/>
    </row>
    <row r="181" spans="1:10" x14ac:dyDescent="0.35">
      <c r="A181" s="44"/>
      <c r="J181" s="45"/>
    </row>
    <row r="182" spans="1:10" x14ac:dyDescent="0.35">
      <c r="A182" s="44"/>
      <c r="J182" s="45"/>
    </row>
    <row r="183" spans="1:10" x14ac:dyDescent="0.35">
      <c r="A183" s="44"/>
      <c r="J183" s="45"/>
    </row>
    <row r="184" spans="1:10" x14ac:dyDescent="0.35">
      <c r="A184" s="44"/>
      <c r="J184" s="45"/>
    </row>
    <row r="185" spans="1:10" x14ac:dyDescent="0.35">
      <c r="A185" s="44"/>
      <c r="J185" s="45"/>
    </row>
    <row r="186" spans="1:10" x14ac:dyDescent="0.35">
      <c r="A186" s="44"/>
      <c r="J186" s="45"/>
    </row>
    <row r="187" spans="1:10" x14ac:dyDescent="0.35">
      <c r="A187" s="44"/>
      <c r="J187" s="45"/>
    </row>
    <row r="188" spans="1:10" x14ac:dyDescent="0.35">
      <c r="A188" s="44"/>
      <c r="J188" s="45"/>
    </row>
    <row r="189" spans="1:10" x14ac:dyDescent="0.35">
      <c r="A189" s="44"/>
      <c r="J189" s="45"/>
    </row>
    <row r="190" spans="1:10" x14ac:dyDescent="0.35">
      <c r="A190" s="44"/>
      <c r="J190" s="45"/>
    </row>
    <row r="191" spans="1:10" x14ac:dyDescent="0.35">
      <c r="A191" s="44"/>
      <c r="J191" s="45"/>
    </row>
    <row r="192" spans="1:10" x14ac:dyDescent="0.35">
      <c r="A192" s="44"/>
      <c r="J192" s="45"/>
    </row>
    <row r="193" spans="1:10" x14ac:dyDescent="0.35">
      <c r="A193" s="44"/>
      <c r="J193" s="45"/>
    </row>
    <row r="194" spans="1:10" x14ac:dyDescent="0.35">
      <c r="A194" s="44"/>
      <c r="J194" s="45"/>
    </row>
    <row r="195" spans="1:10" x14ac:dyDescent="0.35">
      <c r="A195" s="44"/>
      <c r="J195" s="45"/>
    </row>
    <row r="196" spans="1:10" x14ac:dyDescent="0.35">
      <c r="A196" s="44"/>
      <c r="J196" s="45"/>
    </row>
    <row r="197" spans="1:10" x14ac:dyDescent="0.35">
      <c r="A197" s="44"/>
      <c r="J197" s="45"/>
    </row>
    <row r="198" spans="1:10" x14ac:dyDescent="0.35">
      <c r="A198" s="44"/>
      <c r="J198" s="45"/>
    </row>
    <row r="199" spans="1:10" x14ac:dyDescent="0.35">
      <c r="A199" s="44"/>
      <c r="J199" s="45"/>
    </row>
    <row r="200" spans="1:10" x14ac:dyDescent="0.35">
      <c r="A200" s="44"/>
      <c r="J200" s="45"/>
    </row>
    <row r="201" spans="1:10" x14ac:dyDescent="0.35">
      <c r="A201" s="44"/>
      <c r="J201" s="45"/>
    </row>
    <row r="202" spans="1:10" x14ac:dyDescent="0.35">
      <c r="A202" s="44"/>
      <c r="J202" s="45"/>
    </row>
    <row r="203" spans="1:10" x14ac:dyDescent="0.35">
      <c r="A203" s="44"/>
      <c r="J203" s="45"/>
    </row>
    <row r="204" spans="1:10" x14ac:dyDescent="0.35">
      <c r="A204" s="44"/>
      <c r="J204" s="45"/>
    </row>
    <row r="205" spans="1:10" x14ac:dyDescent="0.35">
      <c r="A205" s="44"/>
      <c r="J205" s="45"/>
    </row>
    <row r="206" spans="1:10" x14ac:dyDescent="0.35">
      <c r="A206" s="44"/>
      <c r="J206" s="45"/>
    </row>
    <row r="207" spans="1:10" x14ac:dyDescent="0.35">
      <c r="A207" s="44"/>
      <c r="J207" s="45"/>
    </row>
    <row r="208" spans="1:10" x14ac:dyDescent="0.35">
      <c r="A208" s="44"/>
      <c r="J208" s="45"/>
    </row>
    <row r="209" spans="1:10" x14ac:dyDescent="0.35">
      <c r="A209" s="44"/>
      <c r="J209" s="45"/>
    </row>
    <row r="210" spans="1:10" x14ac:dyDescent="0.35">
      <c r="A210" s="44"/>
      <c r="J210" s="45"/>
    </row>
    <row r="211" spans="1:10" x14ac:dyDescent="0.35">
      <c r="A211" s="44"/>
      <c r="J211" s="45"/>
    </row>
    <row r="212" spans="1:10" x14ac:dyDescent="0.35">
      <c r="A212" s="44"/>
      <c r="J212" s="45"/>
    </row>
    <row r="213" spans="1:10" x14ac:dyDescent="0.35">
      <c r="A213" s="44"/>
      <c r="J213" s="45"/>
    </row>
    <row r="214" spans="1:10" x14ac:dyDescent="0.35">
      <c r="A214" s="44"/>
      <c r="J214" s="45"/>
    </row>
    <row r="215" spans="1:10" x14ac:dyDescent="0.35">
      <c r="A215" s="44"/>
      <c r="J215" s="45"/>
    </row>
    <row r="216" spans="1:10" x14ac:dyDescent="0.35">
      <c r="A216" s="44"/>
      <c r="J216" s="45"/>
    </row>
    <row r="217" spans="1:10" x14ac:dyDescent="0.35">
      <c r="A217" s="44"/>
      <c r="J217" s="45"/>
    </row>
    <row r="218" spans="1:10" x14ac:dyDescent="0.35">
      <c r="A218" s="44"/>
      <c r="J218" s="45"/>
    </row>
    <row r="219" spans="1:10" x14ac:dyDescent="0.35">
      <c r="A219" s="44"/>
      <c r="J219" s="45"/>
    </row>
    <row r="220" spans="1:10" x14ac:dyDescent="0.35">
      <c r="A220" s="44"/>
      <c r="J220" s="45"/>
    </row>
    <row r="221" spans="1:10" x14ac:dyDescent="0.35">
      <c r="A221" s="44"/>
      <c r="J221" s="45"/>
    </row>
    <row r="222" spans="1:10" x14ac:dyDescent="0.35">
      <c r="A222" s="44"/>
      <c r="J222" s="45"/>
    </row>
    <row r="223" spans="1:10" x14ac:dyDescent="0.35">
      <c r="A223" s="44"/>
      <c r="J223" s="45"/>
    </row>
    <row r="224" spans="1:10" x14ac:dyDescent="0.35">
      <c r="A224" s="44"/>
      <c r="J224" s="45"/>
    </row>
    <row r="225" spans="1:10" x14ac:dyDescent="0.35">
      <c r="A225" s="44"/>
      <c r="J225" s="45"/>
    </row>
    <row r="226" spans="1:10" x14ac:dyDescent="0.35">
      <c r="A226" s="44"/>
      <c r="J226" s="45"/>
    </row>
    <row r="227" spans="1:10" x14ac:dyDescent="0.35">
      <c r="A227" s="44"/>
      <c r="J227" s="45"/>
    </row>
    <row r="228" spans="1:10" x14ac:dyDescent="0.35">
      <c r="A228" s="44"/>
      <c r="J228" s="45"/>
    </row>
    <row r="229" spans="1:10" x14ac:dyDescent="0.35">
      <c r="A229" s="44"/>
      <c r="J229" s="45"/>
    </row>
    <row r="230" spans="1:10" x14ac:dyDescent="0.35">
      <c r="A230" s="44"/>
      <c r="J230" s="45"/>
    </row>
    <row r="231" spans="1:10" x14ac:dyDescent="0.35">
      <c r="A231" s="44"/>
      <c r="J231" s="45"/>
    </row>
    <row r="232" spans="1:10" x14ac:dyDescent="0.35">
      <c r="A232" s="44"/>
      <c r="J232" s="45"/>
    </row>
    <row r="233" spans="1:10" x14ac:dyDescent="0.35">
      <c r="A233" s="44"/>
      <c r="J233" s="45"/>
    </row>
    <row r="234" spans="1:10" x14ac:dyDescent="0.35">
      <c r="A234" s="44"/>
      <c r="J234" s="45"/>
    </row>
    <row r="235" spans="1:10" x14ac:dyDescent="0.35">
      <c r="A235" s="44"/>
      <c r="J235" s="45"/>
    </row>
    <row r="236" spans="1:10" x14ac:dyDescent="0.35">
      <c r="A236" s="44"/>
      <c r="J236" s="45"/>
    </row>
    <row r="237" spans="1:10" x14ac:dyDescent="0.35">
      <c r="A237" s="44"/>
      <c r="J237" s="45"/>
    </row>
    <row r="238" spans="1:10" x14ac:dyDescent="0.35">
      <c r="A238" s="44"/>
      <c r="J238" s="45"/>
    </row>
    <row r="239" spans="1:10" x14ac:dyDescent="0.35">
      <c r="A239" s="44"/>
      <c r="J239" s="45"/>
    </row>
    <row r="240" spans="1:10" x14ac:dyDescent="0.35">
      <c r="A240" s="44"/>
      <c r="J240" s="45"/>
    </row>
    <row r="241" spans="1:10" x14ac:dyDescent="0.35">
      <c r="A241" s="44"/>
      <c r="J241" s="45"/>
    </row>
    <row r="242" spans="1:10" x14ac:dyDescent="0.35">
      <c r="A242" s="44"/>
      <c r="J242" s="45"/>
    </row>
    <row r="243" spans="1:10" x14ac:dyDescent="0.35">
      <c r="A243" s="44"/>
      <c r="J243" s="45"/>
    </row>
    <row r="244" spans="1:10" x14ac:dyDescent="0.35">
      <c r="A244" s="44"/>
      <c r="J244" s="45"/>
    </row>
    <row r="245" spans="1:10" x14ac:dyDescent="0.35">
      <c r="A245" s="44"/>
      <c r="J245" s="45"/>
    </row>
    <row r="246" spans="1:10" x14ac:dyDescent="0.35">
      <c r="A246" s="44"/>
      <c r="J246" s="45"/>
    </row>
    <row r="247" spans="1:10" x14ac:dyDescent="0.35">
      <c r="A247" s="44"/>
      <c r="J247" s="45"/>
    </row>
    <row r="248" spans="1:10" x14ac:dyDescent="0.35">
      <c r="A248" s="44"/>
      <c r="J248" s="45"/>
    </row>
    <row r="249" spans="1:10" x14ac:dyDescent="0.35">
      <c r="A249" s="44"/>
      <c r="J249" s="45"/>
    </row>
    <row r="250" spans="1:10" x14ac:dyDescent="0.35">
      <c r="A250" s="44"/>
      <c r="J250" s="45"/>
    </row>
    <row r="251" spans="1:10" x14ac:dyDescent="0.35">
      <c r="A251" s="44"/>
      <c r="J251" s="45"/>
    </row>
    <row r="252" spans="1:10" x14ac:dyDescent="0.35">
      <c r="A252" s="44"/>
      <c r="J252" s="45"/>
    </row>
    <row r="253" spans="1:10" x14ac:dyDescent="0.35">
      <c r="A253" s="44"/>
      <c r="J253" s="45"/>
    </row>
    <row r="254" spans="1:10" x14ac:dyDescent="0.35">
      <c r="A254" s="44"/>
      <c r="J254" s="45"/>
    </row>
    <row r="255" spans="1:10" x14ac:dyDescent="0.35">
      <c r="A255" s="44"/>
      <c r="J255" s="45"/>
    </row>
    <row r="256" spans="1:10" x14ac:dyDescent="0.35">
      <c r="A256" s="44"/>
      <c r="J256" s="45"/>
    </row>
    <row r="257" spans="1:10" x14ac:dyDescent="0.35">
      <c r="A257" s="44"/>
      <c r="J257" s="45"/>
    </row>
    <row r="258" spans="1:10" x14ac:dyDescent="0.35">
      <c r="A258" s="44"/>
      <c r="J258" s="45"/>
    </row>
    <row r="259" spans="1:10" x14ac:dyDescent="0.35">
      <c r="A259" s="44"/>
      <c r="J259" s="45"/>
    </row>
    <row r="260" spans="1:10" x14ac:dyDescent="0.35">
      <c r="A260" s="44"/>
      <c r="J260" s="45"/>
    </row>
    <row r="261" spans="1:10" x14ac:dyDescent="0.35">
      <c r="A261" s="44"/>
      <c r="J261" s="45"/>
    </row>
    <row r="262" spans="1:10" x14ac:dyDescent="0.35">
      <c r="A262" s="44"/>
      <c r="J262" s="45"/>
    </row>
    <row r="263" spans="1:10" x14ac:dyDescent="0.35">
      <c r="A263" s="44"/>
      <c r="J263" s="45"/>
    </row>
    <row r="264" spans="1:10" x14ac:dyDescent="0.35">
      <c r="A264" s="44"/>
      <c r="J264" s="45"/>
    </row>
    <row r="265" spans="1:10" x14ac:dyDescent="0.35">
      <c r="A265" s="44"/>
      <c r="J265" s="45"/>
    </row>
    <row r="266" spans="1:10" x14ac:dyDescent="0.35">
      <c r="A266" s="44"/>
      <c r="J266" s="45"/>
    </row>
    <row r="267" spans="1:10" x14ac:dyDescent="0.35">
      <c r="A267" s="44"/>
      <c r="J267" s="45"/>
    </row>
    <row r="268" spans="1:10" x14ac:dyDescent="0.35">
      <c r="A268" s="44"/>
      <c r="J268" s="45"/>
    </row>
    <row r="269" spans="1:10" x14ac:dyDescent="0.35">
      <c r="A269" s="44"/>
      <c r="J269" s="45"/>
    </row>
    <row r="270" spans="1:10" x14ac:dyDescent="0.35">
      <c r="A270" s="44"/>
      <c r="J270" s="45"/>
    </row>
    <row r="271" spans="1:10" x14ac:dyDescent="0.35">
      <c r="A271" s="44"/>
      <c r="J271" s="45"/>
    </row>
    <row r="272" spans="1:10" x14ac:dyDescent="0.35">
      <c r="A272" s="44"/>
      <c r="J272" s="45"/>
    </row>
    <row r="273" spans="1:10" x14ac:dyDescent="0.35">
      <c r="A273" s="44"/>
      <c r="J273" s="45"/>
    </row>
    <row r="274" spans="1:10" x14ac:dyDescent="0.35">
      <c r="A274" s="44"/>
      <c r="J274" s="45"/>
    </row>
    <row r="275" spans="1:10" x14ac:dyDescent="0.35">
      <c r="A275" s="44"/>
      <c r="J275" s="45"/>
    </row>
    <row r="276" spans="1:10" x14ac:dyDescent="0.35">
      <c r="A276" s="44"/>
      <c r="J276" s="45"/>
    </row>
    <row r="277" spans="1:10" x14ac:dyDescent="0.35">
      <c r="A277" s="44"/>
      <c r="J277" s="45"/>
    </row>
    <row r="278" spans="1:10" x14ac:dyDescent="0.35">
      <c r="A278" s="44"/>
      <c r="J278" s="45"/>
    </row>
    <row r="279" spans="1:10" x14ac:dyDescent="0.35">
      <c r="A279" s="44"/>
      <c r="J279" s="45"/>
    </row>
    <row r="280" spans="1:10" x14ac:dyDescent="0.35">
      <c r="A280" s="44"/>
      <c r="J280" s="45"/>
    </row>
    <row r="281" spans="1:10" x14ac:dyDescent="0.35">
      <c r="A281" s="44"/>
      <c r="J281" s="45"/>
    </row>
    <row r="282" spans="1:10" x14ac:dyDescent="0.35">
      <c r="A282" s="44"/>
      <c r="J282" s="45"/>
    </row>
    <row r="283" spans="1:10" x14ac:dyDescent="0.35">
      <c r="A283" s="44"/>
      <c r="J283" s="45"/>
    </row>
    <row r="284" spans="1:10" x14ac:dyDescent="0.35">
      <c r="A284" s="44"/>
      <c r="J284" s="45"/>
    </row>
    <row r="285" spans="1:10" x14ac:dyDescent="0.35">
      <c r="A285" s="44"/>
      <c r="J285" s="45"/>
    </row>
    <row r="286" spans="1:10" x14ac:dyDescent="0.35">
      <c r="A286" s="44"/>
      <c r="J286" s="45"/>
    </row>
    <row r="287" spans="1:10" x14ac:dyDescent="0.35">
      <c r="A287" s="44"/>
      <c r="J287" s="45"/>
    </row>
    <row r="288" spans="1:10" x14ac:dyDescent="0.35">
      <c r="A288" s="44"/>
      <c r="J288" s="45"/>
    </row>
    <row r="289" spans="1:10" x14ac:dyDescent="0.35">
      <c r="A289" s="44"/>
      <c r="J289" s="45"/>
    </row>
    <row r="290" spans="1:10" x14ac:dyDescent="0.35">
      <c r="A290" s="44"/>
      <c r="J290" s="45"/>
    </row>
    <row r="291" spans="1:10" x14ac:dyDescent="0.35">
      <c r="A291" s="44"/>
      <c r="J291" s="45"/>
    </row>
    <row r="292" spans="1:10" x14ac:dyDescent="0.35">
      <c r="A292" s="44"/>
      <c r="J292" s="45"/>
    </row>
    <row r="293" spans="1:10" x14ac:dyDescent="0.35">
      <c r="A293" s="44"/>
      <c r="J293" s="45"/>
    </row>
    <row r="294" spans="1:10" x14ac:dyDescent="0.35">
      <c r="A294" s="44"/>
      <c r="J294" s="45"/>
    </row>
    <row r="295" spans="1:10" x14ac:dyDescent="0.35">
      <c r="A295" s="44"/>
      <c r="J295" s="45"/>
    </row>
    <row r="296" spans="1:10" x14ac:dyDescent="0.35">
      <c r="A296" s="44"/>
      <c r="J296" s="45"/>
    </row>
    <row r="297" spans="1:10" x14ac:dyDescent="0.35">
      <c r="A297" s="44"/>
      <c r="J297" s="45"/>
    </row>
    <row r="298" spans="1:10" x14ac:dyDescent="0.35">
      <c r="A298" s="44"/>
      <c r="J298" s="45"/>
    </row>
    <row r="299" spans="1:10" x14ac:dyDescent="0.35">
      <c r="A299" s="44"/>
      <c r="J299" s="45"/>
    </row>
    <row r="300" spans="1:10" x14ac:dyDescent="0.35">
      <c r="A300" s="44"/>
      <c r="J300" s="45"/>
    </row>
    <row r="301" spans="1:10" x14ac:dyDescent="0.35">
      <c r="A301" s="44"/>
      <c r="J301" s="45"/>
    </row>
    <row r="302" spans="1:10" x14ac:dyDescent="0.35">
      <c r="A302" s="44"/>
      <c r="J302" s="45"/>
    </row>
    <row r="303" spans="1:10" x14ac:dyDescent="0.35">
      <c r="A303" s="44"/>
      <c r="J303" s="45"/>
    </row>
    <row r="304" spans="1:10" x14ac:dyDescent="0.35">
      <c r="A304" s="44"/>
      <c r="J304" s="45"/>
    </row>
    <row r="305" spans="1:10" x14ac:dyDescent="0.35">
      <c r="A305" s="44"/>
      <c r="J305" s="45"/>
    </row>
    <row r="306" spans="1:10" x14ac:dyDescent="0.35">
      <c r="A306" s="44"/>
      <c r="J306" s="45"/>
    </row>
    <row r="307" spans="1:10" x14ac:dyDescent="0.35">
      <c r="A307" s="44"/>
      <c r="J307" s="45"/>
    </row>
    <row r="308" spans="1:10" x14ac:dyDescent="0.35">
      <c r="A308" s="44"/>
      <c r="J308" s="45"/>
    </row>
    <row r="309" spans="1:10" x14ac:dyDescent="0.35">
      <c r="A309" s="44"/>
      <c r="J309" s="45"/>
    </row>
    <row r="310" spans="1:10" x14ac:dyDescent="0.35">
      <c r="A310" s="44"/>
      <c r="J310" s="45"/>
    </row>
    <row r="311" spans="1:10" x14ac:dyDescent="0.35">
      <c r="A311" s="44"/>
      <c r="J311" s="45"/>
    </row>
    <row r="312" spans="1:10" x14ac:dyDescent="0.35">
      <c r="A312" s="44"/>
      <c r="J312" s="45"/>
    </row>
    <row r="313" spans="1:10" x14ac:dyDescent="0.35">
      <c r="A313" s="44"/>
      <c r="J313" s="45"/>
    </row>
    <row r="314" spans="1:10" x14ac:dyDescent="0.35">
      <c r="A314" s="44"/>
      <c r="J314" s="45"/>
    </row>
    <row r="315" spans="1:10" x14ac:dyDescent="0.35">
      <c r="A315" s="44"/>
      <c r="J315" s="45"/>
    </row>
    <row r="316" spans="1:10" x14ac:dyDescent="0.35">
      <c r="A316" s="44"/>
      <c r="J316" s="45"/>
    </row>
    <row r="317" spans="1:10" x14ac:dyDescent="0.35">
      <c r="A317" s="44"/>
      <c r="J317" s="45"/>
    </row>
    <row r="318" spans="1:10" x14ac:dyDescent="0.35">
      <c r="A318" s="44"/>
      <c r="J318" s="45"/>
    </row>
    <row r="319" spans="1:10" x14ac:dyDescent="0.35">
      <c r="A319" s="44"/>
      <c r="J319" s="45"/>
    </row>
    <row r="320" spans="1:10" x14ac:dyDescent="0.35">
      <c r="A320" s="44"/>
      <c r="J320" s="45"/>
    </row>
    <row r="321" spans="1:10" x14ac:dyDescent="0.35">
      <c r="A321" s="44"/>
      <c r="J321" s="45"/>
    </row>
    <row r="322" spans="1:10" x14ac:dyDescent="0.35">
      <c r="A322" s="44"/>
      <c r="J322" s="45"/>
    </row>
    <row r="323" spans="1:10" x14ac:dyDescent="0.35">
      <c r="A323" s="44"/>
      <c r="J323" s="45"/>
    </row>
    <row r="324" spans="1:10" x14ac:dyDescent="0.35">
      <c r="A324" s="44"/>
      <c r="J324" s="45"/>
    </row>
    <row r="325" spans="1:10" x14ac:dyDescent="0.35">
      <c r="A325" s="44"/>
      <c r="J325" s="45"/>
    </row>
    <row r="326" spans="1:10" x14ac:dyDescent="0.35">
      <c r="A326" s="44"/>
      <c r="J326" s="45"/>
    </row>
    <row r="327" spans="1:10" x14ac:dyDescent="0.35">
      <c r="A327" s="44"/>
      <c r="J327" s="45"/>
    </row>
    <row r="328" spans="1:10" x14ac:dyDescent="0.35">
      <c r="A328" s="44"/>
      <c r="J328" s="45"/>
    </row>
    <row r="329" spans="1:10" x14ac:dyDescent="0.35">
      <c r="A329" s="44"/>
      <c r="J329" s="45"/>
    </row>
    <row r="330" spans="1:10" x14ac:dyDescent="0.35">
      <c r="A330" s="44"/>
      <c r="J330" s="45"/>
    </row>
    <row r="331" spans="1:10" x14ac:dyDescent="0.35">
      <c r="A331" s="44"/>
      <c r="J331" s="45"/>
    </row>
    <row r="332" spans="1:10" x14ac:dyDescent="0.35">
      <c r="A332" s="44"/>
      <c r="J332" s="45"/>
    </row>
    <row r="333" spans="1:10" x14ac:dyDescent="0.35">
      <c r="A333" s="44"/>
      <c r="J333" s="45"/>
    </row>
    <row r="334" spans="1:10" x14ac:dyDescent="0.35">
      <c r="A334" s="44"/>
      <c r="J334" s="45"/>
    </row>
    <row r="335" spans="1:10" x14ac:dyDescent="0.35">
      <c r="A335" s="44"/>
      <c r="J335" s="45"/>
    </row>
    <row r="336" spans="1:10" x14ac:dyDescent="0.35">
      <c r="A336" s="44"/>
      <c r="J336" s="45"/>
    </row>
    <row r="337" spans="1:10" x14ac:dyDescent="0.35">
      <c r="A337" s="44"/>
      <c r="J337" s="45"/>
    </row>
    <row r="338" spans="1:10" x14ac:dyDescent="0.35">
      <c r="A338" s="44"/>
      <c r="J338" s="45"/>
    </row>
    <row r="339" spans="1:10" x14ac:dyDescent="0.35">
      <c r="A339" s="44"/>
      <c r="J339" s="45"/>
    </row>
    <row r="340" spans="1:10" x14ac:dyDescent="0.35">
      <c r="A340" s="44"/>
      <c r="J340" s="45"/>
    </row>
    <row r="341" spans="1:10" x14ac:dyDescent="0.35">
      <c r="A341" s="44"/>
      <c r="J341" s="45"/>
    </row>
    <row r="342" spans="1:10" x14ac:dyDescent="0.35">
      <c r="A342" s="44"/>
      <c r="J342" s="45"/>
    </row>
    <row r="343" spans="1:10" x14ac:dyDescent="0.35">
      <c r="A343" s="44"/>
      <c r="J343" s="45"/>
    </row>
    <row r="344" spans="1:10" x14ac:dyDescent="0.35">
      <c r="A344" s="44"/>
      <c r="J344" s="45"/>
    </row>
    <row r="345" spans="1:10" x14ac:dyDescent="0.35">
      <c r="A345" s="44"/>
      <c r="J345" s="45"/>
    </row>
    <row r="346" spans="1:10" x14ac:dyDescent="0.35">
      <c r="A346" s="44"/>
      <c r="J346" s="45"/>
    </row>
    <row r="347" spans="1:10" x14ac:dyDescent="0.35">
      <c r="A347" s="44"/>
      <c r="J347" s="45"/>
    </row>
    <row r="348" spans="1:10" x14ac:dyDescent="0.35">
      <c r="A348" s="44"/>
      <c r="J348" s="45"/>
    </row>
    <row r="349" spans="1:10" x14ac:dyDescent="0.35">
      <c r="A349" s="44"/>
      <c r="J349" s="45"/>
    </row>
    <row r="350" spans="1:10" x14ac:dyDescent="0.35">
      <c r="A350" s="44"/>
      <c r="J350" s="45"/>
    </row>
    <row r="351" spans="1:10" x14ac:dyDescent="0.35">
      <c r="A351" s="44"/>
      <c r="J351" s="45"/>
    </row>
    <row r="352" spans="1:10" x14ac:dyDescent="0.35">
      <c r="A352" s="44"/>
      <c r="J352" s="45"/>
    </row>
    <row r="353" spans="1:10" x14ac:dyDescent="0.35">
      <c r="A353" s="44"/>
      <c r="J353" s="45"/>
    </row>
    <row r="354" spans="1:10" x14ac:dyDescent="0.35">
      <c r="A354" s="44"/>
      <c r="J354" s="45"/>
    </row>
    <row r="355" spans="1:10" x14ac:dyDescent="0.35">
      <c r="A355" s="44"/>
      <c r="J355" s="45"/>
    </row>
    <row r="356" spans="1:10" x14ac:dyDescent="0.35">
      <c r="A356" s="44"/>
      <c r="J356" s="45"/>
    </row>
    <row r="357" spans="1:10" x14ac:dyDescent="0.35">
      <c r="A357" s="44"/>
      <c r="J357" s="45"/>
    </row>
    <row r="358" spans="1:10" x14ac:dyDescent="0.35">
      <c r="A358" s="44"/>
      <c r="J358" s="45"/>
    </row>
    <row r="359" spans="1:10" x14ac:dyDescent="0.35">
      <c r="A359" s="44"/>
      <c r="J359" s="45"/>
    </row>
    <row r="360" spans="1:10" x14ac:dyDescent="0.35">
      <c r="A360" s="44"/>
      <c r="J360" s="45"/>
    </row>
    <row r="361" spans="1:10" x14ac:dyDescent="0.35">
      <c r="A361" s="44"/>
      <c r="J361" s="45"/>
    </row>
    <row r="362" spans="1:10" x14ac:dyDescent="0.35">
      <c r="A362" s="44"/>
      <c r="J362" s="45"/>
    </row>
    <row r="363" spans="1:10" x14ac:dyDescent="0.35">
      <c r="A363" s="44"/>
      <c r="J363" s="45"/>
    </row>
    <row r="364" spans="1:10" x14ac:dyDescent="0.35">
      <c r="A364" s="44"/>
      <c r="J364" s="45"/>
    </row>
    <row r="365" spans="1:10" x14ac:dyDescent="0.35">
      <c r="A365" s="44"/>
      <c r="J365" s="45"/>
    </row>
    <row r="366" spans="1:10" x14ac:dyDescent="0.35">
      <c r="A366" s="44"/>
      <c r="J366" s="45"/>
    </row>
    <row r="367" spans="1:10" x14ac:dyDescent="0.35">
      <c r="A367" s="44"/>
      <c r="J367" s="45"/>
    </row>
    <row r="368" spans="1:10" x14ac:dyDescent="0.35">
      <c r="A368" s="44"/>
      <c r="J368" s="45"/>
    </row>
    <row r="369" spans="1:10" x14ac:dyDescent="0.35">
      <c r="A369" s="44"/>
      <c r="J369" s="45"/>
    </row>
    <row r="370" spans="1:10" x14ac:dyDescent="0.35">
      <c r="A370" s="44"/>
      <c r="J370" s="45"/>
    </row>
    <row r="371" spans="1:10" x14ac:dyDescent="0.35">
      <c r="A371" s="44"/>
      <c r="J371" s="45"/>
    </row>
    <row r="372" spans="1:10" x14ac:dyDescent="0.35">
      <c r="A372" s="44"/>
      <c r="J372" s="45"/>
    </row>
    <row r="373" spans="1:10" x14ac:dyDescent="0.35">
      <c r="A373" s="44"/>
      <c r="J373" s="45"/>
    </row>
    <row r="374" spans="1:10" x14ac:dyDescent="0.35">
      <c r="A374" s="44"/>
      <c r="J374" s="45"/>
    </row>
    <row r="375" spans="1:10" x14ac:dyDescent="0.35">
      <c r="A375" s="44"/>
      <c r="J375" s="45"/>
    </row>
    <row r="376" spans="1:10" x14ac:dyDescent="0.35">
      <c r="A376" s="44"/>
      <c r="J376" s="45"/>
    </row>
    <row r="377" spans="1:10" x14ac:dyDescent="0.35">
      <c r="A377" s="44"/>
      <c r="J377" s="45"/>
    </row>
    <row r="378" spans="1:10" x14ac:dyDescent="0.35">
      <c r="A378" s="44"/>
      <c r="J378" s="45"/>
    </row>
    <row r="379" spans="1:10" x14ac:dyDescent="0.35">
      <c r="A379" s="44"/>
      <c r="J379" s="45"/>
    </row>
    <row r="380" spans="1:10" x14ac:dyDescent="0.35">
      <c r="A380" s="44"/>
      <c r="J380" s="45"/>
    </row>
    <row r="381" spans="1:10" x14ac:dyDescent="0.35">
      <c r="A381" s="44"/>
      <c r="J381" s="45"/>
    </row>
    <row r="382" spans="1:10" x14ac:dyDescent="0.35">
      <c r="A382" s="44"/>
      <c r="J382" s="45"/>
    </row>
    <row r="383" spans="1:10" x14ac:dyDescent="0.35">
      <c r="A383" s="44"/>
      <c r="J383" s="45"/>
    </row>
    <row r="384" spans="1:10" x14ac:dyDescent="0.35">
      <c r="A384" s="44"/>
      <c r="J384" s="45"/>
    </row>
    <row r="385" spans="1:10" x14ac:dyDescent="0.35">
      <c r="A385" s="44"/>
      <c r="J385" s="45"/>
    </row>
    <row r="386" spans="1:10" x14ac:dyDescent="0.35">
      <c r="A386" s="44"/>
      <c r="J386" s="45"/>
    </row>
    <row r="387" spans="1:10" x14ac:dyDescent="0.35">
      <c r="A387" s="44"/>
      <c r="J387" s="45"/>
    </row>
    <row r="388" spans="1:10" x14ac:dyDescent="0.35">
      <c r="A388" s="44"/>
      <c r="J388" s="45"/>
    </row>
    <row r="389" spans="1:10" x14ac:dyDescent="0.35">
      <c r="A389" s="44"/>
      <c r="J389" s="45"/>
    </row>
    <row r="390" spans="1:10" x14ac:dyDescent="0.35">
      <c r="A390" s="44"/>
      <c r="J390" s="45"/>
    </row>
    <row r="391" spans="1:10" x14ac:dyDescent="0.35">
      <c r="A391" s="44"/>
      <c r="J391" s="45"/>
    </row>
    <row r="392" spans="1:10" x14ac:dyDescent="0.35">
      <c r="A392" s="44"/>
      <c r="J392" s="45"/>
    </row>
    <row r="393" spans="1:10" x14ac:dyDescent="0.35">
      <c r="A393" s="44"/>
      <c r="J393" s="45"/>
    </row>
    <row r="394" spans="1:10" x14ac:dyDescent="0.35">
      <c r="A394" s="44"/>
      <c r="J394" s="45"/>
    </row>
    <row r="395" spans="1:10" x14ac:dyDescent="0.35">
      <c r="A395" s="44"/>
      <c r="J395" s="45"/>
    </row>
    <row r="396" spans="1:10" x14ac:dyDescent="0.35">
      <c r="A396" s="44"/>
      <c r="J396" s="45"/>
    </row>
    <row r="397" spans="1:10" x14ac:dyDescent="0.35">
      <c r="A397" s="44"/>
      <c r="J397" s="45"/>
    </row>
    <row r="398" spans="1:10" x14ac:dyDescent="0.35">
      <c r="A398" s="44"/>
      <c r="J398" s="45"/>
    </row>
    <row r="399" spans="1:10" x14ac:dyDescent="0.35">
      <c r="A399" s="44"/>
      <c r="J399" s="45"/>
    </row>
    <row r="400" spans="1:10" x14ac:dyDescent="0.35">
      <c r="A400" s="44"/>
      <c r="J400" s="45"/>
    </row>
    <row r="401" spans="1:10" x14ac:dyDescent="0.35">
      <c r="A401" s="44"/>
      <c r="J401" s="45"/>
    </row>
    <row r="402" spans="1:10" x14ac:dyDescent="0.35">
      <c r="A402" s="44"/>
      <c r="J402" s="45"/>
    </row>
    <row r="403" spans="1:10" x14ac:dyDescent="0.35">
      <c r="A403" s="44"/>
      <c r="J403" s="45"/>
    </row>
    <row r="404" spans="1:10" x14ac:dyDescent="0.35">
      <c r="A404" s="44"/>
      <c r="J404" s="45"/>
    </row>
    <row r="405" spans="1:10" x14ac:dyDescent="0.35">
      <c r="A405" s="44"/>
      <c r="J405" s="45"/>
    </row>
    <row r="406" spans="1:10" x14ac:dyDescent="0.35">
      <c r="A406" s="44"/>
      <c r="J406" s="45"/>
    </row>
    <row r="407" spans="1:10" x14ac:dyDescent="0.35">
      <c r="A407" s="44"/>
      <c r="J407" s="45"/>
    </row>
    <row r="408" spans="1:10" x14ac:dyDescent="0.35">
      <c r="A408" s="44"/>
      <c r="J408" s="45"/>
    </row>
    <row r="409" spans="1:10" x14ac:dyDescent="0.35">
      <c r="A409" s="44"/>
      <c r="J409" s="45"/>
    </row>
    <row r="410" spans="1:10" x14ac:dyDescent="0.35">
      <c r="A410" s="44"/>
      <c r="J410" s="45"/>
    </row>
    <row r="411" spans="1:10" x14ac:dyDescent="0.35">
      <c r="A411" s="44"/>
      <c r="J411" s="45"/>
    </row>
    <row r="412" spans="1:10" x14ac:dyDescent="0.35">
      <c r="A412" s="44"/>
      <c r="J412" s="45"/>
    </row>
    <row r="413" spans="1:10" x14ac:dyDescent="0.35">
      <c r="A413" s="44"/>
      <c r="J413" s="45"/>
    </row>
    <row r="414" spans="1:10" x14ac:dyDescent="0.35">
      <c r="A414" s="44"/>
      <c r="J414" s="45"/>
    </row>
    <row r="415" spans="1:10" x14ac:dyDescent="0.35">
      <c r="A415" s="44"/>
      <c r="J415" s="45"/>
    </row>
    <row r="416" spans="1:10" x14ac:dyDescent="0.35">
      <c r="A416" s="44"/>
      <c r="J416" s="45"/>
    </row>
    <row r="417" spans="1:10" x14ac:dyDescent="0.35">
      <c r="A417" s="44"/>
      <c r="J417" s="45"/>
    </row>
    <row r="418" spans="1:10" x14ac:dyDescent="0.35">
      <c r="A418" s="44"/>
      <c r="J418" s="45"/>
    </row>
    <row r="419" spans="1:10" x14ac:dyDescent="0.35">
      <c r="A419" s="44"/>
      <c r="J419" s="45"/>
    </row>
    <row r="420" spans="1:10" x14ac:dyDescent="0.35">
      <c r="A420" s="44"/>
      <c r="J420" s="45"/>
    </row>
    <row r="421" spans="1:10" x14ac:dyDescent="0.35">
      <c r="A421" s="46"/>
      <c r="B421" s="47"/>
      <c r="C421" s="47"/>
      <c r="D421" s="47"/>
      <c r="E421" s="47"/>
      <c r="F421" s="47"/>
      <c r="G421" s="47"/>
      <c r="H421" s="47"/>
      <c r="I421" s="47"/>
      <c r="J421" s="48"/>
    </row>
    <row r="422" spans="1:10" x14ac:dyDescent="0.35">
      <c r="A422" s="49"/>
      <c r="J422" s="50"/>
    </row>
    <row r="423" spans="1:10" x14ac:dyDescent="0.35">
      <c r="A423" s="49"/>
      <c r="J423" s="50"/>
    </row>
    <row r="424" spans="1:10" x14ac:dyDescent="0.35">
      <c r="A424" s="49"/>
      <c r="J424" s="50"/>
    </row>
    <row r="425" spans="1:10" ht="15" thickBot="1" x14ac:dyDescent="0.4">
      <c r="A425" s="51"/>
      <c r="B425" s="52"/>
      <c r="C425" s="52"/>
      <c r="D425" s="52"/>
      <c r="E425" s="52"/>
      <c r="F425" s="52"/>
      <c r="G425" s="52"/>
      <c r="H425" s="52"/>
      <c r="I425" s="52"/>
      <c r="J425" s="53"/>
    </row>
  </sheetData>
  <mergeCells count="55">
    <mergeCell ref="H37:I38"/>
    <mergeCell ref="I41:J41"/>
    <mergeCell ref="I40:J40"/>
    <mergeCell ref="C40:D40"/>
    <mergeCell ref="C41:D41"/>
    <mergeCell ref="G40:H40"/>
    <mergeCell ref="G41:H41"/>
    <mergeCell ref="A2:J2"/>
    <mergeCell ref="A3:J3"/>
    <mergeCell ref="A4:J4"/>
    <mergeCell ref="A5:J5"/>
    <mergeCell ref="A6:J6"/>
    <mergeCell ref="A15:B15"/>
    <mergeCell ref="A13:B13"/>
    <mergeCell ref="C13:E13"/>
    <mergeCell ref="C15:E15"/>
    <mergeCell ref="A7:J7"/>
    <mergeCell ref="A10:B10"/>
    <mergeCell ref="A11:B11"/>
    <mergeCell ref="A12:B12"/>
    <mergeCell ref="C10:E10"/>
    <mergeCell ref="C12:E12"/>
    <mergeCell ref="C11:E11"/>
    <mergeCell ref="H10:I10"/>
    <mergeCell ref="H11:J11"/>
    <mergeCell ref="B20:C20"/>
    <mergeCell ref="B21:C21"/>
    <mergeCell ref="B22:C22"/>
    <mergeCell ref="B23:C23"/>
    <mergeCell ref="B24:C24"/>
    <mergeCell ref="D28:E28"/>
    <mergeCell ref="D29:E29"/>
    <mergeCell ref="D30:E30"/>
    <mergeCell ref="D34:E35"/>
    <mergeCell ref="B25:C25"/>
    <mergeCell ref="B26:C26"/>
    <mergeCell ref="B27:C27"/>
    <mergeCell ref="B28:C28"/>
    <mergeCell ref="B29:C29"/>
    <mergeCell ref="D19:E19"/>
    <mergeCell ref="B19:C19"/>
    <mergeCell ref="M21:Q21"/>
    <mergeCell ref="B32:C32"/>
    <mergeCell ref="I42:J42"/>
    <mergeCell ref="A40:B41"/>
    <mergeCell ref="B30:C30"/>
    <mergeCell ref="B34:C34"/>
    <mergeCell ref="D20:E20"/>
    <mergeCell ref="D21:E21"/>
    <mergeCell ref="D22:E22"/>
    <mergeCell ref="D23:E23"/>
    <mergeCell ref="D24:E24"/>
    <mergeCell ref="D25:E25"/>
    <mergeCell ref="D26:E26"/>
    <mergeCell ref="D27:E27"/>
  </mergeCells>
  <pageMargins left="0.25" right="0.27777777777777779" top="0.75" bottom="0.75" header="0.3" footer="0.3"/>
  <pageSetup orientation="portrait" r:id="rId1"/>
  <headerFooter>
    <oddHeader xml:space="preserve">&amp;C&amp;"Algerian,Regular"&amp;24MARKSHEET
</oddHeader>
  </headerFooter>
  <ignoredErrors>
    <ignoredError sqref="J27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AF20E-0486-427A-837E-539082729984}">
  <sheetPr codeName="Sheet13"/>
  <dimension ref="C1:Y114"/>
  <sheetViews>
    <sheetView topLeftCell="D1" zoomScale="72" zoomScaleNormal="50" workbookViewId="0">
      <selection activeCell="Q15" sqref="Q15"/>
    </sheetView>
  </sheetViews>
  <sheetFormatPr defaultRowHeight="14.5" x14ac:dyDescent="0.35"/>
  <cols>
    <col min="4" max="4" width="6.54296875" customWidth="1"/>
    <col min="5" max="5" width="16.7265625" customWidth="1"/>
    <col min="6" max="6" width="16.81640625" customWidth="1"/>
    <col min="7" max="7" width="12.81640625" customWidth="1"/>
    <col min="8" max="8" width="15.81640625" customWidth="1"/>
    <col min="9" max="9" width="15.7265625" customWidth="1"/>
    <col min="10" max="16" width="14.453125" customWidth="1"/>
    <col min="17" max="17" width="10.453125" customWidth="1"/>
    <col min="18" max="18" width="9.81640625" customWidth="1"/>
    <col min="20" max="20" width="13.1796875" customWidth="1"/>
  </cols>
  <sheetData>
    <row r="1" spans="3:25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25" x14ac:dyDescent="0.35">
      <c r="C2" s="35"/>
      <c r="D2" s="161" t="s">
        <v>0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7"/>
      <c r="S2" s="7"/>
      <c r="T2" s="7"/>
      <c r="U2" s="7"/>
      <c r="V2" s="7"/>
    </row>
    <row r="3" spans="3:25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7"/>
      <c r="S3" s="7"/>
      <c r="T3" s="7"/>
      <c r="U3" s="7"/>
      <c r="V3" s="7"/>
    </row>
    <row r="4" spans="3:25" ht="22" x14ac:dyDescent="0.6">
      <c r="C4" s="35"/>
      <c r="D4" s="162" t="s">
        <v>1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7"/>
      <c r="S4" s="7"/>
      <c r="T4" s="7"/>
      <c r="U4" s="7"/>
      <c r="V4" s="7"/>
    </row>
    <row r="5" spans="3:25" ht="23" x14ac:dyDescent="0.6">
      <c r="C5" s="35"/>
      <c r="D5" s="164" t="s">
        <v>2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7"/>
      <c r="S5" s="7"/>
      <c r="T5" s="7"/>
      <c r="U5" s="7"/>
      <c r="V5" s="7"/>
    </row>
    <row r="6" spans="3:25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  <c r="R6" s="7"/>
      <c r="S6" s="7"/>
      <c r="T6" s="7"/>
      <c r="U6" s="7"/>
      <c r="V6" s="7"/>
    </row>
    <row r="7" spans="3:25" ht="22" x14ac:dyDescent="0.6">
      <c r="C7" s="35"/>
      <c r="D7" s="34"/>
      <c r="E7" s="35"/>
      <c r="F7" s="35"/>
      <c r="G7" s="164" t="s">
        <v>4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25" ht="21" x14ac:dyDescent="0.5">
      <c r="C8" s="35"/>
      <c r="D8" s="160" t="s">
        <v>5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7"/>
      <c r="S8" s="7"/>
      <c r="T8" s="7"/>
      <c r="U8" s="7"/>
      <c r="V8" s="7"/>
    </row>
    <row r="9" spans="3:25" ht="21" x14ac:dyDescent="0.5">
      <c r="C9" s="7"/>
      <c r="D9" s="160" t="s">
        <v>6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7"/>
      <c r="S9" s="7"/>
      <c r="T9" s="7"/>
      <c r="U9" s="7"/>
      <c r="V9" s="7"/>
    </row>
    <row r="12" spans="3:25" x14ac:dyDescent="0.35">
      <c r="D12" s="29" t="s">
        <v>42</v>
      </c>
      <c r="E12" s="29" t="s">
        <v>43</v>
      </c>
      <c r="F12" s="29" t="s">
        <v>71</v>
      </c>
      <c r="G12" s="29" t="s">
        <v>72</v>
      </c>
      <c r="H12" s="29" t="s">
        <v>73</v>
      </c>
      <c r="I12" s="29" t="s">
        <v>74</v>
      </c>
      <c r="J12" s="29" t="s">
        <v>75</v>
      </c>
      <c r="K12" s="29" t="s">
        <v>76</v>
      </c>
      <c r="L12" s="29" t="s">
        <v>77</v>
      </c>
      <c r="M12" s="29" t="s">
        <v>78</v>
      </c>
      <c r="N12" s="29" t="s">
        <v>79</v>
      </c>
      <c r="O12" s="29" t="s">
        <v>80</v>
      </c>
      <c r="P12" s="29" t="s">
        <v>81</v>
      </c>
      <c r="Q12" s="29" t="s">
        <v>50</v>
      </c>
      <c r="R12" s="29" t="s">
        <v>82</v>
      </c>
      <c r="S12" s="29" t="s">
        <v>51</v>
      </c>
      <c r="T12" s="29" t="s">
        <v>52</v>
      </c>
    </row>
    <row r="13" spans="3:25" x14ac:dyDescent="0.35">
      <c r="D13" s="6"/>
      <c r="E13" s="6"/>
      <c r="F13" s="33">
        <v>100</v>
      </c>
      <c r="G13" s="33">
        <v>100</v>
      </c>
      <c r="H13" s="33">
        <v>100</v>
      </c>
      <c r="I13" s="33">
        <v>100</v>
      </c>
      <c r="J13" s="33">
        <v>100</v>
      </c>
      <c r="K13" s="33">
        <v>100</v>
      </c>
      <c r="L13" s="33">
        <v>100</v>
      </c>
      <c r="M13" s="33">
        <v>50</v>
      </c>
      <c r="N13" s="33">
        <v>100</v>
      </c>
      <c r="O13" s="33">
        <v>100</v>
      </c>
      <c r="P13" s="33">
        <v>50</v>
      </c>
      <c r="Q13" s="33">
        <f>P13+O13+N13+M13+L13+K13+J13+I13+H13+G13+F13</f>
        <v>1000</v>
      </c>
      <c r="R13" s="33" t="s">
        <v>83</v>
      </c>
      <c r="S13" s="33">
        <v>20</v>
      </c>
      <c r="T13" s="33" t="s">
        <v>53</v>
      </c>
    </row>
    <row r="14" spans="3:25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V14" s="159" t="s">
        <v>132</v>
      </c>
      <c r="W14" s="159"/>
      <c r="X14" s="159"/>
      <c r="Y14" s="159"/>
    </row>
    <row r="15" spans="3:25" x14ac:dyDescent="0.35">
      <c r="D15" s="6">
        <f>'SUB-1'!D15</f>
        <v>1</v>
      </c>
      <c r="E15" s="6" t="str">
        <f>'SUB-1'!E15</f>
        <v>BTMC24O1001</v>
      </c>
      <c r="F15" s="6">
        <f>'SUB-1'!L15</f>
        <v>60</v>
      </c>
      <c r="G15" s="6">
        <f>'SUB- 2'!K15</f>
        <v>62</v>
      </c>
      <c r="H15" s="6">
        <f>'SUB-3'!L15</f>
        <v>38</v>
      </c>
      <c r="I15" s="6">
        <f>'SUB-4'!L15</f>
        <v>47</v>
      </c>
      <c r="J15" s="6">
        <f>'SUB-5'!L15</f>
        <v>49</v>
      </c>
      <c r="K15" s="6">
        <f>'SUB-6'!H16</f>
        <v>66</v>
      </c>
      <c r="L15" s="6">
        <f>'SUB-7'!H16</f>
        <v>67</v>
      </c>
      <c r="M15" s="6">
        <f>'SUB-8'!H16</f>
        <v>32</v>
      </c>
      <c r="N15" s="6">
        <f>'SUB-9'!H17</f>
        <v>30</v>
      </c>
      <c r="O15" s="6">
        <f>'SUB-10'!H16</f>
        <v>14</v>
      </c>
      <c r="P15" s="6">
        <f>'SUB- NEC'!G16</f>
        <v>30</v>
      </c>
      <c r="Q15" s="6">
        <f>SUM(F15:P15)</f>
        <v>495</v>
      </c>
      <c r="R15" s="6">
        <f>(Q15/1000)*100</f>
        <v>49.5</v>
      </c>
      <c r="S15" s="6">
        <f>('SUB-1'!M15)+('SUB- 2'!L15)+('SUB-3'!M15)+('SUB-4'!M15)+('SUB-5'!M15)+('SUB-6'!J16)+('SUB-7'!J16)+('SUB-8'!J16)+('SUB-9'!J17)+('SUB-10'!J16)+('SUB- NEC'!J16)</f>
        <v>11</v>
      </c>
      <c r="T15" s="6" t="str">
        <f>IF(R15&lt;40,"FAIL","PASS")</f>
        <v>PASS</v>
      </c>
      <c r="V15">
        <f>COUNTIF(T15:T114,T15)</f>
        <v>91</v>
      </c>
    </row>
    <row r="16" spans="3:25" x14ac:dyDescent="0.35">
      <c r="D16" s="6">
        <f>'SUB-1'!D16</f>
        <v>2</v>
      </c>
      <c r="E16" s="6" t="str">
        <f>'SUB-1'!E16</f>
        <v>BTMC24O1002</v>
      </c>
      <c r="F16" s="6">
        <f>'SUB-1'!L16</f>
        <v>26</v>
      </c>
      <c r="G16" s="6">
        <f>'SUB- 2'!K16</f>
        <v>56</v>
      </c>
      <c r="H16" s="6">
        <f>'SUB-3'!L16</f>
        <v>39</v>
      </c>
      <c r="I16" s="6">
        <f>'SUB-4'!L16</f>
        <v>14</v>
      </c>
      <c r="J16" s="6">
        <f>'SUB-5'!L16</f>
        <v>55</v>
      </c>
      <c r="K16" s="6">
        <f>'SUB-6'!H17</f>
        <v>30</v>
      </c>
      <c r="L16" s="6">
        <f>'SUB-7'!H17</f>
        <v>77</v>
      </c>
      <c r="M16" s="6">
        <f>'SUB-8'!H17</f>
        <v>48</v>
      </c>
      <c r="N16" s="6">
        <f>'SUB-9'!H18</f>
        <v>42</v>
      </c>
      <c r="O16" s="6">
        <f>'SUB-10'!H17</f>
        <v>73</v>
      </c>
      <c r="P16" s="6">
        <f>'SUB- NEC'!G17</f>
        <v>14</v>
      </c>
      <c r="Q16" s="6">
        <f>SUM(F16:P16)</f>
        <v>474</v>
      </c>
      <c r="R16" s="6">
        <f t="shared" ref="R16:R79" si="0">(Q16/1000)*100</f>
        <v>47.4</v>
      </c>
      <c r="S16" s="6">
        <f>('SUB-1'!M16)+('SUB- 2'!L16)+('SUB-3'!M16)+('SUB-4'!M16)+('SUB-5'!M16)+('SUB-6'!J17)+('SUB-7'!J17)+('SUB-8'!J17)+('SUB-9'!J18)+('SUB-10'!J17)+('SUB- NEC'!J17)</f>
        <v>9</v>
      </c>
      <c r="T16" s="6" t="str">
        <f t="shared" ref="T16:T79" si="1">IF(R16&lt;40,"FAIL","PASS")</f>
        <v>PASS</v>
      </c>
    </row>
    <row r="17" spans="4:25" x14ac:dyDescent="0.35">
      <c r="D17" s="6">
        <f>'SUB-1'!D17</f>
        <v>3</v>
      </c>
      <c r="E17" s="6" t="str">
        <f>'SUB-1'!E17</f>
        <v>BTMC24O1003</v>
      </c>
      <c r="F17" s="6">
        <f>'SUB-1'!L17</f>
        <v>44</v>
      </c>
      <c r="G17" s="6">
        <f>'SUB- 2'!K17</f>
        <v>45</v>
      </c>
      <c r="H17" s="6">
        <f>'SUB-3'!L17</f>
        <v>32</v>
      </c>
      <c r="I17" s="6">
        <f>'SUB-4'!L17</f>
        <v>36</v>
      </c>
      <c r="J17" s="6">
        <f>'SUB-5'!L17</f>
        <v>64</v>
      </c>
      <c r="K17" s="6">
        <f>'SUB-6'!H18</f>
        <v>66</v>
      </c>
      <c r="L17" s="6">
        <f>'SUB-7'!H18</f>
        <v>34</v>
      </c>
      <c r="M17" s="6">
        <f>'SUB-8'!H18</f>
        <v>22</v>
      </c>
      <c r="N17" s="6">
        <f>'SUB-9'!H19</f>
        <v>28</v>
      </c>
      <c r="O17" s="6">
        <f>'SUB-10'!H18</f>
        <v>23</v>
      </c>
      <c r="P17" s="6">
        <f>'SUB- NEC'!G18</f>
        <v>37</v>
      </c>
      <c r="Q17" s="6">
        <f t="shared" ref="Q17:Q80" si="2">SUM(F17:P17)</f>
        <v>431</v>
      </c>
      <c r="R17" s="6">
        <f t="shared" si="0"/>
        <v>43.1</v>
      </c>
      <c r="S17" s="6">
        <f>('SUB-1'!M17)+('SUB- 2'!L17)+('SUB-3'!M17)+('SUB-4'!M17)+('SUB-5'!M17)+('SUB-6'!J18)+('SUB-7'!J18)+('SUB-8'!J18)+('SUB-9'!J19)+('SUB-10'!J18)+('SUB- NEC'!J18)</f>
        <v>8</v>
      </c>
      <c r="T17" s="6" t="str">
        <f t="shared" si="1"/>
        <v>PASS</v>
      </c>
      <c r="V17" s="159" t="s">
        <v>133</v>
      </c>
      <c r="W17" s="159"/>
      <c r="X17" s="159"/>
      <c r="Y17" s="159"/>
    </row>
    <row r="18" spans="4:25" x14ac:dyDescent="0.35">
      <c r="D18" s="6">
        <f>'SUB-1'!D18</f>
        <v>4</v>
      </c>
      <c r="E18" s="6" t="str">
        <f>'SUB-1'!E18</f>
        <v>BTMC24O1004</v>
      </c>
      <c r="F18" s="6">
        <f>'SUB-1'!L18</f>
        <v>57</v>
      </c>
      <c r="G18" s="6">
        <f>'SUB- 2'!K18</f>
        <v>43</v>
      </c>
      <c r="H18" s="6">
        <f>'SUB-3'!L18</f>
        <v>69</v>
      </c>
      <c r="I18" s="6">
        <f>'SUB-4'!L18</f>
        <v>62</v>
      </c>
      <c r="J18" s="6">
        <f>'SUB-5'!L18</f>
        <v>43</v>
      </c>
      <c r="K18" s="6">
        <f>'SUB-6'!H19</f>
        <v>70</v>
      </c>
      <c r="L18" s="6">
        <f>'SUB-7'!H19</f>
        <v>35</v>
      </c>
      <c r="M18" s="6">
        <f>'SUB-8'!H19</f>
        <v>6</v>
      </c>
      <c r="N18" s="6">
        <f>'SUB-9'!H20</f>
        <v>60</v>
      </c>
      <c r="O18" s="6">
        <f>'SUB-10'!H19</f>
        <v>88</v>
      </c>
      <c r="P18" s="6">
        <f>'SUB- NEC'!G19</f>
        <v>48</v>
      </c>
      <c r="Q18" s="6">
        <f t="shared" si="2"/>
        <v>581</v>
      </c>
      <c r="R18" s="6">
        <f t="shared" si="0"/>
        <v>58.099999999999994</v>
      </c>
      <c r="S18" s="6">
        <f>('SUB-1'!M18)+('SUB- 2'!L18)+('SUB-3'!M18)+('SUB-4'!M18)+('SUB-5'!M18)+('SUB-6'!J19)+('SUB-7'!J19)+('SUB-8'!J19)+('SUB-9'!J20)+('SUB-10'!J19)+('SUB- NEC'!J19)</f>
        <v>13</v>
      </c>
      <c r="T18" s="6" t="str">
        <f t="shared" si="1"/>
        <v>PASS</v>
      </c>
      <c r="V18">
        <f>COUNTIF(T15:T114,T22)</f>
        <v>9</v>
      </c>
    </row>
    <row r="19" spans="4:25" x14ac:dyDescent="0.35">
      <c r="D19" s="6">
        <f>'SUB-1'!D19</f>
        <v>5</v>
      </c>
      <c r="E19" s="6" t="str">
        <f>'SUB-1'!E19</f>
        <v>BTMC24O1005</v>
      </c>
      <c r="F19" s="6">
        <f>'SUB-1'!L19</f>
        <v>54</v>
      </c>
      <c r="G19" s="6">
        <f>'SUB- 2'!K19</f>
        <v>47</v>
      </c>
      <c r="H19" s="6">
        <f>'SUB-3'!L19</f>
        <v>33</v>
      </c>
      <c r="I19" s="6">
        <f>'SUB-4'!L19</f>
        <v>35</v>
      </c>
      <c r="J19" s="6">
        <f>'SUB-5'!L19</f>
        <v>51</v>
      </c>
      <c r="K19" s="6">
        <f>'SUB-6'!H20</f>
        <v>41</v>
      </c>
      <c r="L19" s="6">
        <f>'SUB-7'!H20</f>
        <v>38</v>
      </c>
      <c r="M19" s="6">
        <f>'SUB-8'!H20</f>
        <v>42</v>
      </c>
      <c r="N19" s="6">
        <f>'SUB-9'!H21</f>
        <v>88</v>
      </c>
      <c r="O19" s="6">
        <f>'SUB-10'!H20</f>
        <v>78</v>
      </c>
      <c r="P19" s="6">
        <f>'SUB- NEC'!G20</f>
        <v>3</v>
      </c>
      <c r="Q19" s="6">
        <f t="shared" si="2"/>
        <v>510</v>
      </c>
      <c r="R19" s="6">
        <f t="shared" si="0"/>
        <v>51</v>
      </c>
      <c r="S19" s="6">
        <f>('SUB-1'!M19)+('SUB- 2'!L19)+('SUB-3'!M19)+('SUB-4'!M19)+('SUB-5'!M19)+('SUB-6'!J20)+('SUB-7'!J20)+('SUB-8'!J20)+('SUB-9'!J21)+('SUB-10'!J20)+('SUB- NEC'!J20)</f>
        <v>10</v>
      </c>
      <c r="T19" s="6" t="str">
        <f t="shared" si="1"/>
        <v>PASS</v>
      </c>
    </row>
    <row r="20" spans="4:25" x14ac:dyDescent="0.35">
      <c r="D20" s="6">
        <f>'SUB-1'!D20</f>
        <v>6</v>
      </c>
      <c r="E20" s="6" t="str">
        <f>'SUB-1'!E20</f>
        <v>BTMC24O1006</v>
      </c>
      <c r="F20" s="6">
        <f>'SUB-1'!L20</f>
        <v>42</v>
      </c>
      <c r="G20" s="6">
        <f>'SUB- 2'!K20</f>
        <v>56</v>
      </c>
      <c r="H20" s="6">
        <f>'SUB-3'!L20</f>
        <v>49</v>
      </c>
      <c r="I20" s="6">
        <f>'SUB-4'!L20</f>
        <v>57</v>
      </c>
      <c r="J20" s="6">
        <f>'SUB-5'!L20</f>
        <v>65</v>
      </c>
      <c r="K20" s="6">
        <f>'SUB-6'!H21</f>
        <v>27</v>
      </c>
      <c r="L20" s="6">
        <f>'SUB-7'!H21</f>
        <v>58</v>
      </c>
      <c r="M20" s="6">
        <f>'SUB-8'!H21</f>
        <v>31</v>
      </c>
      <c r="N20" s="6">
        <f>'SUB-9'!H22</f>
        <v>50</v>
      </c>
      <c r="O20" s="6">
        <f>'SUB-10'!H21</f>
        <v>31</v>
      </c>
      <c r="P20" s="6">
        <f>'SUB- NEC'!G21</f>
        <v>49</v>
      </c>
      <c r="Q20" s="6">
        <f t="shared" si="2"/>
        <v>515</v>
      </c>
      <c r="R20" s="6">
        <f t="shared" si="0"/>
        <v>51.5</v>
      </c>
      <c r="S20" s="6">
        <f>('SUB-1'!M20)+('SUB- 2'!L20)+('SUB-3'!M20)+('SUB-4'!M20)+('SUB-5'!M20)+('SUB-6'!J21)+('SUB-7'!J21)+('SUB-8'!J21)+('SUB-9'!J22)+('SUB-10'!J21)+('SUB- NEC'!J21)</f>
        <v>12</v>
      </c>
      <c r="T20" s="6" t="str">
        <f t="shared" si="1"/>
        <v>PASS</v>
      </c>
    </row>
    <row r="21" spans="4:25" x14ac:dyDescent="0.35">
      <c r="D21" s="6">
        <f>'SUB-1'!D21</f>
        <v>7</v>
      </c>
      <c r="E21" s="6" t="str">
        <f>'SUB-1'!E21</f>
        <v>BTMC24O1007</v>
      </c>
      <c r="F21" s="6">
        <f>'SUB-1'!L21</f>
        <v>57</v>
      </c>
      <c r="G21" s="6">
        <f>'SUB- 2'!K21</f>
        <v>44</v>
      </c>
      <c r="H21" s="6">
        <f>'SUB-3'!L21</f>
        <v>39</v>
      </c>
      <c r="I21" s="6">
        <f>'SUB-4'!L21</f>
        <v>55</v>
      </c>
      <c r="J21" s="6">
        <f>'SUB-5'!L21</f>
        <v>64</v>
      </c>
      <c r="K21" s="6">
        <f>'SUB-6'!H22</f>
        <v>53</v>
      </c>
      <c r="L21" s="6">
        <f>'SUB-7'!H22</f>
        <v>77</v>
      </c>
      <c r="M21" s="6">
        <f>'SUB-8'!H22</f>
        <v>1</v>
      </c>
      <c r="N21" s="6">
        <f>'SUB-9'!H23</f>
        <v>82</v>
      </c>
      <c r="O21" s="6">
        <f>'SUB-10'!H22</f>
        <v>21</v>
      </c>
      <c r="P21" s="6">
        <f>'SUB- NEC'!G22</f>
        <v>40</v>
      </c>
      <c r="Q21" s="6">
        <f t="shared" si="2"/>
        <v>533</v>
      </c>
      <c r="R21" s="6">
        <f t="shared" si="0"/>
        <v>53.300000000000004</v>
      </c>
      <c r="S21" s="6">
        <f>('SUB-1'!M21)+('SUB- 2'!L21)+('SUB-3'!M21)+('SUB-4'!M21)+('SUB-5'!M21)+('SUB-6'!J22)+('SUB-7'!J22)+('SUB-8'!J22)+('SUB-9'!J23)+('SUB-10'!J22)+('SUB- NEC'!J22)</f>
        <v>12</v>
      </c>
      <c r="T21" s="6" t="str">
        <f t="shared" si="1"/>
        <v>PASS</v>
      </c>
    </row>
    <row r="22" spans="4:25" x14ac:dyDescent="0.35">
      <c r="D22" s="6">
        <f>'SUB-1'!D22</f>
        <v>8</v>
      </c>
      <c r="E22" s="6" t="str">
        <f>'SUB-1'!E22</f>
        <v>BTMC24O1008</v>
      </c>
      <c r="F22" s="6">
        <f>'SUB-1'!L22</f>
        <v>43</v>
      </c>
      <c r="G22" s="6">
        <f>'SUB- 2'!K22</f>
        <v>40</v>
      </c>
      <c r="H22" s="6">
        <f>'SUB-3'!L22</f>
        <v>51</v>
      </c>
      <c r="I22" s="6">
        <f>'SUB-4'!L22</f>
        <v>39</v>
      </c>
      <c r="J22" s="6">
        <f>'SUB-5'!L22</f>
        <v>46</v>
      </c>
      <c r="K22" s="6">
        <f>'SUB-6'!H23</f>
        <v>11</v>
      </c>
      <c r="L22" s="6">
        <f>'SUB-7'!H23</f>
        <v>24</v>
      </c>
      <c r="M22" s="6">
        <f>'SUB-8'!H23</f>
        <v>28</v>
      </c>
      <c r="N22" s="6">
        <f>'SUB-9'!H24</f>
        <v>52</v>
      </c>
      <c r="O22" s="6">
        <f>'SUB-10'!H23</f>
        <v>45</v>
      </c>
      <c r="P22" s="6">
        <f>'SUB- NEC'!G23</f>
        <v>1</v>
      </c>
      <c r="Q22" s="6">
        <f t="shared" si="2"/>
        <v>380</v>
      </c>
      <c r="R22" s="6">
        <f t="shared" si="0"/>
        <v>38</v>
      </c>
      <c r="S22" s="6">
        <f>('SUB-1'!M22)+('SUB- 2'!L22)+('SUB-3'!M22)+('SUB-4'!M22)+('SUB-5'!M22)+('SUB-6'!J23)+('SUB-7'!J23)+('SUB-8'!J23)+('SUB-9'!J24)+('SUB-10'!J23)+('SUB- NEC'!J23)</f>
        <v>9</v>
      </c>
      <c r="T22" s="6" t="str">
        <f t="shared" si="1"/>
        <v>FAIL</v>
      </c>
    </row>
    <row r="23" spans="4:25" x14ac:dyDescent="0.35">
      <c r="D23" s="6">
        <f>'SUB-1'!D23</f>
        <v>9</v>
      </c>
      <c r="E23" s="6" t="str">
        <f>'SUB-1'!E23</f>
        <v>BTMC24O1009</v>
      </c>
      <c r="F23" s="6">
        <f>'SUB-1'!L23</f>
        <v>70</v>
      </c>
      <c r="G23" s="6">
        <f>'SUB- 2'!K23</f>
        <v>57</v>
      </c>
      <c r="H23" s="6">
        <f>'SUB-3'!L23</f>
        <v>51</v>
      </c>
      <c r="I23" s="6">
        <f>'SUB-4'!L23</f>
        <v>63</v>
      </c>
      <c r="J23" s="6">
        <f>'SUB-5'!L23</f>
        <v>27</v>
      </c>
      <c r="K23" s="6">
        <f>'SUB-6'!H24</f>
        <v>72</v>
      </c>
      <c r="L23" s="6">
        <f>'SUB-7'!H24</f>
        <v>32</v>
      </c>
      <c r="M23" s="6">
        <f>'SUB-8'!H24</f>
        <v>19</v>
      </c>
      <c r="N23" s="6">
        <f>'SUB-9'!H25</f>
        <v>74</v>
      </c>
      <c r="O23" s="6">
        <f>'SUB-10'!H24</f>
        <v>44</v>
      </c>
      <c r="P23" s="6">
        <f>'SUB- NEC'!G24</f>
        <v>7</v>
      </c>
      <c r="Q23" s="6">
        <f t="shared" si="2"/>
        <v>516</v>
      </c>
      <c r="R23" s="6">
        <f t="shared" si="0"/>
        <v>51.6</v>
      </c>
      <c r="S23" s="6">
        <f>('SUB-1'!M23)+('SUB- 2'!L23)+('SUB-3'!M23)+('SUB-4'!M23)+('SUB-5'!M23)+('SUB-6'!J24)+('SUB-7'!J24)+('SUB-8'!J24)+('SUB-9'!J25)+('SUB-10'!J24)+('SUB- NEC'!J24)</f>
        <v>12</v>
      </c>
      <c r="T23" s="6" t="str">
        <f t="shared" si="1"/>
        <v>PASS</v>
      </c>
    </row>
    <row r="24" spans="4:25" x14ac:dyDescent="0.35">
      <c r="D24" s="6">
        <f>'SUB-1'!D24</f>
        <v>10</v>
      </c>
      <c r="E24" s="6" t="str">
        <f>'SUB-1'!E24</f>
        <v>BTMC24O1010</v>
      </c>
      <c r="F24" s="6">
        <f>'SUB-1'!L24</f>
        <v>53</v>
      </c>
      <c r="G24" s="6">
        <f>'SUB- 2'!K24</f>
        <v>47</v>
      </c>
      <c r="H24" s="6">
        <f>'SUB-3'!L24</f>
        <v>36</v>
      </c>
      <c r="I24" s="6">
        <f>'SUB-4'!L24</f>
        <v>29</v>
      </c>
      <c r="J24" s="6">
        <f>'SUB-5'!L24</f>
        <v>51</v>
      </c>
      <c r="K24" s="6">
        <f>'SUB-6'!H25</f>
        <v>60</v>
      </c>
      <c r="L24" s="6">
        <f>'SUB-7'!H25</f>
        <v>92</v>
      </c>
      <c r="M24" s="6">
        <f>'SUB-8'!H25</f>
        <v>23</v>
      </c>
      <c r="N24" s="6">
        <f>'SUB-9'!H26</f>
        <v>24</v>
      </c>
      <c r="O24" s="6">
        <f>'SUB-10'!H25</f>
        <v>70</v>
      </c>
      <c r="P24" s="6">
        <f>'SUB- NEC'!G25</f>
        <v>7</v>
      </c>
      <c r="Q24" s="6">
        <f t="shared" si="2"/>
        <v>492</v>
      </c>
      <c r="R24" s="6">
        <f t="shared" si="0"/>
        <v>49.2</v>
      </c>
      <c r="S24" s="6">
        <f>('SUB-1'!M24)+('SUB- 2'!L24)+('SUB-3'!M24)+('SUB-4'!M24)+('SUB-5'!M24)+('SUB-6'!J25)+('SUB-7'!J25)+('SUB-8'!J25)+('SUB-9'!J26)+('SUB-10'!J25)+('SUB- NEC'!J25)</f>
        <v>10</v>
      </c>
      <c r="T24" s="6" t="str">
        <f t="shared" si="1"/>
        <v>PASS</v>
      </c>
    </row>
    <row r="25" spans="4:25" x14ac:dyDescent="0.35">
      <c r="D25" s="6">
        <f>'SUB-1'!D25</f>
        <v>11</v>
      </c>
      <c r="E25" s="6" t="str">
        <f>'SUB-1'!E25</f>
        <v>BTMC24O1011</v>
      </c>
      <c r="F25" s="6">
        <f>'SUB-1'!L25</f>
        <v>33</v>
      </c>
      <c r="G25" s="6">
        <f>'SUB- 2'!K25</f>
        <v>46</v>
      </c>
      <c r="H25" s="6">
        <f>'SUB-3'!L25</f>
        <v>65</v>
      </c>
      <c r="I25" s="6">
        <f>'SUB-4'!L25</f>
        <v>35</v>
      </c>
      <c r="J25" s="6">
        <f>'SUB-5'!L25</f>
        <v>67</v>
      </c>
      <c r="K25" s="6">
        <f>'SUB-6'!H26</f>
        <v>14</v>
      </c>
      <c r="L25" s="6">
        <f>'SUB-7'!H26</f>
        <v>85</v>
      </c>
      <c r="M25" s="6">
        <f>'SUB-8'!H26</f>
        <v>34</v>
      </c>
      <c r="N25" s="6">
        <f>'SUB-9'!H27</f>
        <v>20</v>
      </c>
      <c r="O25" s="6">
        <f>'SUB-10'!H26</f>
        <v>22</v>
      </c>
      <c r="P25" s="6">
        <f>'SUB- NEC'!G26</f>
        <v>46</v>
      </c>
      <c r="Q25" s="6">
        <f t="shared" si="2"/>
        <v>467</v>
      </c>
      <c r="R25" s="6">
        <f t="shared" si="0"/>
        <v>46.7</v>
      </c>
      <c r="S25" s="6">
        <f>('SUB-1'!M25)+('SUB- 2'!L25)+('SUB-3'!M25)+('SUB-4'!M25)+('SUB-5'!M25)+('SUB-6'!J26)+('SUB-7'!J26)+('SUB-8'!J26)+('SUB-9'!J27)+('SUB-10'!J26)+('SUB- NEC'!J26)</f>
        <v>8</v>
      </c>
      <c r="T25" s="6" t="str">
        <f t="shared" si="1"/>
        <v>PASS</v>
      </c>
    </row>
    <row r="26" spans="4:25" x14ac:dyDescent="0.35">
      <c r="D26" s="6">
        <f>'SUB-1'!D26</f>
        <v>12</v>
      </c>
      <c r="E26" s="6" t="str">
        <f>'SUB-1'!E26</f>
        <v>BTMC24O1012</v>
      </c>
      <c r="F26" s="6">
        <f>'SUB-1'!L26</f>
        <v>27</v>
      </c>
      <c r="G26" s="6">
        <f>'SUB- 2'!K26</f>
        <v>36</v>
      </c>
      <c r="H26" s="6">
        <f>'SUB-3'!L26</f>
        <v>37</v>
      </c>
      <c r="I26" s="6">
        <f>'SUB-4'!L26</f>
        <v>41</v>
      </c>
      <c r="J26" s="6">
        <f>'SUB-5'!L26</f>
        <v>44</v>
      </c>
      <c r="K26" s="6">
        <f>'SUB-6'!H27</f>
        <v>51</v>
      </c>
      <c r="L26" s="6">
        <f>'SUB-7'!H27</f>
        <v>2</v>
      </c>
      <c r="M26" s="6">
        <f>'SUB-8'!H27</f>
        <v>1</v>
      </c>
      <c r="N26" s="6">
        <f>'SUB-9'!H28</f>
        <v>82</v>
      </c>
      <c r="O26" s="6">
        <f>'SUB-10'!H27</f>
        <v>34</v>
      </c>
      <c r="P26" s="6">
        <f>'SUB- NEC'!G27</f>
        <v>19</v>
      </c>
      <c r="Q26" s="6">
        <f t="shared" si="2"/>
        <v>374</v>
      </c>
      <c r="R26" s="6">
        <f t="shared" si="0"/>
        <v>37.4</v>
      </c>
      <c r="S26" s="6">
        <f>('SUB-1'!M26)+('SUB- 2'!L26)+('SUB-3'!M26)+('SUB-4'!M26)+('SUB-5'!M26)+('SUB-6'!J27)+('SUB-7'!J27)+('SUB-8'!J27)+('SUB-9'!J28)+('SUB-10'!J27)+('SUB- NEC'!J27)</f>
        <v>7</v>
      </c>
      <c r="T26" s="6" t="str">
        <f t="shared" si="1"/>
        <v>FAIL</v>
      </c>
    </row>
    <row r="27" spans="4:25" x14ac:dyDescent="0.35">
      <c r="D27" s="6">
        <f>'SUB-1'!D27</f>
        <v>13</v>
      </c>
      <c r="E27" s="6" t="str">
        <f>'SUB-1'!E27</f>
        <v>BTMC24O1013</v>
      </c>
      <c r="F27" s="6">
        <f>'SUB-1'!L27</f>
        <v>40</v>
      </c>
      <c r="G27" s="6">
        <f>'SUB- 2'!K27</f>
        <v>45</v>
      </c>
      <c r="H27" s="6">
        <f>'SUB-3'!L27</f>
        <v>58</v>
      </c>
      <c r="I27" s="6">
        <f>'SUB-4'!L27</f>
        <v>67</v>
      </c>
      <c r="J27" s="6">
        <f>'SUB-5'!L27</f>
        <v>59</v>
      </c>
      <c r="K27" s="6">
        <f>'SUB-6'!H28</f>
        <v>76</v>
      </c>
      <c r="L27" s="6">
        <f>'SUB-7'!H28</f>
        <v>42</v>
      </c>
      <c r="M27" s="6">
        <f>'SUB-8'!H28</f>
        <v>12</v>
      </c>
      <c r="N27" s="6">
        <f>'SUB-9'!H29</f>
        <v>63</v>
      </c>
      <c r="O27" s="6">
        <f>'SUB-10'!H28</f>
        <v>38</v>
      </c>
      <c r="P27" s="6">
        <f>'SUB- NEC'!G28</f>
        <v>6</v>
      </c>
      <c r="Q27" s="6">
        <f t="shared" si="2"/>
        <v>506</v>
      </c>
      <c r="R27" s="6">
        <f t="shared" si="0"/>
        <v>50.6</v>
      </c>
      <c r="S27" s="6">
        <f>('SUB-1'!M27)+('SUB- 2'!L27)+('SUB-3'!M27)+('SUB-4'!M27)+('SUB-5'!M27)+('SUB-6'!J28)+('SUB-7'!J28)+('SUB-8'!J28)+('SUB-9'!J29)+('SUB-10'!J28)+('SUB- NEC'!J28)</f>
        <v>12</v>
      </c>
      <c r="T27" s="6" t="str">
        <f t="shared" si="1"/>
        <v>PASS</v>
      </c>
    </row>
    <row r="28" spans="4:25" x14ac:dyDescent="0.35">
      <c r="D28" s="6">
        <f>'SUB-1'!D28</f>
        <v>14</v>
      </c>
      <c r="E28" s="6" t="str">
        <f>'SUB-1'!E28</f>
        <v>BTMC24O1014</v>
      </c>
      <c r="F28" s="6">
        <f>'SUB-1'!L28</f>
        <v>48</v>
      </c>
      <c r="G28" s="6">
        <f>'SUB- 2'!K28</f>
        <v>44</v>
      </c>
      <c r="H28" s="6">
        <f>'SUB-3'!L28</f>
        <v>71</v>
      </c>
      <c r="I28" s="6">
        <f>'SUB-4'!L28</f>
        <v>73</v>
      </c>
      <c r="J28" s="6">
        <f>'SUB-5'!L28</f>
        <v>34</v>
      </c>
      <c r="K28" s="6">
        <f>'SUB-6'!H29</f>
        <v>25</v>
      </c>
      <c r="L28" s="6">
        <f>'SUB-7'!H29</f>
        <v>6</v>
      </c>
      <c r="M28" s="6">
        <f>'SUB-8'!H29</f>
        <v>34</v>
      </c>
      <c r="N28" s="6">
        <f>'SUB-9'!H30</f>
        <v>50</v>
      </c>
      <c r="O28" s="6">
        <f>'SUB-10'!H29</f>
        <v>40</v>
      </c>
      <c r="P28" s="6">
        <f>'SUB- NEC'!G29</f>
        <v>10</v>
      </c>
      <c r="Q28" s="6">
        <f t="shared" si="2"/>
        <v>435</v>
      </c>
      <c r="R28" s="6">
        <f t="shared" si="0"/>
        <v>43.5</v>
      </c>
      <c r="S28" s="6">
        <f>('SUB-1'!M28)+('SUB- 2'!L28)+('SUB-3'!M28)+('SUB-4'!M28)+('SUB-5'!M28)+('SUB-6'!J29)+('SUB-7'!J29)+('SUB-8'!J29)+('SUB-9'!J30)+('SUB-10'!J29)+('SUB- NEC'!J29)</f>
        <v>9</v>
      </c>
      <c r="T28" s="6" t="str">
        <f t="shared" si="1"/>
        <v>PASS</v>
      </c>
    </row>
    <row r="29" spans="4:25" x14ac:dyDescent="0.35">
      <c r="D29" s="6">
        <f>'SUB-1'!D29</f>
        <v>15</v>
      </c>
      <c r="E29" s="6" t="str">
        <f>'SUB-1'!E29</f>
        <v>BTMC24O1015</v>
      </c>
      <c r="F29" s="6">
        <f>'SUB-1'!L29</f>
        <v>33</v>
      </c>
      <c r="G29" s="6">
        <f>'SUB- 2'!K29</f>
        <v>72</v>
      </c>
      <c r="H29" s="6">
        <f>'SUB-3'!L29</f>
        <v>36</v>
      </c>
      <c r="I29" s="6">
        <f>'SUB-4'!L29</f>
        <v>36</v>
      </c>
      <c r="J29" s="6">
        <f>'SUB-5'!L29</f>
        <v>50</v>
      </c>
      <c r="K29" s="6">
        <f>'SUB-6'!H30</f>
        <v>64</v>
      </c>
      <c r="L29" s="6">
        <f>'SUB-7'!H30</f>
        <v>84</v>
      </c>
      <c r="M29" s="6">
        <f>'SUB-8'!H30</f>
        <v>24</v>
      </c>
      <c r="N29" s="6">
        <f>'SUB-9'!H31</f>
        <v>58</v>
      </c>
      <c r="O29" s="6">
        <f>'SUB-10'!H30</f>
        <v>47</v>
      </c>
      <c r="P29" s="6">
        <f>'SUB- NEC'!G30</f>
        <v>47</v>
      </c>
      <c r="Q29" s="6">
        <f t="shared" si="2"/>
        <v>551</v>
      </c>
      <c r="R29" s="6">
        <f t="shared" si="0"/>
        <v>55.1</v>
      </c>
      <c r="S29" s="6">
        <f>('SUB-1'!M29)+('SUB- 2'!L29)+('SUB-3'!M29)+('SUB-4'!M29)+('SUB-5'!M29)+('SUB-6'!J30)+('SUB-7'!J30)+('SUB-8'!J30)+('SUB-9'!J31)+('SUB-10'!J30)+('SUB- NEC'!J30)</f>
        <v>11</v>
      </c>
      <c r="T29" s="6" t="str">
        <f t="shared" si="1"/>
        <v>PASS</v>
      </c>
    </row>
    <row r="30" spans="4:25" x14ac:dyDescent="0.35">
      <c r="D30" s="6">
        <f>'SUB-1'!D30</f>
        <v>16</v>
      </c>
      <c r="E30" s="6" t="str">
        <f>'SUB-1'!E30</f>
        <v>BTMC24O1016</v>
      </c>
      <c r="F30" s="6">
        <f>'SUB-1'!L30</f>
        <v>57</v>
      </c>
      <c r="G30" s="6">
        <f>'SUB- 2'!K30</f>
        <v>63</v>
      </c>
      <c r="H30" s="6">
        <f>'SUB-3'!L30</f>
        <v>59</v>
      </c>
      <c r="I30" s="6">
        <f>'SUB-4'!L30</f>
        <v>52</v>
      </c>
      <c r="J30" s="6">
        <f>'SUB-5'!L30</f>
        <v>63</v>
      </c>
      <c r="K30" s="6">
        <f>'SUB-6'!H31</f>
        <v>77</v>
      </c>
      <c r="L30" s="6">
        <f>'SUB-7'!H31</f>
        <v>57</v>
      </c>
      <c r="M30" s="6">
        <f>'SUB-8'!H31</f>
        <v>33</v>
      </c>
      <c r="N30" s="6">
        <f>'SUB-9'!H32</f>
        <v>93</v>
      </c>
      <c r="O30" s="6">
        <f>'SUB-10'!H31</f>
        <v>79</v>
      </c>
      <c r="P30" s="6">
        <f>'SUB- NEC'!G31</f>
        <v>38</v>
      </c>
      <c r="Q30" s="6">
        <f t="shared" si="2"/>
        <v>671</v>
      </c>
      <c r="R30" s="6">
        <f t="shared" si="0"/>
        <v>67.100000000000009</v>
      </c>
      <c r="S30" s="6">
        <f>('SUB-1'!M30)+('SUB- 2'!L30)+('SUB-3'!M30)+('SUB-4'!M30)+('SUB-5'!M30)+('SUB-6'!J31)+('SUB-7'!J31)+('SUB-8'!J31)+('SUB-9'!J32)+('SUB-10'!J31)+('SUB- NEC'!J31)</f>
        <v>16</v>
      </c>
      <c r="T30" s="6" t="str">
        <f t="shared" si="1"/>
        <v>PASS</v>
      </c>
    </row>
    <row r="31" spans="4:25" x14ac:dyDescent="0.35">
      <c r="D31" s="6">
        <f>'SUB-1'!D31</f>
        <v>17</v>
      </c>
      <c r="E31" s="6" t="str">
        <f>'SUB-1'!E31</f>
        <v>BTMC24O1017</v>
      </c>
      <c r="F31" s="6">
        <f>'SUB-1'!L31</f>
        <v>71</v>
      </c>
      <c r="G31" s="6">
        <f>'SUB- 2'!K31</f>
        <v>55</v>
      </c>
      <c r="H31" s="6">
        <f>'SUB-3'!L31</f>
        <v>48</v>
      </c>
      <c r="I31" s="6">
        <f>'SUB-4'!L31</f>
        <v>59</v>
      </c>
      <c r="J31" s="6">
        <f>'SUB-5'!L31</f>
        <v>28</v>
      </c>
      <c r="K31" s="6">
        <f>'SUB-6'!H32</f>
        <v>84</v>
      </c>
      <c r="L31" s="6">
        <f>'SUB-7'!H32</f>
        <v>74</v>
      </c>
      <c r="M31" s="6">
        <f>'SUB-8'!H32</f>
        <v>30</v>
      </c>
      <c r="N31" s="6">
        <f>'SUB-9'!H33</f>
        <v>47</v>
      </c>
      <c r="O31" s="6">
        <f>'SUB-10'!H32</f>
        <v>21</v>
      </c>
      <c r="P31" s="6">
        <f>'SUB- NEC'!G32</f>
        <v>14</v>
      </c>
      <c r="Q31" s="6">
        <f t="shared" si="2"/>
        <v>531</v>
      </c>
      <c r="R31" s="6">
        <f t="shared" si="0"/>
        <v>53.1</v>
      </c>
      <c r="S31" s="6">
        <f>('SUB-1'!M31)+('SUB- 2'!L31)+('SUB-3'!M31)+('SUB-4'!M31)+('SUB-5'!M31)+('SUB-6'!J32)+('SUB-7'!J32)+('SUB-8'!J32)+('SUB-9'!J33)+('SUB-10'!J32)+('SUB- NEC'!J32)</f>
        <v>11</v>
      </c>
      <c r="T31" s="6" t="str">
        <f t="shared" si="1"/>
        <v>PASS</v>
      </c>
    </row>
    <row r="32" spans="4:25" x14ac:dyDescent="0.35">
      <c r="D32" s="6">
        <f>'SUB-1'!D32</f>
        <v>18</v>
      </c>
      <c r="E32" s="6" t="str">
        <f>'SUB-1'!E32</f>
        <v>BTMC24O1018</v>
      </c>
      <c r="F32" s="6">
        <f>'SUB-1'!L32</f>
        <v>44</v>
      </c>
      <c r="G32" s="6">
        <f>'SUB- 2'!K32</f>
        <v>18</v>
      </c>
      <c r="H32" s="6">
        <f>'SUB-3'!L32</f>
        <v>38</v>
      </c>
      <c r="I32" s="6">
        <f>'SUB-4'!L32</f>
        <v>30</v>
      </c>
      <c r="J32" s="6">
        <f>'SUB-5'!L32</f>
        <v>43</v>
      </c>
      <c r="K32" s="6">
        <f>'SUB-6'!H33</f>
        <v>32</v>
      </c>
      <c r="L32" s="6">
        <f>'SUB-7'!H33</f>
        <v>77</v>
      </c>
      <c r="M32" s="6">
        <f>'SUB-8'!H33</f>
        <v>13</v>
      </c>
      <c r="N32" s="6">
        <f>'SUB-9'!H34</f>
        <v>17</v>
      </c>
      <c r="O32" s="6">
        <f>'SUB-10'!H33</f>
        <v>67</v>
      </c>
      <c r="P32" s="6">
        <f>'SUB- NEC'!G33</f>
        <v>30</v>
      </c>
      <c r="Q32" s="6">
        <f t="shared" si="2"/>
        <v>409</v>
      </c>
      <c r="R32" s="6">
        <f t="shared" si="0"/>
        <v>40.9</v>
      </c>
      <c r="S32" s="6">
        <f>('SUB-1'!M32)+('SUB- 2'!L32)+('SUB-3'!M32)+('SUB-4'!M32)+('SUB-5'!M32)+('SUB-6'!J33)+('SUB-7'!J33)+('SUB-8'!J33)+('SUB-9'!J34)+('SUB-10'!J33)+('SUB- NEC'!J33)</f>
        <v>6</v>
      </c>
      <c r="T32" s="6" t="str">
        <f t="shared" si="1"/>
        <v>PASS</v>
      </c>
    </row>
    <row r="33" spans="4:20" x14ac:dyDescent="0.35">
      <c r="D33" s="6">
        <f>'SUB-1'!D33</f>
        <v>19</v>
      </c>
      <c r="E33" s="6" t="str">
        <f>'SUB-1'!E33</f>
        <v>BTMC24O1019</v>
      </c>
      <c r="F33" s="6">
        <f>'SUB-1'!L33</f>
        <v>42</v>
      </c>
      <c r="G33" s="6">
        <f>'SUB- 2'!K33</f>
        <v>53</v>
      </c>
      <c r="H33" s="6">
        <f>'SUB-3'!L33</f>
        <v>36</v>
      </c>
      <c r="I33" s="6">
        <f>'SUB-4'!L33</f>
        <v>59</v>
      </c>
      <c r="J33" s="6">
        <f>'SUB-5'!L33</f>
        <v>86</v>
      </c>
      <c r="K33" s="6">
        <f>'SUB-6'!H34</f>
        <v>92</v>
      </c>
      <c r="L33" s="6">
        <f>'SUB-7'!H34</f>
        <v>15</v>
      </c>
      <c r="M33" s="6">
        <f>'SUB-8'!H34</f>
        <v>25</v>
      </c>
      <c r="N33" s="6">
        <f>'SUB-9'!H35</f>
        <v>22</v>
      </c>
      <c r="O33" s="6">
        <f>'SUB-10'!H34</f>
        <v>30</v>
      </c>
      <c r="P33" s="6">
        <f>'SUB- NEC'!G34</f>
        <v>37</v>
      </c>
      <c r="Q33" s="6">
        <f t="shared" si="2"/>
        <v>497</v>
      </c>
      <c r="R33" s="6">
        <f t="shared" si="0"/>
        <v>49.7</v>
      </c>
      <c r="S33" s="6">
        <f>('SUB-1'!M33)+('SUB- 2'!L33)+('SUB-3'!M33)+('SUB-4'!M33)+('SUB-5'!M33)+('SUB-6'!J34)+('SUB-7'!J34)+('SUB-8'!J34)+('SUB-9'!J35)+('SUB-10'!J34)+('SUB- NEC'!J34)</f>
        <v>12</v>
      </c>
      <c r="T33" s="6" t="str">
        <f t="shared" si="1"/>
        <v>PASS</v>
      </c>
    </row>
    <row r="34" spans="4:20" x14ac:dyDescent="0.35">
      <c r="D34" s="6">
        <f>'SUB-1'!D34</f>
        <v>20</v>
      </c>
      <c r="E34" s="6" t="str">
        <f>'SUB-1'!E34</f>
        <v>BTMC24O1020</v>
      </c>
      <c r="F34" s="6">
        <f>'SUB-1'!L34</f>
        <v>46</v>
      </c>
      <c r="G34" s="6">
        <f>'SUB- 2'!K34</f>
        <v>64</v>
      </c>
      <c r="H34" s="6">
        <f>'SUB-3'!L34</f>
        <v>57</v>
      </c>
      <c r="I34" s="6">
        <f>'SUB-4'!L34</f>
        <v>57</v>
      </c>
      <c r="J34" s="6">
        <f>'SUB-5'!L34</f>
        <v>62</v>
      </c>
      <c r="K34" s="6">
        <f>'SUB-6'!H35</f>
        <v>21</v>
      </c>
      <c r="L34" s="6">
        <f>'SUB-7'!H35</f>
        <v>25</v>
      </c>
      <c r="M34" s="6">
        <f>'SUB-8'!H35</f>
        <v>47</v>
      </c>
      <c r="N34" s="6">
        <f>'SUB-9'!H36</f>
        <v>64</v>
      </c>
      <c r="O34" s="6">
        <f>'SUB-10'!H35</f>
        <v>66</v>
      </c>
      <c r="P34" s="6">
        <f>'SUB- NEC'!G35</f>
        <v>36</v>
      </c>
      <c r="Q34" s="6">
        <f t="shared" si="2"/>
        <v>545</v>
      </c>
      <c r="R34" s="6">
        <f t="shared" si="0"/>
        <v>54.500000000000007</v>
      </c>
      <c r="S34" s="6">
        <f>('SUB-1'!M34)+('SUB- 2'!L34)+('SUB-3'!M34)+('SUB-4'!M34)+('SUB-5'!M34)+('SUB-6'!J35)+('SUB-7'!J35)+('SUB-8'!J35)+('SUB-9'!J36)+('SUB-10'!J35)+('SUB- NEC'!J35)</f>
        <v>13</v>
      </c>
      <c r="T34" s="6" t="str">
        <f t="shared" si="1"/>
        <v>PASS</v>
      </c>
    </row>
    <row r="35" spans="4:20" x14ac:dyDescent="0.35">
      <c r="D35" s="6">
        <f>'SUB-1'!D35</f>
        <v>21</v>
      </c>
      <c r="E35" s="6" t="str">
        <f>'SUB-1'!E35</f>
        <v>BTMC24O1021</v>
      </c>
      <c r="F35" s="6">
        <f>'SUB-1'!L35</f>
        <v>67</v>
      </c>
      <c r="G35" s="6">
        <f>'SUB- 2'!K35</f>
        <v>77</v>
      </c>
      <c r="H35" s="6">
        <f>'SUB-3'!L35</f>
        <v>96</v>
      </c>
      <c r="I35" s="6">
        <f>'SUB-4'!L35</f>
        <v>81</v>
      </c>
      <c r="J35" s="6">
        <f>'SUB-5'!L35</f>
        <v>80</v>
      </c>
      <c r="K35" s="6">
        <f>'SUB-6'!H36</f>
        <v>90</v>
      </c>
      <c r="L35" s="6">
        <f>'SUB-7'!H36</f>
        <v>90</v>
      </c>
      <c r="M35" s="6">
        <f>'SUB-8'!H36</f>
        <v>30</v>
      </c>
      <c r="N35" s="6">
        <f>'SUB-9'!H37</f>
        <v>73</v>
      </c>
      <c r="O35" s="6">
        <f>'SUB-10'!H36</f>
        <v>97</v>
      </c>
      <c r="P35" s="6">
        <f>'SUB- NEC'!G36</f>
        <v>46</v>
      </c>
      <c r="Q35" s="6">
        <f t="shared" si="2"/>
        <v>827</v>
      </c>
      <c r="R35" s="6">
        <f t="shared" si="0"/>
        <v>82.699999999999989</v>
      </c>
      <c r="S35" s="6">
        <f>('SUB-1'!M35)+('SUB- 2'!L35)+('SUB-3'!M35)+('SUB-4'!M35)+('SUB-5'!M35)+('SUB-6'!J36)+('SUB-7'!J36)+('SUB-8'!J36)+('SUB-9'!J37)+('SUB-10'!J36)+('SUB- NEC'!J36)</f>
        <v>19</v>
      </c>
      <c r="T35" s="6" t="str">
        <f t="shared" si="1"/>
        <v>PASS</v>
      </c>
    </row>
    <row r="36" spans="4:20" x14ac:dyDescent="0.35">
      <c r="D36" s="6">
        <f>'SUB-1'!D36</f>
        <v>22</v>
      </c>
      <c r="E36" s="6" t="str">
        <f>'SUB-1'!E36</f>
        <v>BTMC24O1022</v>
      </c>
      <c r="F36" s="6">
        <f>'SUB-1'!L36</f>
        <v>32</v>
      </c>
      <c r="G36" s="6">
        <f>'SUB- 2'!K36</f>
        <v>48</v>
      </c>
      <c r="H36" s="6">
        <f>'SUB-3'!L36</f>
        <v>47</v>
      </c>
      <c r="I36" s="6">
        <f>'SUB-4'!L36</f>
        <v>69</v>
      </c>
      <c r="J36" s="6">
        <f>'SUB-5'!L36</f>
        <v>44</v>
      </c>
      <c r="K36" s="6">
        <f>'SUB-6'!H37</f>
        <v>56</v>
      </c>
      <c r="L36" s="6">
        <f>'SUB-7'!H37</f>
        <v>87</v>
      </c>
      <c r="M36" s="6">
        <f>'SUB-8'!H37</f>
        <v>27</v>
      </c>
      <c r="N36" s="6">
        <f>'SUB-9'!H38</f>
        <v>64</v>
      </c>
      <c r="O36" s="6">
        <f>'SUB-10'!H37</f>
        <v>44</v>
      </c>
      <c r="P36" s="6">
        <f>'SUB- NEC'!G37</f>
        <v>19</v>
      </c>
      <c r="Q36" s="6">
        <f t="shared" si="2"/>
        <v>537</v>
      </c>
      <c r="R36" s="6">
        <f t="shared" si="0"/>
        <v>53.7</v>
      </c>
      <c r="S36" s="6">
        <f>('SUB-1'!M36)+('SUB- 2'!L36)+('SUB-3'!M36)+('SUB-4'!M36)+('SUB-5'!M36)+('SUB-6'!J37)+('SUB-7'!J37)+('SUB-8'!J37)+('SUB-9'!J38)+('SUB-10'!J37)+('SUB- NEC'!J37)</f>
        <v>11</v>
      </c>
      <c r="T36" s="6" t="str">
        <f t="shared" si="1"/>
        <v>PASS</v>
      </c>
    </row>
    <row r="37" spans="4:20" x14ac:dyDescent="0.35">
      <c r="D37" s="6">
        <f>'SUB-1'!D37</f>
        <v>23</v>
      </c>
      <c r="E37" s="6" t="str">
        <f>'SUB-1'!E37</f>
        <v>BTMC24O1023</v>
      </c>
      <c r="F37" s="6">
        <f>'SUB-1'!L37</f>
        <v>47</v>
      </c>
      <c r="G37" s="6">
        <f>'SUB- 2'!K37</f>
        <v>77</v>
      </c>
      <c r="H37" s="6">
        <f>'SUB-3'!L37</f>
        <v>63</v>
      </c>
      <c r="I37" s="6">
        <f>'SUB-4'!L37</f>
        <v>75</v>
      </c>
      <c r="J37" s="6">
        <f>'SUB-5'!L37</f>
        <v>45</v>
      </c>
      <c r="K37" s="6">
        <f>'SUB-6'!H38</f>
        <v>54</v>
      </c>
      <c r="L37" s="6">
        <f>'SUB-7'!H38</f>
        <v>72</v>
      </c>
      <c r="M37" s="6">
        <f>'SUB-8'!H38</f>
        <v>37</v>
      </c>
      <c r="N37" s="6">
        <f>'SUB-9'!H39</f>
        <v>24</v>
      </c>
      <c r="O37" s="6">
        <f>'SUB-10'!H38</f>
        <v>25</v>
      </c>
      <c r="P37" s="6">
        <f>'SUB- NEC'!G38</f>
        <v>13</v>
      </c>
      <c r="Q37" s="6">
        <f t="shared" si="2"/>
        <v>532</v>
      </c>
      <c r="R37" s="6">
        <f t="shared" si="0"/>
        <v>53.2</v>
      </c>
      <c r="S37" s="6">
        <f>('SUB-1'!M37)+('SUB- 2'!L37)+('SUB-3'!M37)+('SUB-4'!M37)+('SUB-5'!M37)+('SUB-6'!J38)+('SUB-7'!J38)+('SUB-8'!J38)+('SUB-9'!J39)+('SUB-10'!J38)+('SUB- NEC'!J38)</f>
        <v>11</v>
      </c>
      <c r="T37" s="6" t="str">
        <f t="shared" si="1"/>
        <v>PASS</v>
      </c>
    </row>
    <row r="38" spans="4:20" x14ac:dyDescent="0.35">
      <c r="D38" s="6">
        <f>'SUB-1'!D38</f>
        <v>24</v>
      </c>
      <c r="E38" s="6" t="str">
        <f>'SUB-1'!E38</f>
        <v>BTMC24O1024</v>
      </c>
      <c r="F38" s="6">
        <f>'SUB-1'!L38</f>
        <v>41</v>
      </c>
      <c r="G38" s="6">
        <f>'SUB- 2'!K38</f>
        <v>27</v>
      </c>
      <c r="H38" s="6">
        <f>'SUB-3'!L38</f>
        <v>49</v>
      </c>
      <c r="I38" s="6">
        <f>'SUB-4'!L38</f>
        <v>29</v>
      </c>
      <c r="J38" s="6">
        <f>'SUB-5'!L38</f>
        <v>55</v>
      </c>
      <c r="K38" s="6">
        <f>'SUB-6'!H39</f>
        <v>73</v>
      </c>
      <c r="L38" s="6">
        <f>'SUB-7'!H39</f>
        <v>55</v>
      </c>
      <c r="M38" s="6">
        <f>'SUB-8'!H39</f>
        <v>18</v>
      </c>
      <c r="N38" s="6">
        <f>'SUB-9'!H40</f>
        <v>58</v>
      </c>
      <c r="O38" s="6">
        <f>'SUB-10'!H39</f>
        <v>97</v>
      </c>
      <c r="P38" s="6">
        <f>'SUB- NEC'!G39</f>
        <v>9</v>
      </c>
      <c r="Q38" s="6">
        <f t="shared" si="2"/>
        <v>511</v>
      </c>
      <c r="R38" s="6">
        <f t="shared" si="0"/>
        <v>51.1</v>
      </c>
      <c r="S38" s="6">
        <f>('SUB-1'!M38)+('SUB- 2'!L38)+('SUB-3'!M38)+('SUB-4'!M38)+('SUB-5'!M38)+('SUB-6'!J39)+('SUB-7'!J39)+('SUB-8'!J39)+('SUB-9'!J40)+('SUB-10'!J39)+('SUB- NEC'!J39)</f>
        <v>9</v>
      </c>
      <c r="T38" s="6" t="str">
        <f t="shared" si="1"/>
        <v>PASS</v>
      </c>
    </row>
    <row r="39" spans="4:20" x14ac:dyDescent="0.35">
      <c r="D39" s="6">
        <f>'SUB-1'!D39</f>
        <v>25</v>
      </c>
      <c r="E39" s="6" t="str">
        <f>'SUB-1'!E39</f>
        <v>BTMC24O1025</v>
      </c>
      <c r="F39" s="6">
        <f>'SUB-1'!L39</f>
        <v>43</v>
      </c>
      <c r="G39" s="6">
        <f>'SUB- 2'!K39</f>
        <v>49</v>
      </c>
      <c r="H39" s="6">
        <f>'SUB-3'!L39</f>
        <v>38</v>
      </c>
      <c r="I39" s="6">
        <f>'SUB-4'!L39</f>
        <v>63</v>
      </c>
      <c r="J39" s="6">
        <f>'SUB-5'!L39</f>
        <v>65</v>
      </c>
      <c r="K39" s="6">
        <f>'SUB-6'!H40</f>
        <v>40</v>
      </c>
      <c r="L39" s="6">
        <f>'SUB-7'!H40</f>
        <v>83</v>
      </c>
      <c r="M39" s="6">
        <f>'SUB-8'!H40</f>
        <v>43</v>
      </c>
      <c r="N39" s="6">
        <f>'SUB-9'!H41</f>
        <v>52</v>
      </c>
      <c r="O39" s="6">
        <f>'SUB-10'!H40</f>
        <v>39</v>
      </c>
      <c r="P39" s="6">
        <f>'SUB- NEC'!G40</f>
        <v>37</v>
      </c>
      <c r="Q39" s="6">
        <f t="shared" si="2"/>
        <v>552</v>
      </c>
      <c r="R39" s="6">
        <f t="shared" si="0"/>
        <v>55.2</v>
      </c>
      <c r="S39" s="6">
        <f>('SUB-1'!M39)+('SUB- 2'!L39)+('SUB-3'!M39)+('SUB-4'!M39)+('SUB-5'!M39)+('SUB-6'!J40)+('SUB-7'!J40)+('SUB-8'!J40)+('SUB-9'!J41)+('SUB-10'!J40)+('SUB- NEC'!J40)</f>
        <v>13</v>
      </c>
      <c r="T39" s="6" t="str">
        <f t="shared" si="1"/>
        <v>PASS</v>
      </c>
    </row>
    <row r="40" spans="4:20" x14ac:dyDescent="0.35">
      <c r="D40" s="6">
        <f>'SUB-1'!D40</f>
        <v>26</v>
      </c>
      <c r="E40" s="6" t="str">
        <f>'SUB-1'!E40</f>
        <v>BTMC24O1026</v>
      </c>
      <c r="F40" s="6">
        <f>'SUB-1'!L40</f>
        <v>59</v>
      </c>
      <c r="G40" s="6">
        <f>'SUB- 2'!K40</f>
        <v>78</v>
      </c>
      <c r="H40" s="6">
        <f>'SUB-3'!L40</f>
        <v>31</v>
      </c>
      <c r="I40" s="6">
        <f>'SUB-4'!L40</f>
        <v>33</v>
      </c>
      <c r="J40" s="6">
        <f>'SUB-5'!L40</f>
        <v>51</v>
      </c>
      <c r="K40" s="6">
        <f>'SUB-6'!H41</f>
        <v>61</v>
      </c>
      <c r="L40" s="6">
        <f>'SUB-7'!H41</f>
        <v>39</v>
      </c>
      <c r="M40" s="6">
        <f>'SUB-8'!H41</f>
        <v>29</v>
      </c>
      <c r="N40" s="6">
        <f>'SUB-9'!H42</f>
        <v>32</v>
      </c>
      <c r="O40" s="6">
        <f>'SUB-10'!H41</f>
        <v>32</v>
      </c>
      <c r="P40" s="6">
        <f>'SUB- NEC'!G41</f>
        <v>40</v>
      </c>
      <c r="Q40" s="6">
        <f t="shared" si="2"/>
        <v>485</v>
      </c>
      <c r="R40" s="6">
        <f t="shared" si="0"/>
        <v>48.5</v>
      </c>
      <c r="S40" s="6">
        <f>('SUB-1'!M40)+('SUB- 2'!L40)+('SUB-3'!M40)+('SUB-4'!M40)+('SUB-5'!M40)+('SUB-6'!J41)+('SUB-7'!J41)+('SUB-8'!J41)+('SUB-9'!J42)+('SUB-10'!J41)+('SUB- NEC'!J41)</f>
        <v>10</v>
      </c>
      <c r="T40" s="6" t="str">
        <f t="shared" si="1"/>
        <v>PASS</v>
      </c>
    </row>
    <row r="41" spans="4:20" x14ac:dyDescent="0.35">
      <c r="D41" s="6">
        <f>'SUB-1'!D41</f>
        <v>27</v>
      </c>
      <c r="E41" s="6" t="str">
        <f>'SUB-1'!E41</f>
        <v>BTMC24O1027</v>
      </c>
      <c r="F41" s="6">
        <f>'SUB-1'!L41</f>
        <v>37</v>
      </c>
      <c r="G41" s="6">
        <f>'SUB- 2'!K41</f>
        <v>46</v>
      </c>
      <c r="H41" s="6">
        <f>'SUB-3'!L41</f>
        <v>50</v>
      </c>
      <c r="I41" s="6">
        <f>'SUB-4'!L41</f>
        <v>49</v>
      </c>
      <c r="J41" s="6">
        <f>'SUB-5'!L41</f>
        <v>68</v>
      </c>
      <c r="K41" s="6">
        <f>'SUB-6'!H42</f>
        <v>54</v>
      </c>
      <c r="L41" s="6">
        <f>'SUB-7'!H42</f>
        <v>15</v>
      </c>
      <c r="M41" s="6">
        <f>'SUB-8'!H42</f>
        <v>33</v>
      </c>
      <c r="N41" s="6">
        <f>'SUB-9'!H43</f>
        <v>75</v>
      </c>
      <c r="O41" s="6">
        <f>'SUB-10'!H42</f>
        <v>56</v>
      </c>
      <c r="P41" s="6">
        <f>'SUB- NEC'!G42</f>
        <v>39</v>
      </c>
      <c r="Q41" s="6">
        <f t="shared" si="2"/>
        <v>522</v>
      </c>
      <c r="R41" s="6">
        <f t="shared" si="0"/>
        <v>52.2</v>
      </c>
      <c r="S41" s="6">
        <f>('SUB-1'!M41)+('SUB- 2'!L41)+('SUB-3'!M41)+('SUB-4'!M41)+('SUB-5'!M41)+('SUB-6'!J42)+('SUB-7'!J42)+('SUB-8'!J42)+('SUB-9'!J43)+('SUB-10'!J42)+('SUB- NEC'!J42)</f>
        <v>11</v>
      </c>
      <c r="T41" s="6" t="str">
        <f t="shared" si="1"/>
        <v>PASS</v>
      </c>
    </row>
    <row r="42" spans="4:20" x14ac:dyDescent="0.35">
      <c r="D42" s="6">
        <f>'SUB-1'!D42</f>
        <v>28</v>
      </c>
      <c r="E42" s="6" t="str">
        <f>'SUB-1'!E42</f>
        <v>BTMC24O1028</v>
      </c>
      <c r="F42" s="6">
        <f>'SUB-1'!L42</f>
        <v>46</v>
      </c>
      <c r="G42" s="6">
        <f>'SUB- 2'!K42</f>
        <v>57</v>
      </c>
      <c r="H42" s="6">
        <f>'SUB-3'!L42</f>
        <v>47</v>
      </c>
      <c r="I42" s="6">
        <f>'SUB-4'!L42</f>
        <v>49</v>
      </c>
      <c r="J42" s="6">
        <f>'SUB-5'!L42</f>
        <v>40</v>
      </c>
      <c r="K42" s="6">
        <f>'SUB-6'!H43</f>
        <v>77</v>
      </c>
      <c r="L42" s="6">
        <f>'SUB-7'!H43</f>
        <v>22</v>
      </c>
      <c r="M42" s="6">
        <f>'SUB-8'!H43</f>
        <v>17</v>
      </c>
      <c r="N42" s="6">
        <f>'SUB-9'!H44</f>
        <v>32</v>
      </c>
      <c r="O42" s="6">
        <f>'SUB-10'!H43</f>
        <v>73</v>
      </c>
      <c r="P42" s="6">
        <f>'SUB- NEC'!G43</f>
        <v>19</v>
      </c>
      <c r="Q42" s="6">
        <f t="shared" si="2"/>
        <v>479</v>
      </c>
      <c r="R42" s="6">
        <f t="shared" si="0"/>
        <v>47.9</v>
      </c>
      <c r="S42" s="6">
        <f>('SUB-1'!M42)+('SUB- 2'!L42)+('SUB-3'!M42)+('SUB-4'!M42)+('SUB-5'!M42)+('SUB-6'!J43)+('SUB-7'!J43)+('SUB-8'!J43)+('SUB-9'!J44)+('SUB-10'!J43)+('SUB- NEC'!J43)</f>
        <v>10</v>
      </c>
      <c r="T42" s="6" t="str">
        <f t="shared" si="1"/>
        <v>PASS</v>
      </c>
    </row>
    <row r="43" spans="4:20" x14ac:dyDescent="0.35">
      <c r="D43" s="6">
        <f>'SUB-1'!D43</f>
        <v>29</v>
      </c>
      <c r="E43" s="6" t="str">
        <f>'SUB-1'!E43</f>
        <v>BTMC24O1029</v>
      </c>
      <c r="F43" s="6">
        <f>'SUB-1'!L43</f>
        <v>50</v>
      </c>
      <c r="G43" s="6">
        <f>'SUB- 2'!K43</f>
        <v>49</v>
      </c>
      <c r="H43" s="6">
        <f>'SUB-3'!L43</f>
        <v>60</v>
      </c>
      <c r="I43" s="6">
        <f>'SUB-4'!L43</f>
        <v>72</v>
      </c>
      <c r="J43" s="6">
        <f>'SUB-5'!L43</f>
        <v>48</v>
      </c>
      <c r="K43" s="6">
        <f>'SUB-6'!H44</f>
        <v>44</v>
      </c>
      <c r="L43" s="6">
        <f>'SUB-7'!H44</f>
        <v>51</v>
      </c>
      <c r="M43" s="6">
        <f>'SUB-8'!H44</f>
        <v>3</v>
      </c>
      <c r="N43" s="6">
        <f>'SUB-9'!H45</f>
        <v>11</v>
      </c>
      <c r="O43" s="6">
        <f>'SUB-10'!H44</f>
        <v>45</v>
      </c>
      <c r="P43" s="6">
        <f>'SUB- NEC'!G44</f>
        <v>4</v>
      </c>
      <c r="Q43" s="6">
        <f t="shared" si="2"/>
        <v>437</v>
      </c>
      <c r="R43" s="6">
        <f t="shared" si="0"/>
        <v>43.7</v>
      </c>
      <c r="S43" s="6">
        <f>('SUB-1'!M43)+('SUB- 2'!L43)+('SUB-3'!M43)+('SUB-4'!M43)+('SUB-5'!M43)+('SUB-6'!J44)+('SUB-7'!J44)+('SUB-8'!J44)+('SUB-9'!J45)+('SUB-10'!J44)+('SUB- NEC'!J44)</f>
        <v>10</v>
      </c>
      <c r="T43" s="6" t="str">
        <f t="shared" si="1"/>
        <v>PASS</v>
      </c>
    </row>
    <row r="44" spans="4:20" x14ac:dyDescent="0.35">
      <c r="D44" s="6">
        <f>'SUB-1'!D44</f>
        <v>30</v>
      </c>
      <c r="E44" s="6" t="str">
        <f>'SUB-1'!E44</f>
        <v>BTMC24O1030</v>
      </c>
      <c r="F44" s="6">
        <f>'SUB-1'!L44</f>
        <v>38</v>
      </c>
      <c r="G44" s="6">
        <f>'SUB- 2'!K44</f>
        <v>71</v>
      </c>
      <c r="H44" s="6">
        <f>'SUB-3'!L44</f>
        <v>60</v>
      </c>
      <c r="I44" s="6">
        <f>'SUB-4'!L44</f>
        <v>55</v>
      </c>
      <c r="J44" s="6">
        <f>'SUB-5'!L44</f>
        <v>49</v>
      </c>
      <c r="K44" s="6">
        <f>'SUB-6'!H45</f>
        <v>46</v>
      </c>
      <c r="L44" s="6">
        <f>'SUB-7'!H45</f>
        <v>6</v>
      </c>
      <c r="M44" s="6">
        <f>'SUB-8'!H45</f>
        <v>36</v>
      </c>
      <c r="N44" s="6">
        <f>'SUB-9'!H46</f>
        <v>17</v>
      </c>
      <c r="O44" s="6">
        <f>'SUB-10'!H45</f>
        <v>30</v>
      </c>
      <c r="P44" s="6">
        <f>'SUB- NEC'!G45</f>
        <v>6</v>
      </c>
      <c r="Q44" s="6">
        <f t="shared" si="2"/>
        <v>414</v>
      </c>
      <c r="R44" s="6">
        <f t="shared" si="0"/>
        <v>41.4</v>
      </c>
      <c r="S44" s="6">
        <f>('SUB-1'!M44)+('SUB- 2'!L44)+('SUB-3'!M44)+('SUB-4'!M44)+('SUB-5'!M44)+('SUB-6'!J45)+('SUB-7'!J45)+('SUB-8'!J45)+('SUB-9'!J46)+('SUB-10'!J45)+('SUB- NEC'!J45)</f>
        <v>10</v>
      </c>
      <c r="T44" s="6" t="str">
        <f t="shared" si="1"/>
        <v>PASS</v>
      </c>
    </row>
    <row r="45" spans="4:20" x14ac:dyDescent="0.35">
      <c r="D45" s="6">
        <f>'SUB-1'!D45</f>
        <v>31</v>
      </c>
      <c r="E45" s="6" t="str">
        <f>'SUB-1'!E45</f>
        <v>BTMC24O1031</v>
      </c>
      <c r="F45" s="6">
        <f>'SUB-1'!L45</f>
        <v>53</v>
      </c>
      <c r="G45" s="6">
        <f>'SUB- 2'!K45</f>
        <v>46</v>
      </c>
      <c r="H45" s="6">
        <f>'SUB-3'!L45</f>
        <v>46</v>
      </c>
      <c r="I45" s="6">
        <f>'SUB-4'!L45</f>
        <v>48</v>
      </c>
      <c r="J45" s="6">
        <f>'SUB-5'!L45</f>
        <v>36</v>
      </c>
      <c r="K45" s="6">
        <f>'SUB-6'!H46</f>
        <v>71</v>
      </c>
      <c r="L45" s="6">
        <f>'SUB-7'!H46</f>
        <v>25</v>
      </c>
      <c r="M45" s="6">
        <f>'SUB-8'!H46</f>
        <v>19</v>
      </c>
      <c r="N45" s="6">
        <f>'SUB-9'!H47</f>
        <v>85</v>
      </c>
      <c r="O45" s="6">
        <f>'SUB-10'!H46</f>
        <v>78</v>
      </c>
      <c r="P45" s="6">
        <f>'SUB- NEC'!G46</f>
        <v>33</v>
      </c>
      <c r="Q45" s="6">
        <f t="shared" si="2"/>
        <v>540</v>
      </c>
      <c r="R45" s="6">
        <f t="shared" si="0"/>
        <v>54</v>
      </c>
      <c r="S45" s="6">
        <f>('SUB-1'!M45)+('SUB- 2'!L45)+('SUB-3'!M45)+('SUB-4'!M45)+('SUB-5'!M45)+('SUB-6'!J46)+('SUB-7'!J46)+('SUB-8'!J46)+('SUB-9'!J47)+('SUB-10'!J46)+('SUB- NEC'!J46)</f>
        <v>11</v>
      </c>
      <c r="T45" s="6" t="str">
        <f t="shared" si="1"/>
        <v>PASS</v>
      </c>
    </row>
    <row r="46" spans="4:20" x14ac:dyDescent="0.35">
      <c r="D46" s="6">
        <f>'SUB-1'!D46</f>
        <v>32</v>
      </c>
      <c r="E46" s="6" t="str">
        <f>'SUB-1'!E46</f>
        <v>BTMC24O1032</v>
      </c>
      <c r="F46" s="6">
        <f>'SUB-1'!L46</f>
        <v>22</v>
      </c>
      <c r="G46" s="6">
        <f>'SUB- 2'!K46</f>
        <v>55</v>
      </c>
      <c r="H46" s="6">
        <f>'SUB-3'!L46</f>
        <v>58</v>
      </c>
      <c r="I46" s="6">
        <f>'SUB-4'!L46</f>
        <v>49</v>
      </c>
      <c r="J46" s="6">
        <f>'SUB-5'!L46</f>
        <v>33</v>
      </c>
      <c r="K46" s="6">
        <f>'SUB-6'!H47</f>
        <v>41</v>
      </c>
      <c r="L46" s="6">
        <f>'SUB-7'!H47</f>
        <v>87</v>
      </c>
      <c r="M46" s="6">
        <f>'SUB-8'!H47</f>
        <v>9</v>
      </c>
      <c r="N46" s="6">
        <f>'SUB-9'!H48</f>
        <v>77</v>
      </c>
      <c r="O46" s="6">
        <f>'SUB-10'!H47</f>
        <v>45</v>
      </c>
      <c r="P46" s="6">
        <f>'SUB- NEC'!G47</f>
        <v>34</v>
      </c>
      <c r="Q46" s="6">
        <f t="shared" si="2"/>
        <v>510</v>
      </c>
      <c r="R46" s="6">
        <f t="shared" si="0"/>
        <v>51</v>
      </c>
      <c r="S46" s="6">
        <f>('SUB-1'!M46)+('SUB- 2'!L46)+('SUB-3'!M46)+('SUB-4'!M46)+('SUB-5'!M46)+('SUB-6'!J47)+('SUB-7'!J47)+('SUB-8'!J47)+('SUB-9'!J48)+('SUB-10'!J47)+('SUB- NEC'!J47)</f>
        <v>10</v>
      </c>
      <c r="T46" s="6" t="str">
        <f t="shared" si="1"/>
        <v>PASS</v>
      </c>
    </row>
    <row r="47" spans="4:20" x14ac:dyDescent="0.35">
      <c r="D47" s="6">
        <f>'SUB-1'!D47</f>
        <v>33</v>
      </c>
      <c r="E47" s="6" t="str">
        <f>'SUB-1'!E47</f>
        <v>BTMC24O1033</v>
      </c>
      <c r="F47" s="6">
        <f>'SUB-1'!L47</f>
        <v>71</v>
      </c>
      <c r="G47" s="6">
        <f>'SUB- 2'!K47</f>
        <v>34</v>
      </c>
      <c r="H47" s="6">
        <f>'SUB-3'!L47</f>
        <v>36</v>
      </c>
      <c r="I47" s="6">
        <f>'SUB-4'!L47</f>
        <v>43</v>
      </c>
      <c r="J47" s="6">
        <f>'SUB-5'!L47</f>
        <v>63</v>
      </c>
      <c r="K47" s="6">
        <f>'SUB-6'!H48</f>
        <v>22</v>
      </c>
      <c r="L47" s="6">
        <f>'SUB-7'!H48</f>
        <v>79</v>
      </c>
      <c r="M47" s="6">
        <f>'SUB-8'!H48</f>
        <v>46</v>
      </c>
      <c r="N47" s="6">
        <f>'SUB-9'!H49</f>
        <v>91</v>
      </c>
      <c r="O47" s="6">
        <f>'SUB-10'!H48</f>
        <v>51</v>
      </c>
      <c r="P47" s="6">
        <f>'SUB- NEC'!G48</f>
        <v>49</v>
      </c>
      <c r="Q47" s="6">
        <f t="shared" si="2"/>
        <v>585</v>
      </c>
      <c r="R47" s="6">
        <f t="shared" si="0"/>
        <v>58.5</v>
      </c>
      <c r="S47" s="6">
        <f>('SUB-1'!M47)+('SUB- 2'!L47)+('SUB-3'!M47)+('SUB-4'!M47)+('SUB-5'!M47)+('SUB-6'!J48)+('SUB-7'!J48)+('SUB-8'!J48)+('SUB-9'!J49)+('SUB-10'!J48)+('SUB- NEC'!J48)</f>
        <v>11</v>
      </c>
      <c r="T47" s="6" t="str">
        <f t="shared" si="1"/>
        <v>PASS</v>
      </c>
    </row>
    <row r="48" spans="4:20" x14ac:dyDescent="0.35">
      <c r="D48" s="6">
        <f>'SUB-1'!D48</f>
        <v>34</v>
      </c>
      <c r="E48" s="6" t="str">
        <f>'SUB-1'!E48</f>
        <v>BTMC24O1034</v>
      </c>
      <c r="F48" s="6">
        <f>'SUB-1'!L48</f>
        <v>39</v>
      </c>
      <c r="G48" s="6">
        <f>'SUB- 2'!K48</f>
        <v>45</v>
      </c>
      <c r="H48" s="6">
        <f>'SUB-3'!L48</f>
        <v>38</v>
      </c>
      <c r="I48" s="6">
        <f>'SUB-4'!L48</f>
        <v>80</v>
      </c>
      <c r="J48" s="6">
        <f>'SUB-5'!L48</f>
        <v>69</v>
      </c>
      <c r="K48" s="6">
        <f>'SUB-6'!H49</f>
        <v>29</v>
      </c>
      <c r="L48" s="6">
        <f>'SUB-7'!H49</f>
        <v>43</v>
      </c>
      <c r="M48" s="6">
        <f>'SUB-8'!H49</f>
        <v>29</v>
      </c>
      <c r="N48" s="6">
        <f>'SUB-9'!H50</f>
        <v>43</v>
      </c>
      <c r="O48" s="6">
        <f>'SUB-10'!H49</f>
        <v>17</v>
      </c>
      <c r="P48" s="6">
        <f>'SUB- NEC'!G49</f>
        <v>39</v>
      </c>
      <c r="Q48" s="6">
        <f t="shared" si="2"/>
        <v>471</v>
      </c>
      <c r="R48" s="6">
        <f t="shared" si="0"/>
        <v>47.099999999999994</v>
      </c>
      <c r="S48" s="6">
        <f>('SUB-1'!M48)+('SUB- 2'!L48)+('SUB-3'!M48)+('SUB-4'!M48)+('SUB-5'!M48)+('SUB-6'!J49)+('SUB-7'!J49)+('SUB-8'!J49)+('SUB-9'!J50)+('SUB-10'!J49)+('SUB- NEC'!J49)</f>
        <v>12</v>
      </c>
      <c r="T48" s="6" t="str">
        <f t="shared" si="1"/>
        <v>PASS</v>
      </c>
    </row>
    <row r="49" spans="4:20" x14ac:dyDescent="0.35">
      <c r="D49" s="6">
        <f>'SUB-1'!D49</f>
        <v>35</v>
      </c>
      <c r="E49" s="6" t="str">
        <f>'SUB-1'!E49</f>
        <v>BTMC24O1035</v>
      </c>
      <c r="F49" s="6">
        <f>'SUB-1'!L49</f>
        <v>62</v>
      </c>
      <c r="G49" s="6">
        <f>'SUB- 2'!K49</f>
        <v>20</v>
      </c>
      <c r="H49" s="6">
        <f>'SUB-3'!L49</f>
        <v>71</v>
      </c>
      <c r="I49" s="6">
        <f>'SUB-4'!L49</f>
        <v>36</v>
      </c>
      <c r="J49" s="6">
        <f>'SUB-5'!L49</f>
        <v>19</v>
      </c>
      <c r="K49" s="6">
        <f>'SUB-6'!H50</f>
        <v>66</v>
      </c>
      <c r="L49" s="6">
        <f>'SUB-7'!H50</f>
        <v>42</v>
      </c>
      <c r="M49" s="6">
        <f>'SUB-8'!H50</f>
        <v>24</v>
      </c>
      <c r="N49" s="6">
        <f>'SUB-9'!H51</f>
        <v>1</v>
      </c>
      <c r="O49" s="6">
        <f>'SUB-10'!H50</f>
        <v>33</v>
      </c>
      <c r="P49" s="6">
        <f>'SUB- NEC'!G50</f>
        <v>7</v>
      </c>
      <c r="Q49" s="6">
        <f t="shared" si="2"/>
        <v>381</v>
      </c>
      <c r="R49" s="6">
        <f t="shared" si="0"/>
        <v>38.1</v>
      </c>
      <c r="S49" s="6">
        <f>('SUB-1'!M49)+('SUB- 2'!L49)+('SUB-3'!M49)+('SUB-4'!M49)+('SUB-5'!M49)+('SUB-6'!J50)+('SUB-7'!J50)+('SUB-8'!J50)+('SUB-9'!J51)+('SUB-10'!J50)+('SUB- NEC'!J50)</f>
        <v>8</v>
      </c>
      <c r="T49" s="6" t="str">
        <f t="shared" si="1"/>
        <v>FAIL</v>
      </c>
    </row>
    <row r="50" spans="4:20" x14ac:dyDescent="0.35">
      <c r="D50" s="6">
        <f>'SUB-1'!D50</f>
        <v>36</v>
      </c>
      <c r="E50" s="6" t="str">
        <f>'SUB-1'!E50</f>
        <v>BTMC24O1036</v>
      </c>
      <c r="F50" s="6">
        <f>'SUB-1'!L50</f>
        <v>50</v>
      </c>
      <c r="G50" s="6">
        <f>'SUB- 2'!K50</f>
        <v>48</v>
      </c>
      <c r="H50" s="6">
        <f>'SUB-3'!L50</f>
        <v>52</v>
      </c>
      <c r="I50" s="6">
        <f>'SUB-4'!L50</f>
        <v>45</v>
      </c>
      <c r="J50" s="6">
        <f>'SUB-5'!L50</f>
        <v>39</v>
      </c>
      <c r="K50" s="6">
        <f>'SUB-6'!H51</f>
        <v>22</v>
      </c>
      <c r="L50" s="6">
        <f>'SUB-7'!H51</f>
        <v>65</v>
      </c>
      <c r="M50" s="6">
        <f>'SUB-8'!H51</f>
        <v>30</v>
      </c>
      <c r="N50" s="6">
        <f>'SUB-9'!H52</f>
        <v>37</v>
      </c>
      <c r="O50" s="6">
        <f>'SUB-10'!H51</f>
        <v>36</v>
      </c>
      <c r="P50" s="6">
        <f>'SUB- NEC'!G51</f>
        <v>0</v>
      </c>
      <c r="Q50" s="6">
        <f t="shared" si="2"/>
        <v>424</v>
      </c>
      <c r="R50" s="6">
        <f t="shared" si="0"/>
        <v>42.4</v>
      </c>
      <c r="S50" s="6">
        <f>('SUB-1'!M50)+('SUB- 2'!L50)+('SUB-3'!M50)+('SUB-4'!M50)+('SUB-5'!M50)+('SUB-6'!J51)+('SUB-7'!J51)+('SUB-8'!J51)+('SUB-9'!J52)+('SUB-10'!J51)+('SUB- NEC'!J51)</f>
        <v>10</v>
      </c>
      <c r="T50" s="6" t="str">
        <f t="shared" si="1"/>
        <v>PASS</v>
      </c>
    </row>
    <row r="51" spans="4:20" x14ac:dyDescent="0.35">
      <c r="D51" s="6">
        <f>'SUB-1'!D51</f>
        <v>37</v>
      </c>
      <c r="E51" s="6" t="str">
        <f>'SUB-1'!E51</f>
        <v>BTMC24O1037</v>
      </c>
      <c r="F51" s="6">
        <f>'SUB-1'!L51</f>
        <v>66</v>
      </c>
      <c r="G51" s="6">
        <f>'SUB- 2'!K51</f>
        <v>46</v>
      </c>
      <c r="H51" s="6">
        <f>'SUB-3'!L51</f>
        <v>62</v>
      </c>
      <c r="I51" s="6">
        <f>'SUB-4'!L51</f>
        <v>64</v>
      </c>
      <c r="J51" s="6">
        <f>'SUB-5'!L51</f>
        <v>33</v>
      </c>
      <c r="K51" s="6">
        <f>'SUB-6'!H52</f>
        <v>97</v>
      </c>
      <c r="L51" s="6">
        <f>'SUB-7'!H52</f>
        <v>25</v>
      </c>
      <c r="M51" s="6">
        <f>'SUB-8'!H52</f>
        <v>24</v>
      </c>
      <c r="N51" s="6">
        <f>'SUB-9'!H53</f>
        <v>44</v>
      </c>
      <c r="O51" s="6">
        <f>'SUB-10'!H52</f>
        <v>73</v>
      </c>
      <c r="P51" s="6">
        <f>'SUB- NEC'!G52</f>
        <v>49</v>
      </c>
      <c r="Q51" s="6">
        <f t="shared" si="2"/>
        <v>583</v>
      </c>
      <c r="R51" s="6">
        <f t="shared" si="0"/>
        <v>58.3</v>
      </c>
      <c r="S51" s="6">
        <f>('SUB-1'!M51)+('SUB- 2'!L51)+('SUB-3'!M51)+('SUB-4'!M51)+('SUB-5'!M51)+('SUB-6'!J52)+('SUB-7'!J52)+('SUB-8'!J52)+('SUB-9'!J53)+('SUB-10'!J52)+('SUB- NEC'!J52)</f>
        <v>12</v>
      </c>
      <c r="T51" s="6" t="str">
        <f t="shared" si="1"/>
        <v>PASS</v>
      </c>
    </row>
    <row r="52" spans="4:20" x14ac:dyDescent="0.35">
      <c r="D52" s="6">
        <f>'SUB-1'!D52</f>
        <v>38</v>
      </c>
      <c r="E52" s="6" t="str">
        <f>'SUB-1'!E52</f>
        <v>BTMC24O1038</v>
      </c>
      <c r="F52" s="6">
        <f>'SUB-1'!L52</f>
        <v>29</v>
      </c>
      <c r="G52" s="6">
        <f>'SUB- 2'!K52</f>
        <v>63</v>
      </c>
      <c r="H52" s="6">
        <f>'SUB-3'!L52</f>
        <v>49</v>
      </c>
      <c r="I52" s="6">
        <f>'SUB-4'!L52</f>
        <v>58</v>
      </c>
      <c r="J52" s="6">
        <f>'SUB-5'!L52</f>
        <v>53</v>
      </c>
      <c r="K52" s="6">
        <f>'SUB-6'!H53</f>
        <v>65</v>
      </c>
      <c r="L52" s="6">
        <f>'SUB-7'!H53</f>
        <v>8</v>
      </c>
      <c r="M52" s="6">
        <f>'SUB-8'!H53</f>
        <v>31</v>
      </c>
      <c r="N52" s="6">
        <f>'SUB-9'!H54</f>
        <v>80</v>
      </c>
      <c r="O52" s="6">
        <f>'SUB-10'!H53</f>
        <v>47</v>
      </c>
      <c r="P52" s="6">
        <f>'SUB- NEC'!G53</f>
        <v>20</v>
      </c>
      <c r="Q52" s="6">
        <f t="shared" si="2"/>
        <v>503</v>
      </c>
      <c r="R52" s="6">
        <f t="shared" si="0"/>
        <v>50.3</v>
      </c>
      <c r="S52" s="6">
        <f>('SUB-1'!M52)+('SUB- 2'!L52)+('SUB-3'!M52)+('SUB-4'!M52)+('SUB-5'!M52)+('SUB-6'!J53)+('SUB-7'!J53)+('SUB-8'!J53)+('SUB-9'!J54)+('SUB-10'!J53)+('SUB- NEC'!J53)</f>
        <v>12</v>
      </c>
      <c r="T52" s="6" t="str">
        <f t="shared" si="1"/>
        <v>PASS</v>
      </c>
    </row>
    <row r="53" spans="4:20" x14ac:dyDescent="0.35">
      <c r="D53" s="6">
        <f>'SUB-1'!D53</f>
        <v>39</v>
      </c>
      <c r="E53" s="6" t="str">
        <f>'SUB-1'!E53</f>
        <v>BTMC24O1039</v>
      </c>
      <c r="F53" s="6">
        <f>'SUB-1'!L53</f>
        <v>44</v>
      </c>
      <c r="G53" s="6">
        <f>'SUB- 2'!K53</f>
        <v>43</v>
      </c>
      <c r="H53" s="6">
        <f>'SUB-3'!L53</f>
        <v>39</v>
      </c>
      <c r="I53" s="6">
        <f>'SUB-4'!L53</f>
        <v>69</v>
      </c>
      <c r="J53" s="6">
        <f>'SUB-5'!L53</f>
        <v>65</v>
      </c>
      <c r="K53" s="6">
        <f>'SUB-6'!H54</f>
        <v>32</v>
      </c>
      <c r="L53" s="6">
        <f>'SUB-7'!H54</f>
        <v>24</v>
      </c>
      <c r="M53" s="6">
        <f>'SUB-8'!H54</f>
        <v>10</v>
      </c>
      <c r="N53" s="6">
        <f>'SUB-9'!H55</f>
        <v>39</v>
      </c>
      <c r="O53" s="6">
        <f>'SUB-10'!H54</f>
        <v>65</v>
      </c>
      <c r="P53" s="6">
        <f>'SUB- NEC'!G54</f>
        <v>41</v>
      </c>
      <c r="Q53" s="6">
        <f t="shared" si="2"/>
        <v>471</v>
      </c>
      <c r="R53" s="6">
        <f t="shared" si="0"/>
        <v>47.099999999999994</v>
      </c>
      <c r="S53" s="6">
        <f>('SUB-1'!M53)+('SUB- 2'!L53)+('SUB-3'!M53)+('SUB-4'!M53)+('SUB-5'!M53)+('SUB-6'!J54)+('SUB-7'!J54)+('SUB-8'!J54)+('SUB-9'!J55)+('SUB-10'!J54)+('SUB- NEC'!J54)</f>
        <v>10</v>
      </c>
      <c r="T53" s="6" t="str">
        <f t="shared" si="1"/>
        <v>PASS</v>
      </c>
    </row>
    <row r="54" spans="4:20" x14ac:dyDescent="0.35">
      <c r="D54" s="6">
        <f>'SUB-1'!D54</f>
        <v>40</v>
      </c>
      <c r="E54" s="6" t="str">
        <f>'SUB-1'!E54</f>
        <v>BTMC24O1040</v>
      </c>
      <c r="F54" s="6">
        <f>'SUB-1'!L54</f>
        <v>22</v>
      </c>
      <c r="G54" s="6">
        <f>'SUB- 2'!K54</f>
        <v>51</v>
      </c>
      <c r="H54" s="6">
        <f>'SUB-3'!L54</f>
        <v>41</v>
      </c>
      <c r="I54" s="6">
        <f>'SUB-4'!L54</f>
        <v>56</v>
      </c>
      <c r="J54" s="6">
        <f>'SUB-5'!L54</f>
        <v>67</v>
      </c>
      <c r="K54" s="6">
        <f>'SUB-6'!H55</f>
        <v>84</v>
      </c>
      <c r="L54" s="6">
        <f>'SUB-7'!H55</f>
        <v>77</v>
      </c>
      <c r="M54" s="6">
        <f>'SUB-8'!H55</f>
        <v>35</v>
      </c>
      <c r="N54" s="6">
        <f>'SUB-9'!H56</f>
        <v>66</v>
      </c>
      <c r="O54" s="6">
        <f>'SUB-10'!H55</f>
        <v>24</v>
      </c>
      <c r="P54" s="6">
        <f>'SUB- NEC'!G55</f>
        <v>39</v>
      </c>
      <c r="Q54" s="6">
        <f t="shared" si="2"/>
        <v>562</v>
      </c>
      <c r="R54" s="6">
        <f t="shared" si="0"/>
        <v>56.2</v>
      </c>
      <c r="S54" s="6">
        <f>('SUB-1'!M54)+('SUB- 2'!L54)+('SUB-3'!M54)+('SUB-4'!M54)+('SUB-5'!M54)+('SUB-6'!J55)+('SUB-7'!J55)+('SUB-8'!J55)+('SUB-9'!J56)+('SUB-10'!J55)+('SUB- NEC'!J55)</f>
        <v>12</v>
      </c>
      <c r="T54" s="6" t="str">
        <f t="shared" si="1"/>
        <v>PASS</v>
      </c>
    </row>
    <row r="55" spans="4:20" x14ac:dyDescent="0.35">
      <c r="D55" s="6">
        <f>'SUB-1'!D55</f>
        <v>41</v>
      </c>
      <c r="E55" s="6" t="str">
        <f>'SUB-1'!E55</f>
        <v>BTMC24O1041</v>
      </c>
      <c r="F55" s="6">
        <f>'SUB-1'!L55</f>
        <v>34</v>
      </c>
      <c r="G55" s="6">
        <f>'SUB- 2'!K55</f>
        <v>56</v>
      </c>
      <c r="H55" s="6">
        <f>'SUB-3'!L55</f>
        <v>54</v>
      </c>
      <c r="I55" s="6">
        <f>'SUB-4'!L55</f>
        <v>34</v>
      </c>
      <c r="J55" s="6">
        <f>'SUB-5'!L55</f>
        <v>58</v>
      </c>
      <c r="K55" s="6">
        <f>'SUB-6'!H56</f>
        <v>59</v>
      </c>
      <c r="L55" s="6">
        <f>'SUB-7'!H56</f>
        <v>19</v>
      </c>
      <c r="M55" s="6">
        <f>'SUB-8'!H56</f>
        <v>18</v>
      </c>
      <c r="N55" s="6">
        <f>'SUB-9'!H57</f>
        <v>29</v>
      </c>
      <c r="O55" s="6">
        <f>'SUB-10'!H56</f>
        <v>33</v>
      </c>
      <c r="P55" s="6">
        <f>'SUB- NEC'!G56</f>
        <v>2</v>
      </c>
      <c r="Q55" s="6">
        <f t="shared" si="2"/>
        <v>396</v>
      </c>
      <c r="R55" s="6">
        <f t="shared" si="0"/>
        <v>39.6</v>
      </c>
      <c r="S55" s="6">
        <f>('SUB-1'!M55)+('SUB- 2'!L55)+('SUB-3'!M55)+('SUB-4'!M55)+('SUB-5'!M55)+('SUB-6'!J56)+('SUB-7'!J56)+('SUB-8'!J56)+('SUB-9'!J57)+('SUB-10'!J56)+('SUB- NEC'!J56)</f>
        <v>8</v>
      </c>
      <c r="T55" s="6" t="str">
        <f t="shared" si="1"/>
        <v>FAIL</v>
      </c>
    </row>
    <row r="56" spans="4:20" x14ac:dyDescent="0.35">
      <c r="D56" s="6">
        <f>'SUB-1'!D56</f>
        <v>42</v>
      </c>
      <c r="E56" s="6" t="str">
        <f>'SUB-1'!E56</f>
        <v>BTMC24O1042</v>
      </c>
      <c r="F56" s="6">
        <f>'SUB-1'!L56</f>
        <v>59</v>
      </c>
      <c r="G56" s="6">
        <f>'SUB- 2'!K56</f>
        <v>42</v>
      </c>
      <c r="H56" s="6">
        <f>'SUB-3'!L56</f>
        <v>70</v>
      </c>
      <c r="I56" s="6">
        <f>'SUB-4'!L56</f>
        <v>69</v>
      </c>
      <c r="J56" s="6">
        <f>'SUB-5'!L56</f>
        <v>51</v>
      </c>
      <c r="K56" s="6">
        <f>'SUB-6'!H57</f>
        <v>41</v>
      </c>
      <c r="L56" s="6">
        <f>'SUB-7'!H57</f>
        <v>50</v>
      </c>
      <c r="M56" s="6">
        <f>'SUB-8'!H57</f>
        <v>4</v>
      </c>
      <c r="N56" s="6">
        <f>'SUB-9'!H58</f>
        <v>18</v>
      </c>
      <c r="O56" s="6">
        <f>'SUB-10'!H57</f>
        <v>76</v>
      </c>
      <c r="P56" s="6">
        <f>'SUB- NEC'!G57</f>
        <v>27</v>
      </c>
      <c r="Q56" s="6">
        <f t="shared" si="2"/>
        <v>507</v>
      </c>
      <c r="R56" s="6">
        <f t="shared" si="0"/>
        <v>50.7</v>
      </c>
      <c r="S56" s="6">
        <f>('SUB-1'!M56)+('SUB- 2'!L56)+('SUB-3'!M56)+('SUB-4'!M56)+('SUB-5'!M56)+('SUB-6'!J57)+('SUB-7'!J57)+('SUB-8'!J57)+('SUB-9'!J58)+('SUB-10'!J57)+('SUB- NEC'!J57)</f>
        <v>13</v>
      </c>
      <c r="T56" s="6" t="str">
        <f t="shared" si="1"/>
        <v>PASS</v>
      </c>
    </row>
    <row r="57" spans="4:20" x14ac:dyDescent="0.35">
      <c r="D57" s="6">
        <f>'SUB-1'!D57</f>
        <v>43</v>
      </c>
      <c r="E57" s="6" t="str">
        <f>'SUB-1'!E57</f>
        <v>BTMC24O1043</v>
      </c>
      <c r="F57" s="6">
        <f>'SUB-1'!L57</f>
        <v>32</v>
      </c>
      <c r="G57" s="6">
        <f>'SUB- 2'!K57</f>
        <v>53</v>
      </c>
      <c r="H57" s="6">
        <f>'SUB-3'!L57</f>
        <v>40</v>
      </c>
      <c r="I57" s="6">
        <f>'SUB-4'!L57</f>
        <v>41</v>
      </c>
      <c r="J57" s="6">
        <f>'SUB-5'!L57</f>
        <v>66</v>
      </c>
      <c r="K57" s="6">
        <f>'SUB-6'!H58</f>
        <v>18</v>
      </c>
      <c r="L57" s="6">
        <f>'SUB-7'!H58</f>
        <v>52</v>
      </c>
      <c r="M57" s="6">
        <f>'SUB-8'!H58</f>
        <v>13</v>
      </c>
      <c r="N57" s="6">
        <f>'SUB-9'!H59</f>
        <v>46</v>
      </c>
      <c r="O57" s="6">
        <f>'SUB-10'!H58</f>
        <v>30</v>
      </c>
      <c r="P57" s="6">
        <f>'SUB- NEC'!G58</f>
        <v>14</v>
      </c>
      <c r="Q57" s="6">
        <f t="shared" si="2"/>
        <v>405</v>
      </c>
      <c r="R57" s="6">
        <f t="shared" si="0"/>
        <v>40.5</v>
      </c>
      <c r="S57" s="6">
        <f>('SUB-1'!M57)+('SUB- 2'!L57)+('SUB-3'!M57)+('SUB-4'!M57)+('SUB-5'!M57)+('SUB-6'!J58)+('SUB-7'!J58)+('SUB-8'!J58)+('SUB-9'!J59)+('SUB-10'!J58)+('SUB- NEC'!J58)</f>
        <v>8</v>
      </c>
      <c r="T57" s="6" t="str">
        <f t="shared" si="1"/>
        <v>PASS</v>
      </c>
    </row>
    <row r="58" spans="4:20" x14ac:dyDescent="0.35">
      <c r="D58" s="6">
        <f>'SUB-1'!D58</f>
        <v>44</v>
      </c>
      <c r="E58" s="6" t="str">
        <f>'SUB-1'!E58</f>
        <v>BTMC24O1044</v>
      </c>
      <c r="F58" s="6">
        <f>'SUB-1'!L58</f>
        <v>59</v>
      </c>
      <c r="G58" s="6">
        <f>'SUB- 2'!K58</f>
        <v>45</v>
      </c>
      <c r="H58" s="6">
        <f>'SUB-3'!L58</f>
        <v>60</v>
      </c>
      <c r="I58" s="6">
        <f>'SUB-4'!L58</f>
        <v>40</v>
      </c>
      <c r="J58" s="6">
        <f>'SUB-5'!L58</f>
        <v>50</v>
      </c>
      <c r="K58" s="6">
        <f>'SUB-6'!H59</f>
        <v>23</v>
      </c>
      <c r="L58" s="6">
        <f>'SUB-7'!H59</f>
        <v>80</v>
      </c>
      <c r="M58" s="6">
        <f>'SUB-8'!H59</f>
        <v>38</v>
      </c>
      <c r="N58" s="6">
        <f>'SUB-9'!H60</f>
        <v>69</v>
      </c>
      <c r="O58" s="6">
        <f>'SUB-10'!H59</f>
        <v>72</v>
      </c>
      <c r="P58" s="6">
        <f>'SUB- NEC'!G59</f>
        <v>4</v>
      </c>
      <c r="Q58" s="6">
        <f t="shared" si="2"/>
        <v>540</v>
      </c>
      <c r="R58" s="6">
        <f t="shared" si="0"/>
        <v>54</v>
      </c>
      <c r="S58" s="6">
        <f>('SUB-1'!M58)+('SUB- 2'!L58)+('SUB-3'!M58)+('SUB-4'!M58)+('SUB-5'!M58)+('SUB-6'!J59)+('SUB-7'!J59)+('SUB-8'!J59)+('SUB-9'!J60)+('SUB-10'!J59)+('SUB- NEC'!J59)</f>
        <v>11</v>
      </c>
      <c r="T58" s="6" t="str">
        <f t="shared" si="1"/>
        <v>PASS</v>
      </c>
    </row>
    <row r="59" spans="4:20" x14ac:dyDescent="0.35">
      <c r="D59" s="6">
        <f>'SUB-1'!D59</f>
        <v>45</v>
      </c>
      <c r="E59" s="6" t="str">
        <f>'SUB-1'!E59</f>
        <v>BTMC24O1045</v>
      </c>
      <c r="F59" s="6">
        <f>'SUB-1'!L59</f>
        <v>51</v>
      </c>
      <c r="G59" s="6">
        <f>'SUB- 2'!K59</f>
        <v>38</v>
      </c>
      <c r="H59" s="6">
        <f>'SUB-3'!L59</f>
        <v>57</v>
      </c>
      <c r="I59" s="6">
        <f>'SUB-4'!L59</f>
        <v>70</v>
      </c>
      <c r="J59" s="6">
        <f>'SUB-5'!L59</f>
        <v>62</v>
      </c>
      <c r="K59" s="6">
        <f>'SUB-6'!H60</f>
        <v>49</v>
      </c>
      <c r="L59" s="6">
        <f>'SUB-7'!H60</f>
        <v>33</v>
      </c>
      <c r="M59" s="6">
        <f>'SUB-8'!H60</f>
        <v>6</v>
      </c>
      <c r="N59" s="6">
        <f>'SUB-9'!H61</f>
        <v>27</v>
      </c>
      <c r="O59" s="6">
        <f>'SUB-10'!H60</f>
        <v>67</v>
      </c>
      <c r="P59" s="6">
        <f>'SUB- NEC'!G60</f>
        <v>7</v>
      </c>
      <c r="Q59" s="6">
        <f t="shared" si="2"/>
        <v>467</v>
      </c>
      <c r="R59" s="6">
        <f t="shared" si="0"/>
        <v>46.7</v>
      </c>
      <c r="S59" s="6">
        <f>('SUB-1'!M59)+('SUB- 2'!L59)+('SUB-3'!M59)+('SUB-4'!M59)+('SUB-5'!M59)+('SUB-6'!J60)+('SUB-7'!J60)+('SUB-8'!J60)+('SUB-9'!J61)+('SUB-10'!J60)+('SUB- NEC'!J60)</f>
        <v>11</v>
      </c>
      <c r="T59" s="6" t="str">
        <f t="shared" si="1"/>
        <v>PASS</v>
      </c>
    </row>
    <row r="60" spans="4:20" x14ac:dyDescent="0.35">
      <c r="D60" s="6">
        <f>'SUB-1'!D60</f>
        <v>46</v>
      </c>
      <c r="E60" s="6" t="str">
        <f>'SUB-1'!E60</f>
        <v>BTMC24O1046</v>
      </c>
      <c r="F60" s="6">
        <f>'SUB-1'!L60</f>
        <v>34</v>
      </c>
      <c r="G60" s="6">
        <f>'SUB- 2'!K60</f>
        <v>48</v>
      </c>
      <c r="H60" s="6">
        <f>'SUB-3'!L60</f>
        <v>47</v>
      </c>
      <c r="I60" s="6">
        <f>'SUB-4'!L60</f>
        <v>67</v>
      </c>
      <c r="J60" s="6">
        <f>'SUB-5'!L60</f>
        <v>53</v>
      </c>
      <c r="K60" s="6">
        <f>'SUB-6'!H61</f>
        <v>76</v>
      </c>
      <c r="L60" s="6">
        <f>'SUB-7'!H61</f>
        <v>80</v>
      </c>
      <c r="M60" s="6">
        <f>'SUB-8'!H61</f>
        <v>36</v>
      </c>
      <c r="N60" s="6">
        <f>'SUB-9'!H62</f>
        <v>45</v>
      </c>
      <c r="O60" s="6">
        <f>'SUB-10'!H61</f>
        <v>64</v>
      </c>
      <c r="P60" s="6">
        <f>'SUB- NEC'!G61</f>
        <v>37</v>
      </c>
      <c r="Q60" s="6">
        <f t="shared" si="2"/>
        <v>587</v>
      </c>
      <c r="R60" s="6">
        <f t="shared" si="0"/>
        <v>58.699999999999996</v>
      </c>
      <c r="S60" s="6">
        <f>('SUB-1'!M60)+('SUB- 2'!L60)+('SUB-3'!M60)+('SUB-4'!M60)+('SUB-5'!M60)+('SUB-6'!J61)+('SUB-7'!J61)+('SUB-8'!J61)+('SUB-9'!J62)+('SUB-10'!J61)+('SUB- NEC'!J61)</f>
        <v>12</v>
      </c>
      <c r="T60" s="6" t="str">
        <f t="shared" si="1"/>
        <v>PASS</v>
      </c>
    </row>
    <row r="61" spans="4:20" x14ac:dyDescent="0.35">
      <c r="D61" s="6">
        <f>'SUB-1'!D61</f>
        <v>47</v>
      </c>
      <c r="E61" s="6" t="str">
        <f>'SUB-1'!E61</f>
        <v>BTMC24O1047</v>
      </c>
      <c r="F61" s="6">
        <f>'SUB-1'!L61</f>
        <v>27</v>
      </c>
      <c r="G61" s="6">
        <f>'SUB- 2'!K61</f>
        <v>51</v>
      </c>
      <c r="H61" s="6">
        <f>'SUB-3'!L61</f>
        <v>53</v>
      </c>
      <c r="I61" s="6">
        <f>'SUB-4'!L61</f>
        <v>49</v>
      </c>
      <c r="J61" s="6">
        <f>'SUB-5'!L61</f>
        <v>42</v>
      </c>
      <c r="K61" s="6">
        <f>'SUB-6'!H62</f>
        <v>91</v>
      </c>
      <c r="L61" s="6">
        <f>'SUB-7'!H62</f>
        <v>21</v>
      </c>
      <c r="M61" s="6">
        <f>'SUB-8'!H62</f>
        <v>41</v>
      </c>
      <c r="N61" s="6">
        <f>'SUB-9'!H63</f>
        <v>51</v>
      </c>
      <c r="O61" s="6">
        <f>'SUB-10'!H62</f>
        <v>29</v>
      </c>
      <c r="P61" s="6">
        <f>'SUB- NEC'!G62</f>
        <v>18</v>
      </c>
      <c r="Q61" s="6">
        <f t="shared" si="2"/>
        <v>473</v>
      </c>
      <c r="R61" s="6">
        <f t="shared" si="0"/>
        <v>47.3</v>
      </c>
      <c r="S61" s="6">
        <f>('SUB-1'!M61)+('SUB- 2'!L61)+('SUB-3'!M61)+('SUB-4'!M61)+('SUB-5'!M61)+('SUB-6'!J62)+('SUB-7'!J62)+('SUB-8'!J62)+('SUB-9'!J63)+('SUB-10'!J62)+('SUB- NEC'!J62)</f>
        <v>10</v>
      </c>
      <c r="T61" s="6" t="str">
        <f t="shared" si="1"/>
        <v>PASS</v>
      </c>
    </row>
    <row r="62" spans="4:20" x14ac:dyDescent="0.35">
      <c r="D62" s="6">
        <f>'SUB-1'!D62</f>
        <v>48</v>
      </c>
      <c r="E62" s="6" t="str">
        <f>'SUB-1'!E62</f>
        <v>BTMC24O1048</v>
      </c>
      <c r="F62" s="6">
        <f>'SUB-1'!L62</f>
        <v>58</v>
      </c>
      <c r="G62" s="6">
        <f>'SUB- 2'!K62</f>
        <v>53</v>
      </c>
      <c r="H62" s="6">
        <f>'SUB-3'!L62</f>
        <v>54</v>
      </c>
      <c r="I62" s="6">
        <f>'SUB-4'!L62</f>
        <v>19</v>
      </c>
      <c r="J62" s="6">
        <f>'SUB-5'!L62</f>
        <v>33</v>
      </c>
      <c r="K62" s="6">
        <f>'SUB-6'!H63</f>
        <v>93</v>
      </c>
      <c r="L62" s="6">
        <f>'SUB-7'!H63</f>
        <v>43</v>
      </c>
      <c r="M62" s="6">
        <f>'SUB-8'!H63</f>
        <v>30</v>
      </c>
      <c r="N62" s="6">
        <f>'SUB-9'!H64</f>
        <v>71</v>
      </c>
      <c r="O62" s="6">
        <f>'SUB-10'!H63</f>
        <v>24</v>
      </c>
      <c r="P62" s="6">
        <f>'SUB- NEC'!G63</f>
        <v>48</v>
      </c>
      <c r="Q62" s="6">
        <f t="shared" si="2"/>
        <v>526</v>
      </c>
      <c r="R62" s="6">
        <f t="shared" si="0"/>
        <v>52.6</v>
      </c>
      <c r="S62" s="6">
        <f>('SUB-1'!M62)+('SUB- 2'!L62)+('SUB-3'!M62)+('SUB-4'!M62)+('SUB-5'!M62)+('SUB-6'!J63)+('SUB-7'!J63)+('SUB-8'!J63)+('SUB-9'!J64)+('SUB-10'!J63)+('SUB- NEC'!J63)</f>
        <v>11</v>
      </c>
      <c r="T62" s="6" t="str">
        <f t="shared" si="1"/>
        <v>PASS</v>
      </c>
    </row>
    <row r="63" spans="4:20" x14ac:dyDescent="0.35">
      <c r="D63" s="6">
        <f>'SUB-1'!D63</f>
        <v>49</v>
      </c>
      <c r="E63" s="6" t="str">
        <f>'SUB-1'!E63</f>
        <v>BTMC24O1049</v>
      </c>
      <c r="F63" s="6">
        <f>'SUB-1'!L63</f>
        <v>47</v>
      </c>
      <c r="G63" s="6">
        <f>'SUB- 2'!K63</f>
        <v>24</v>
      </c>
      <c r="H63" s="6">
        <f>'SUB-3'!L63</f>
        <v>62</v>
      </c>
      <c r="I63" s="6">
        <f>'SUB-4'!L63</f>
        <v>59</v>
      </c>
      <c r="J63" s="6">
        <f>'SUB-5'!L63</f>
        <v>66</v>
      </c>
      <c r="K63" s="6">
        <f>'SUB-6'!H64</f>
        <v>8</v>
      </c>
      <c r="L63" s="6">
        <f>'SUB-7'!H64</f>
        <v>46</v>
      </c>
      <c r="M63" s="6">
        <f>'SUB-8'!H64</f>
        <v>45</v>
      </c>
      <c r="N63" s="6">
        <f>'SUB-9'!H65</f>
        <v>88</v>
      </c>
      <c r="O63" s="6">
        <f>'SUB-10'!H64</f>
        <v>40</v>
      </c>
      <c r="P63" s="6">
        <f>'SUB- NEC'!G64</f>
        <v>28</v>
      </c>
      <c r="Q63" s="6">
        <f t="shared" si="2"/>
        <v>513</v>
      </c>
      <c r="R63" s="6">
        <f t="shared" si="0"/>
        <v>51.300000000000004</v>
      </c>
      <c r="S63" s="6">
        <f>('SUB-1'!M63)+('SUB- 2'!L63)+('SUB-3'!M63)+('SUB-4'!M63)+('SUB-5'!M63)+('SUB-6'!J64)+('SUB-7'!J64)+('SUB-8'!J64)+('SUB-9'!J65)+('SUB-10'!J64)+('SUB- NEC'!J64)</f>
        <v>12</v>
      </c>
      <c r="T63" s="6" t="str">
        <f t="shared" si="1"/>
        <v>PASS</v>
      </c>
    </row>
    <row r="64" spans="4:20" x14ac:dyDescent="0.35">
      <c r="D64" s="6">
        <f>'SUB-1'!D64</f>
        <v>50</v>
      </c>
      <c r="E64" s="6" t="str">
        <f>'SUB-1'!E64</f>
        <v>BTMC24O1050</v>
      </c>
      <c r="F64" s="6">
        <f>'SUB-1'!L64</f>
        <v>44</v>
      </c>
      <c r="G64" s="6">
        <f>'SUB- 2'!K64</f>
        <v>64</v>
      </c>
      <c r="H64" s="6">
        <f>'SUB-3'!L64</f>
        <v>42</v>
      </c>
      <c r="I64" s="6">
        <f>'SUB-4'!L64</f>
        <v>56</v>
      </c>
      <c r="J64" s="6">
        <f>'SUB-5'!L64</f>
        <v>53</v>
      </c>
      <c r="K64" s="6">
        <f>'SUB-6'!H65</f>
        <v>55</v>
      </c>
      <c r="L64" s="6">
        <f>'SUB-7'!H65</f>
        <v>20</v>
      </c>
      <c r="M64" s="6">
        <f>'SUB-8'!H65</f>
        <v>6</v>
      </c>
      <c r="N64" s="6">
        <f>'SUB-9'!H66</f>
        <v>27</v>
      </c>
      <c r="O64" s="6">
        <f>'SUB-10'!H65</f>
        <v>55</v>
      </c>
      <c r="P64" s="6">
        <f>'SUB- NEC'!G65</f>
        <v>26</v>
      </c>
      <c r="Q64" s="6">
        <f t="shared" si="2"/>
        <v>448</v>
      </c>
      <c r="R64" s="6">
        <f t="shared" si="0"/>
        <v>44.800000000000004</v>
      </c>
      <c r="S64" s="6">
        <f>('SUB-1'!M64)+('SUB- 2'!L64)+('SUB-3'!M64)+('SUB-4'!M64)+('SUB-5'!M64)+('SUB-6'!J65)+('SUB-7'!J65)+('SUB-8'!J65)+('SUB-9'!J66)+('SUB-10'!J65)+('SUB- NEC'!J65)</f>
        <v>11</v>
      </c>
      <c r="T64" s="6" t="str">
        <f t="shared" si="1"/>
        <v>PASS</v>
      </c>
    </row>
    <row r="65" spans="4:20" x14ac:dyDescent="0.35">
      <c r="D65" s="6">
        <f>'SUB-1'!D65</f>
        <v>51</v>
      </c>
      <c r="E65" s="6" t="str">
        <f>'SUB-1'!E65</f>
        <v>BTMC24O1051</v>
      </c>
      <c r="F65" s="6">
        <f>'SUB-1'!L65</f>
        <v>53</v>
      </c>
      <c r="G65" s="6">
        <f>'SUB- 2'!K65</f>
        <v>47</v>
      </c>
      <c r="H65" s="6">
        <f>'SUB-3'!L65</f>
        <v>59</v>
      </c>
      <c r="I65" s="6">
        <f>'SUB-4'!L65</f>
        <v>70</v>
      </c>
      <c r="J65" s="6">
        <f>'SUB-5'!L65</f>
        <v>31</v>
      </c>
      <c r="K65" s="6">
        <f>'SUB-6'!H66</f>
        <v>53</v>
      </c>
      <c r="L65" s="6">
        <f>'SUB-7'!H66</f>
        <v>73</v>
      </c>
      <c r="M65" s="6">
        <f>'SUB-8'!H66</f>
        <v>35</v>
      </c>
      <c r="N65" s="6">
        <f>'SUB-9'!H67</f>
        <v>9</v>
      </c>
      <c r="O65" s="6">
        <f>'SUB-10'!H66</f>
        <v>29</v>
      </c>
      <c r="P65" s="6">
        <f>'SUB- NEC'!G66</f>
        <v>20</v>
      </c>
      <c r="Q65" s="6">
        <f t="shared" si="2"/>
        <v>479</v>
      </c>
      <c r="R65" s="6">
        <f t="shared" si="0"/>
        <v>47.9</v>
      </c>
      <c r="S65" s="6">
        <f>('SUB-1'!M65)+('SUB- 2'!L65)+('SUB-3'!M65)+('SUB-4'!M65)+('SUB-5'!M65)+('SUB-6'!J66)+('SUB-7'!J66)+('SUB-8'!J66)+('SUB-9'!J67)+('SUB-10'!J66)+('SUB- NEC'!J66)</f>
        <v>11</v>
      </c>
      <c r="T65" s="6" t="str">
        <f t="shared" si="1"/>
        <v>PASS</v>
      </c>
    </row>
    <row r="66" spans="4:20" x14ac:dyDescent="0.35">
      <c r="D66" s="6">
        <f>'SUB-1'!D66</f>
        <v>52</v>
      </c>
      <c r="E66" s="6" t="str">
        <f>'SUB-1'!E66</f>
        <v>BTMC24O1052</v>
      </c>
      <c r="F66" s="6">
        <f>'SUB-1'!L66</f>
        <v>62</v>
      </c>
      <c r="G66" s="6">
        <f>'SUB- 2'!K66</f>
        <v>55</v>
      </c>
      <c r="H66" s="6">
        <f>'SUB-3'!L66</f>
        <v>26</v>
      </c>
      <c r="I66" s="6">
        <f>'SUB-4'!L66</f>
        <v>46</v>
      </c>
      <c r="J66" s="6">
        <f>'SUB-5'!L66</f>
        <v>61</v>
      </c>
      <c r="K66" s="6">
        <f>'SUB-6'!H67</f>
        <v>45</v>
      </c>
      <c r="L66" s="6">
        <f>'SUB-7'!H67</f>
        <v>57</v>
      </c>
      <c r="M66" s="6">
        <f>'SUB-8'!H67</f>
        <v>0</v>
      </c>
      <c r="N66" s="6">
        <f>'SUB-9'!H68</f>
        <v>6</v>
      </c>
      <c r="O66" s="6">
        <f>'SUB-10'!H67</f>
        <v>26</v>
      </c>
      <c r="P66" s="6">
        <f>'SUB- NEC'!G67</f>
        <v>30</v>
      </c>
      <c r="Q66" s="6">
        <f t="shared" si="2"/>
        <v>414</v>
      </c>
      <c r="R66" s="6">
        <f t="shared" si="0"/>
        <v>41.4</v>
      </c>
      <c r="S66" s="6">
        <f>('SUB-1'!M66)+('SUB- 2'!L66)+('SUB-3'!M66)+('SUB-4'!M66)+('SUB-5'!M66)+('SUB-6'!J67)+('SUB-7'!J67)+('SUB-8'!J67)+('SUB-9'!J68)+('SUB-10'!J67)+('SUB- NEC'!J67)</f>
        <v>10</v>
      </c>
      <c r="T66" s="6" t="str">
        <f t="shared" si="1"/>
        <v>PASS</v>
      </c>
    </row>
    <row r="67" spans="4:20" x14ac:dyDescent="0.35">
      <c r="D67" s="6">
        <f>'SUB-1'!D67</f>
        <v>53</v>
      </c>
      <c r="E67" s="6" t="str">
        <f>'SUB-1'!E67</f>
        <v>BTMC24O1053</v>
      </c>
      <c r="F67" s="6">
        <f>'SUB-1'!L67</f>
        <v>40</v>
      </c>
      <c r="G67" s="6">
        <f>'SUB- 2'!K67</f>
        <v>66</v>
      </c>
      <c r="H67" s="6">
        <f>'SUB-3'!L67</f>
        <v>42</v>
      </c>
      <c r="I67" s="6">
        <f>'SUB-4'!L67</f>
        <v>43</v>
      </c>
      <c r="J67" s="6">
        <f>'SUB-5'!L67</f>
        <v>74</v>
      </c>
      <c r="K67" s="6">
        <f>'SUB-6'!H68</f>
        <v>22</v>
      </c>
      <c r="L67" s="6">
        <f>'SUB-7'!H68</f>
        <v>20</v>
      </c>
      <c r="M67" s="6">
        <f>'SUB-8'!H68</f>
        <v>11</v>
      </c>
      <c r="N67" s="6">
        <f>'SUB-9'!H69</f>
        <v>62</v>
      </c>
      <c r="O67" s="6">
        <f>'SUB-10'!H68</f>
        <v>49</v>
      </c>
      <c r="P67" s="6">
        <f>'SUB- NEC'!G68</f>
        <v>19</v>
      </c>
      <c r="Q67" s="6">
        <f t="shared" si="2"/>
        <v>448</v>
      </c>
      <c r="R67" s="6">
        <f t="shared" si="0"/>
        <v>44.800000000000004</v>
      </c>
      <c r="S67" s="6">
        <f>('SUB-1'!M67)+('SUB- 2'!L67)+('SUB-3'!M67)+('SUB-4'!M67)+('SUB-5'!M67)+('SUB-6'!J68)+('SUB-7'!J68)+('SUB-8'!J68)+('SUB-9'!J69)+('SUB-10'!J68)+('SUB- NEC'!J68)</f>
        <v>10</v>
      </c>
      <c r="T67" s="6" t="str">
        <f t="shared" si="1"/>
        <v>PASS</v>
      </c>
    </row>
    <row r="68" spans="4:20" x14ac:dyDescent="0.35">
      <c r="D68" s="6">
        <f>'SUB-1'!D68</f>
        <v>54</v>
      </c>
      <c r="E68" s="6" t="str">
        <f>'SUB-1'!E68</f>
        <v>BTMC24O1054</v>
      </c>
      <c r="F68" s="6">
        <f>'SUB-1'!L68</f>
        <v>44</v>
      </c>
      <c r="G68" s="6">
        <f>'SUB- 2'!K68</f>
        <v>45</v>
      </c>
      <c r="H68" s="6">
        <f>'SUB-3'!L68</f>
        <v>54</v>
      </c>
      <c r="I68" s="6">
        <f>'SUB-4'!L68</f>
        <v>40</v>
      </c>
      <c r="J68" s="6">
        <f>'SUB-5'!L68</f>
        <v>33</v>
      </c>
      <c r="K68" s="6">
        <f>'SUB-6'!H69</f>
        <v>36</v>
      </c>
      <c r="L68" s="6">
        <f>'SUB-7'!H69</f>
        <v>66</v>
      </c>
      <c r="M68" s="6">
        <f>'SUB-8'!H69</f>
        <v>7</v>
      </c>
      <c r="N68" s="6">
        <f>'SUB-9'!H70</f>
        <v>45</v>
      </c>
      <c r="O68" s="6">
        <f>'SUB-10'!H69</f>
        <v>28</v>
      </c>
      <c r="P68" s="6">
        <f>'SUB- NEC'!G69</f>
        <v>33</v>
      </c>
      <c r="Q68" s="6">
        <f t="shared" si="2"/>
        <v>431</v>
      </c>
      <c r="R68" s="6">
        <f t="shared" si="0"/>
        <v>43.1</v>
      </c>
      <c r="S68" s="6">
        <f>('SUB-1'!M68)+('SUB- 2'!L68)+('SUB-3'!M68)+('SUB-4'!M68)+('SUB-5'!M68)+('SUB-6'!J69)+('SUB-7'!J69)+('SUB-8'!J69)+('SUB-9'!J70)+('SUB-10'!J69)+('SUB- NEC'!J69)</f>
        <v>9</v>
      </c>
      <c r="T68" s="6" t="str">
        <f t="shared" si="1"/>
        <v>PASS</v>
      </c>
    </row>
    <row r="69" spans="4:20" x14ac:dyDescent="0.35">
      <c r="D69" s="6">
        <f>'SUB-1'!D69</f>
        <v>55</v>
      </c>
      <c r="E69" s="6" t="str">
        <f>'SUB-1'!E69</f>
        <v>BTMC24O1055</v>
      </c>
      <c r="F69" s="6">
        <f>'SUB-1'!L69</f>
        <v>79</v>
      </c>
      <c r="G69" s="6">
        <f>'SUB- 2'!K69</f>
        <v>37</v>
      </c>
      <c r="H69" s="6">
        <f>'SUB-3'!L69</f>
        <v>66</v>
      </c>
      <c r="I69" s="6">
        <f>'SUB-4'!L69</f>
        <v>44</v>
      </c>
      <c r="J69" s="6">
        <f>'SUB-5'!L69</f>
        <v>50</v>
      </c>
      <c r="K69" s="6">
        <f>'SUB-6'!H70</f>
        <v>80</v>
      </c>
      <c r="L69" s="6">
        <f>'SUB-7'!H70</f>
        <v>15</v>
      </c>
      <c r="M69" s="6">
        <f>'SUB-8'!H70</f>
        <v>27</v>
      </c>
      <c r="N69" s="6">
        <f>'SUB-9'!H71</f>
        <v>68</v>
      </c>
      <c r="O69" s="6">
        <f>'SUB-10'!H70</f>
        <v>31</v>
      </c>
      <c r="P69" s="6">
        <f>'SUB- NEC'!G70</f>
        <v>2</v>
      </c>
      <c r="Q69" s="6">
        <f t="shared" si="2"/>
        <v>499</v>
      </c>
      <c r="R69" s="6">
        <f t="shared" si="0"/>
        <v>49.9</v>
      </c>
      <c r="S69" s="6">
        <f>('SUB-1'!M69)+('SUB- 2'!L69)+('SUB-3'!M69)+('SUB-4'!M69)+('SUB-5'!M69)+('SUB-6'!J70)+('SUB-7'!J70)+('SUB-8'!J70)+('SUB-9'!J71)+('SUB-10'!J70)+('SUB- NEC'!J70)</f>
        <v>11</v>
      </c>
      <c r="T69" s="6" t="str">
        <f t="shared" si="1"/>
        <v>PASS</v>
      </c>
    </row>
    <row r="70" spans="4:20" x14ac:dyDescent="0.35">
      <c r="D70" s="6">
        <f>'SUB-1'!D70</f>
        <v>56</v>
      </c>
      <c r="E70" s="6" t="str">
        <f>'SUB-1'!E70</f>
        <v>BTMC24O1056</v>
      </c>
      <c r="F70" s="6">
        <f>'SUB-1'!L70</f>
        <v>68</v>
      </c>
      <c r="G70" s="6">
        <f>'SUB- 2'!K70</f>
        <v>27</v>
      </c>
      <c r="H70" s="6">
        <f>'SUB-3'!L70</f>
        <v>69</v>
      </c>
      <c r="I70" s="6">
        <f>'SUB-4'!L70</f>
        <v>30</v>
      </c>
      <c r="J70" s="6">
        <f>'SUB-5'!L70</f>
        <v>81</v>
      </c>
      <c r="K70" s="6">
        <f>'SUB-6'!H71</f>
        <v>69</v>
      </c>
      <c r="L70" s="6">
        <f>'SUB-7'!H71</f>
        <v>71</v>
      </c>
      <c r="M70" s="6">
        <f>'SUB-8'!H71</f>
        <v>30</v>
      </c>
      <c r="N70" s="6">
        <f>'SUB-9'!H72</f>
        <v>39</v>
      </c>
      <c r="O70" s="6">
        <f>'SUB-10'!H71</f>
        <v>21</v>
      </c>
      <c r="P70" s="6">
        <f>'SUB- NEC'!G71</f>
        <v>47</v>
      </c>
      <c r="Q70" s="6">
        <f t="shared" si="2"/>
        <v>552</v>
      </c>
      <c r="R70" s="6">
        <f t="shared" si="0"/>
        <v>55.2</v>
      </c>
      <c r="S70" s="6">
        <f>('SUB-1'!M70)+('SUB- 2'!L70)+('SUB-3'!M70)+('SUB-4'!M70)+('SUB-5'!M70)+('SUB-6'!J71)+('SUB-7'!J71)+('SUB-8'!J71)+('SUB-9'!J72)+('SUB-10'!J71)+('SUB- NEC'!J71)</f>
        <v>12</v>
      </c>
      <c r="T70" s="6" t="str">
        <f t="shared" si="1"/>
        <v>PASS</v>
      </c>
    </row>
    <row r="71" spans="4:20" x14ac:dyDescent="0.35">
      <c r="D71" s="6">
        <f>'SUB-1'!D71</f>
        <v>57</v>
      </c>
      <c r="E71" s="6" t="str">
        <f>'SUB-1'!E71</f>
        <v>BTMC24O1057</v>
      </c>
      <c r="F71" s="6">
        <f>'SUB-1'!L71</f>
        <v>57</v>
      </c>
      <c r="G71" s="6">
        <f>'SUB- 2'!K71</f>
        <v>43</v>
      </c>
      <c r="H71" s="6">
        <f>'SUB-3'!L71</f>
        <v>43</v>
      </c>
      <c r="I71" s="6">
        <f>'SUB-4'!L71</f>
        <v>47</v>
      </c>
      <c r="J71" s="6">
        <f>'SUB-5'!L71</f>
        <v>16</v>
      </c>
      <c r="K71" s="6">
        <f>'SUB-6'!H72</f>
        <v>70</v>
      </c>
      <c r="L71" s="6">
        <f>'SUB-7'!H72</f>
        <v>79</v>
      </c>
      <c r="M71" s="6">
        <f>'SUB-8'!H72</f>
        <v>6</v>
      </c>
      <c r="N71" s="6">
        <f>'SUB-9'!H73</f>
        <v>16</v>
      </c>
      <c r="O71" s="6">
        <f>'SUB-10'!H72</f>
        <v>57</v>
      </c>
      <c r="P71" s="6">
        <f>'SUB- NEC'!G72</f>
        <v>23</v>
      </c>
      <c r="Q71" s="6">
        <f t="shared" si="2"/>
        <v>457</v>
      </c>
      <c r="R71" s="6">
        <f t="shared" si="0"/>
        <v>45.7</v>
      </c>
      <c r="S71" s="6">
        <f>('SUB-1'!M71)+('SUB- 2'!L71)+('SUB-3'!M71)+('SUB-4'!M71)+('SUB-5'!M71)+('SUB-6'!J72)+('SUB-7'!J72)+('SUB-8'!J72)+('SUB-9'!J73)+('SUB-10'!J72)+('SUB- NEC'!J72)</f>
        <v>9</v>
      </c>
      <c r="T71" s="6" t="str">
        <f t="shared" si="1"/>
        <v>PASS</v>
      </c>
    </row>
    <row r="72" spans="4:20" x14ac:dyDescent="0.35">
      <c r="D72" s="6">
        <f>'SUB-1'!D72</f>
        <v>58</v>
      </c>
      <c r="E72" s="6" t="str">
        <f>'SUB-1'!E72</f>
        <v>BTMC24O1058</v>
      </c>
      <c r="F72" s="6">
        <f>'SUB-1'!L72</f>
        <v>65</v>
      </c>
      <c r="G72" s="6">
        <f>'SUB- 2'!K72</f>
        <v>53</v>
      </c>
      <c r="H72" s="6">
        <f>'SUB-3'!L72</f>
        <v>44</v>
      </c>
      <c r="I72" s="6">
        <f>'SUB-4'!L72</f>
        <v>71</v>
      </c>
      <c r="J72" s="6">
        <f>'SUB-5'!L72</f>
        <v>61</v>
      </c>
      <c r="K72" s="6">
        <f>'SUB-6'!H73</f>
        <v>56</v>
      </c>
      <c r="L72" s="6">
        <f>'SUB-7'!H73</f>
        <v>13</v>
      </c>
      <c r="M72" s="6">
        <f>'SUB-8'!H73</f>
        <v>25</v>
      </c>
      <c r="N72" s="6">
        <f>'SUB-9'!H74</f>
        <v>67</v>
      </c>
      <c r="O72" s="6">
        <f>'SUB-10'!H73</f>
        <v>81</v>
      </c>
      <c r="P72" s="6">
        <f>'SUB- NEC'!G73</f>
        <v>4</v>
      </c>
      <c r="Q72" s="6">
        <f t="shared" si="2"/>
        <v>540</v>
      </c>
      <c r="R72" s="6">
        <f t="shared" si="0"/>
        <v>54</v>
      </c>
      <c r="S72" s="6">
        <f>('SUB-1'!M72)+('SUB- 2'!L72)+('SUB-3'!M72)+('SUB-4'!M72)+('SUB-5'!M72)+('SUB-6'!J73)+('SUB-7'!J73)+('SUB-8'!J73)+('SUB-9'!J74)+('SUB-10'!J73)+('SUB- NEC'!J73)</f>
        <v>13</v>
      </c>
      <c r="T72" s="6" t="str">
        <f t="shared" si="1"/>
        <v>PASS</v>
      </c>
    </row>
    <row r="73" spans="4:20" x14ac:dyDescent="0.35">
      <c r="D73" s="6">
        <f>'SUB-1'!D73</f>
        <v>59</v>
      </c>
      <c r="E73" s="6" t="str">
        <f>'SUB-1'!E73</f>
        <v>BTMC24O1059</v>
      </c>
      <c r="F73" s="6">
        <f>'SUB-1'!L73</f>
        <v>55</v>
      </c>
      <c r="G73" s="6">
        <f>'SUB- 2'!K73</f>
        <v>52</v>
      </c>
      <c r="H73" s="6">
        <f>'SUB-3'!L73</f>
        <v>27</v>
      </c>
      <c r="I73" s="6">
        <f>'SUB-4'!L73</f>
        <v>57</v>
      </c>
      <c r="J73" s="6">
        <f>'SUB-5'!L73</f>
        <v>57</v>
      </c>
      <c r="K73" s="6">
        <f>'SUB-6'!H74</f>
        <v>5</v>
      </c>
      <c r="L73" s="6">
        <f>'SUB-7'!H74</f>
        <v>69</v>
      </c>
      <c r="M73" s="6">
        <f>'SUB-8'!H74</f>
        <v>29</v>
      </c>
      <c r="N73" s="6">
        <f>'SUB-9'!H75</f>
        <v>47</v>
      </c>
      <c r="O73" s="6">
        <f>'SUB-10'!H74</f>
        <v>58</v>
      </c>
      <c r="P73" s="6">
        <f>'SUB- NEC'!G74</f>
        <v>15</v>
      </c>
      <c r="Q73" s="6">
        <f t="shared" si="2"/>
        <v>471</v>
      </c>
      <c r="R73" s="6">
        <f t="shared" si="0"/>
        <v>47.099999999999994</v>
      </c>
      <c r="S73" s="6">
        <f>('SUB-1'!M73)+('SUB- 2'!L73)+('SUB-3'!M73)+('SUB-4'!M73)+('SUB-5'!M73)+('SUB-6'!J74)+('SUB-7'!J74)+('SUB-8'!J74)+('SUB-9'!J75)+('SUB-10'!J74)+('SUB- NEC'!J74)</f>
        <v>12</v>
      </c>
      <c r="T73" s="6" t="str">
        <f t="shared" si="1"/>
        <v>PASS</v>
      </c>
    </row>
    <row r="74" spans="4:20" x14ac:dyDescent="0.35">
      <c r="D74" s="6">
        <f>'SUB-1'!D74</f>
        <v>60</v>
      </c>
      <c r="E74" s="6" t="str">
        <f>'SUB-1'!E74</f>
        <v>BTMC24O1060</v>
      </c>
      <c r="F74" s="6">
        <f>'SUB-1'!L74</f>
        <v>50</v>
      </c>
      <c r="G74" s="6">
        <f>'SUB- 2'!K74</f>
        <v>53</v>
      </c>
      <c r="H74" s="6">
        <f>'SUB-3'!L74</f>
        <v>30</v>
      </c>
      <c r="I74" s="6">
        <f>'SUB-4'!L74</f>
        <v>54</v>
      </c>
      <c r="J74" s="6">
        <f>'SUB-5'!L74</f>
        <v>31</v>
      </c>
      <c r="K74" s="6">
        <f>'SUB-6'!H75</f>
        <v>60</v>
      </c>
      <c r="L74" s="6">
        <f>'SUB-7'!H75</f>
        <v>55</v>
      </c>
      <c r="M74" s="6">
        <f>'SUB-8'!H75</f>
        <v>32</v>
      </c>
      <c r="N74" s="6">
        <f>'SUB-9'!H76</f>
        <v>15</v>
      </c>
      <c r="O74" s="6">
        <f>'SUB-10'!H75</f>
        <v>60</v>
      </c>
      <c r="P74" s="6">
        <f>'SUB- NEC'!G75</f>
        <v>40</v>
      </c>
      <c r="Q74" s="6">
        <f t="shared" si="2"/>
        <v>480</v>
      </c>
      <c r="R74" s="6">
        <f t="shared" si="0"/>
        <v>48</v>
      </c>
      <c r="S74" s="6">
        <f>('SUB-1'!M74)+('SUB- 2'!L74)+('SUB-3'!M74)+('SUB-4'!M74)+('SUB-5'!M74)+('SUB-6'!J75)+('SUB-7'!J75)+('SUB-8'!J75)+('SUB-9'!J76)+('SUB-10'!J75)+('SUB- NEC'!J75)</f>
        <v>10</v>
      </c>
      <c r="T74" s="6" t="str">
        <f t="shared" si="1"/>
        <v>PASS</v>
      </c>
    </row>
    <row r="75" spans="4:20" x14ac:dyDescent="0.35">
      <c r="D75" s="6">
        <f>'SUB-1'!D75</f>
        <v>61</v>
      </c>
      <c r="E75" s="6" t="str">
        <f>'SUB-1'!E75</f>
        <v>BTMC24O1061</v>
      </c>
      <c r="F75" s="6">
        <f>'SUB-1'!L75</f>
        <v>44</v>
      </c>
      <c r="G75" s="6">
        <f>'SUB- 2'!K75</f>
        <v>64</v>
      </c>
      <c r="H75" s="6">
        <f>'SUB-3'!L75</f>
        <v>61</v>
      </c>
      <c r="I75" s="6">
        <f>'SUB-4'!L75</f>
        <v>37</v>
      </c>
      <c r="J75" s="6">
        <f>'SUB-5'!L75</f>
        <v>35</v>
      </c>
      <c r="K75" s="6">
        <f>'SUB-6'!H76</f>
        <v>59</v>
      </c>
      <c r="L75" s="6">
        <f>'SUB-7'!H76</f>
        <v>51</v>
      </c>
      <c r="M75" s="6">
        <f>'SUB-8'!H76</f>
        <v>32</v>
      </c>
      <c r="N75" s="6">
        <f>'SUB-9'!H77</f>
        <v>62</v>
      </c>
      <c r="O75" s="6">
        <f>'SUB-10'!H76</f>
        <v>73</v>
      </c>
      <c r="P75" s="6">
        <f>'SUB- NEC'!G76</f>
        <v>43</v>
      </c>
      <c r="Q75" s="6">
        <f t="shared" si="2"/>
        <v>561</v>
      </c>
      <c r="R75" s="6">
        <f t="shared" si="0"/>
        <v>56.100000000000009</v>
      </c>
      <c r="S75" s="6">
        <f>('SUB-1'!M75)+('SUB- 2'!L75)+('SUB-3'!M75)+('SUB-4'!M75)+('SUB-5'!M75)+('SUB-6'!J76)+('SUB-7'!J76)+('SUB-8'!J76)+('SUB-9'!J77)+('SUB-10'!J76)+('SUB- NEC'!J76)</f>
        <v>12</v>
      </c>
      <c r="T75" s="6" t="str">
        <f t="shared" si="1"/>
        <v>PASS</v>
      </c>
    </row>
    <row r="76" spans="4:20" x14ac:dyDescent="0.35">
      <c r="D76" s="6">
        <f>'SUB-1'!D76</f>
        <v>62</v>
      </c>
      <c r="E76" s="6" t="str">
        <f>'SUB-1'!E76</f>
        <v>BTMC24O1062</v>
      </c>
      <c r="F76" s="6">
        <f>'SUB-1'!L76</f>
        <v>18</v>
      </c>
      <c r="G76" s="6">
        <f>'SUB- 2'!K76</f>
        <v>35</v>
      </c>
      <c r="H76" s="6">
        <f>'SUB-3'!L76</f>
        <v>33</v>
      </c>
      <c r="I76" s="6">
        <f>'SUB-4'!L76</f>
        <v>49</v>
      </c>
      <c r="J76" s="6">
        <f>'SUB-5'!L76</f>
        <v>42</v>
      </c>
      <c r="K76" s="6">
        <f>'SUB-6'!H77</f>
        <v>67</v>
      </c>
      <c r="L76" s="6">
        <f>'SUB-7'!H77</f>
        <v>42</v>
      </c>
      <c r="M76" s="6">
        <f>'SUB-8'!H77</f>
        <v>8</v>
      </c>
      <c r="N76" s="6">
        <f>'SUB-9'!H78</f>
        <v>65</v>
      </c>
      <c r="O76" s="6">
        <f>'SUB-10'!H77</f>
        <v>22</v>
      </c>
      <c r="P76" s="6">
        <f>'SUB- NEC'!G77</f>
        <v>3</v>
      </c>
      <c r="Q76" s="6">
        <f t="shared" si="2"/>
        <v>384</v>
      </c>
      <c r="R76" s="6">
        <f t="shared" si="0"/>
        <v>38.4</v>
      </c>
      <c r="S76" s="6">
        <f>('SUB-1'!M76)+('SUB- 2'!L76)+('SUB-3'!M76)+('SUB-4'!M76)+('SUB-5'!M76)+('SUB-6'!J77)+('SUB-7'!J77)+('SUB-8'!J77)+('SUB-9'!J78)+('SUB-10'!J77)+('SUB- NEC'!J77)</f>
        <v>5</v>
      </c>
      <c r="T76" s="6" t="str">
        <f t="shared" si="1"/>
        <v>FAIL</v>
      </c>
    </row>
    <row r="77" spans="4:20" x14ac:dyDescent="0.35">
      <c r="D77" s="6">
        <f>'SUB-1'!D77</f>
        <v>63</v>
      </c>
      <c r="E77" s="6" t="str">
        <f>'SUB-1'!E77</f>
        <v>BTMC24O1063</v>
      </c>
      <c r="F77" s="6">
        <f>'SUB-1'!L77</f>
        <v>22</v>
      </c>
      <c r="G77" s="6">
        <f>'SUB- 2'!K77</f>
        <v>44</v>
      </c>
      <c r="H77" s="6">
        <f>'SUB-3'!L77</f>
        <v>40</v>
      </c>
      <c r="I77" s="6">
        <f>'SUB-4'!L77</f>
        <v>49</v>
      </c>
      <c r="J77" s="6">
        <f>'SUB-5'!L77</f>
        <v>30</v>
      </c>
      <c r="K77" s="6">
        <f>'SUB-6'!H78</f>
        <v>40</v>
      </c>
      <c r="L77" s="6">
        <f>'SUB-7'!H78</f>
        <v>73</v>
      </c>
      <c r="M77" s="6">
        <f>'SUB-8'!H78</f>
        <v>12</v>
      </c>
      <c r="N77" s="6">
        <f>'SUB-9'!H79</f>
        <v>50</v>
      </c>
      <c r="O77" s="6">
        <f>'SUB-10'!H78</f>
        <v>31</v>
      </c>
      <c r="P77" s="6">
        <f>'SUB- NEC'!G78</f>
        <v>19</v>
      </c>
      <c r="Q77" s="6">
        <f t="shared" si="2"/>
        <v>410</v>
      </c>
      <c r="R77" s="6">
        <f t="shared" si="0"/>
        <v>41</v>
      </c>
      <c r="S77" s="6">
        <f>('SUB-1'!M77)+('SUB- 2'!L77)+('SUB-3'!M77)+('SUB-4'!M77)+('SUB-5'!M77)+('SUB-6'!J78)+('SUB-7'!J78)+('SUB-8'!J78)+('SUB-9'!J79)+('SUB-10'!J78)+('SUB- NEC'!J78)</f>
        <v>7</v>
      </c>
      <c r="T77" s="6" t="str">
        <f t="shared" si="1"/>
        <v>PASS</v>
      </c>
    </row>
    <row r="78" spans="4:20" x14ac:dyDescent="0.35">
      <c r="D78" s="6">
        <f>'SUB-1'!D78</f>
        <v>64</v>
      </c>
      <c r="E78" s="6" t="str">
        <f>'SUB-1'!E78</f>
        <v>BTMC24O1064</v>
      </c>
      <c r="F78" s="6">
        <f>'SUB-1'!L78</f>
        <v>22</v>
      </c>
      <c r="G78" s="6">
        <f>'SUB- 2'!K78</f>
        <v>45</v>
      </c>
      <c r="H78" s="6">
        <f>'SUB-3'!L78</f>
        <v>17</v>
      </c>
      <c r="I78" s="6">
        <f>'SUB-4'!L78</f>
        <v>42</v>
      </c>
      <c r="J78" s="6">
        <f>'SUB-5'!L78</f>
        <v>42</v>
      </c>
      <c r="K78" s="6">
        <f>'SUB-6'!H79</f>
        <v>44</v>
      </c>
      <c r="L78" s="6">
        <f>'SUB-7'!H79</f>
        <v>77</v>
      </c>
      <c r="M78" s="6">
        <f>'SUB-8'!H79</f>
        <v>7</v>
      </c>
      <c r="N78" s="6">
        <f>'SUB-9'!H80</f>
        <v>83</v>
      </c>
      <c r="O78" s="6">
        <f>'SUB-10'!H79</f>
        <v>77</v>
      </c>
      <c r="P78" s="6">
        <f>'SUB- NEC'!G79</f>
        <v>14</v>
      </c>
      <c r="Q78" s="6">
        <f t="shared" si="2"/>
        <v>470</v>
      </c>
      <c r="R78" s="6">
        <f t="shared" si="0"/>
        <v>47</v>
      </c>
      <c r="S78" s="6">
        <f>('SUB-1'!M78)+('SUB- 2'!L78)+('SUB-3'!M78)+('SUB-4'!M78)+('SUB-5'!M78)+('SUB-6'!J79)+('SUB-7'!J79)+('SUB-8'!J79)+('SUB-9'!J80)+('SUB-10'!J79)+('SUB- NEC'!J79)</f>
        <v>7</v>
      </c>
      <c r="T78" s="6" t="str">
        <f t="shared" si="1"/>
        <v>PASS</v>
      </c>
    </row>
    <row r="79" spans="4:20" x14ac:dyDescent="0.35">
      <c r="D79" s="6">
        <f>'SUB-1'!D79</f>
        <v>65</v>
      </c>
      <c r="E79" s="6" t="str">
        <f>'SUB-1'!E79</f>
        <v>BTMC24O1065</v>
      </c>
      <c r="F79" s="6">
        <f>'SUB-1'!L79</f>
        <v>48</v>
      </c>
      <c r="G79" s="6">
        <f>'SUB- 2'!K79</f>
        <v>55</v>
      </c>
      <c r="H79" s="6">
        <f>'SUB-3'!L79</f>
        <v>45</v>
      </c>
      <c r="I79" s="6">
        <f>'SUB-4'!L79</f>
        <v>40</v>
      </c>
      <c r="J79" s="6">
        <f>'SUB-5'!L79</f>
        <v>46</v>
      </c>
      <c r="K79" s="6">
        <f>'SUB-6'!H80</f>
        <v>34</v>
      </c>
      <c r="L79" s="6">
        <f>'SUB-7'!H80</f>
        <v>80</v>
      </c>
      <c r="M79" s="6">
        <f>'SUB-8'!H80</f>
        <v>3</v>
      </c>
      <c r="N79" s="6">
        <f>'SUB-9'!H81</f>
        <v>12</v>
      </c>
      <c r="O79" s="6">
        <f>'SUB-10'!H80</f>
        <v>72</v>
      </c>
      <c r="P79" s="6">
        <f>'SUB- NEC'!G80</f>
        <v>0</v>
      </c>
      <c r="Q79" s="6">
        <f t="shared" si="2"/>
        <v>435</v>
      </c>
      <c r="R79" s="6">
        <f t="shared" si="0"/>
        <v>43.5</v>
      </c>
      <c r="S79" s="6">
        <f>('SUB-1'!M79)+('SUB- 2'!L79)+('SUB-3'!M79)+('SUB-4'!M79)+('SUB-5'!M79)+('SUB-6'!J80)+('SUB-7'!J80)+('SUB-8'!J80)+('SUB-9'!J81)+('SUB-10'!J80)+('SUB- NEC'!J80)</f>
        <v>8</v>
      </c>
      <c r="T79" s="6" t="str">
        <f t="shared" si="1"/>
        <v>PASS</v>
      </c>
    </row>
    <row r="80" spans="4:20" x14ac:dyDescent="0.35">
      <c r="D80" s="6">
        <f>'SUB-1'!D80</f>
        <v>66</v>
      </c>
      <c r="E80" s="6" t="str">
        <f>'SUB-1'!E80</f>
        <v>BTMC24O1066</v>
      </c>
      <c r="F80" s="6">
        <f>'SUB-1'!L80</f>
        <v>53</v>
      </c>
      <c r="G80" s="6">
        <f>'SUB- 2'!K80</f>
        <v>43</v>
      </c>
      <c r="H80" s="6">
        <f>'SUB-3'!L80</f>
        <v>45</v>
      </c>
      <c r="I80" s="6">
        <f>'SUB-4'!L80</f>
        <v>28</v>
      </c>
      <c r="J80" s="6">
        <f>'SUB-5'!L80</f>
        <v>50</v>
      </c>
      <c r="K80" s="6">
        <f>'SUB-6'!H81</f>
        <v>47</v>
      </c>
      <c r="L80" s="6">
        <f>'SUB-7'!H81</f>
        <v>29</v>
      </c>
      <c r="M80" s="6">
        <f>'SUB-8'!H81</f>
        <v>19</v>
      </c>
      <c r="N80" s="6">
        <f>'SUB-9'!H82</f>
        <v>44</v>
      </c>
      <c r="O80" s="6">
        <f>'SUB-10'!H81</f>
        <v>51</v>
      </c>
      <c r="P80" s="6">
        <f>'SUB- NEC'!G81</f>
        <v>31</v>
      </c>
      <c r="Q80" s="6">
        <f t="shared" si="2"/>
        <v>440</v>
      </c>
      <c r="R80" s="6">
        <f t="shared" ref="R80:R114" si="3">(Q80/1000)*100</f>
        <v>44</v>
      </c>
      <c r="S80" s="6">
        <f>('SUB-1'!M80)+('SUB- 2'!L80)+('SUB-3'!M80)+('SUB-4'!M80)+('SUB-5'!M80)+('SUB-6'!J81)+('SUB-7'!J81)+('SUB-8'!J81)+('SUB-9'!J82)+('SUB-10'!J81)+('SUB- NEC'!J81)</f>
        <v>10</v>
      </c>
      <c r="T80" s="6" t="str">
        <f t="shared" ref="T80:T114" si="4">IF(R80&lt;40,"FAIL","PASS")</f>
        <v>PASS</v>
      </c>
    </row>
    <row r="81" spans="4:20" x14ac:dyDescent="0.35">
      <c r="D81" s="6">
        <f>'SUB-1'!D81</f>
        <v>67</v>
      </c>
      <c r="E81" s="6" t="str">
        <f>'SUB-1'!E81</f>
        <v>BTMC24O1067</v>
      </c>
      <c r="F81" s="6">
        <f>'SUB-1'!L81</f>
        <v>44</v>
      </c>
      <c r="G81" s="6">
        <f>'SUB- 2'!K81</f>
        <v>48</v>
      </c>
      <c r="H81" s="6">
        <f>'SUB-3'!L81</f>
        <v>45</v>
      </c>
      <c r="I81" s="6">
        <f>'SUB-4'!L81</f>
        <v>39</v>
      </c>
      <c r="J81" s="6">
        <f>'SUB-5'!L81</f>
        <v>24</v>
      </c>
      <c r="K81" s="6">
        <f>'SUB-6'!H82</f>
        <v>8</v>
      </c>
      <c r="L81" s="6">
        <f>'SUB-7'!H82</f>
        <v>77</v>
      </c>
      <c r="M81" s="6">
        <f>'SUB-8'!H82</f>
        <v>29</v>
      </c>
      <c r="N81" s="6">
        <f>'SUB-9'!H83</f>
        <v>52</v>
      </c>
      <c r="O81" s="6">
        <f>'SUB-10'!H82</f>
        <v>33</v>
      </c>
      <c r="P81" s="6">
        <f>'SUB- NEC'!G82</f>
        <v>20</v>
      </c>
      <c r="Q81" s="6">
        <f t="shared" ref="Q81:Q114" si="5">SUM(F81:P81)</f>
        <v>419</v>
      </c>
      <c r="R81" s="6">
        <f t="shared" si="3"/>
        <v>41.9</v>
      </c>
      <c r="S81" s="6">
        <f>('SUB-1'!M81)+('SUB- 2'!L81)+('SUB-3'!M81)+('SUB-4'!M81)+('SUB-5'!M81)+('SUB-6'!J82)+('SUB-7'!J82)+('SUB-8'!J82)+('SUB-9'!J83)+('SUB-10'!J82)+('SUB- NEC'!J82)</f>
        <v>8</v>
      </c>
      <c r="T81" s="6" t="str">
        <f t="shared" si="4"/>
        <v>PASS</v>
      </c>
    </row>
    <row r="82" spans="4:20" x14ac:dyDescent="0.35">
      <c r="D82" s="6">
        <f>'SUB-1'!D82</f>
        <v>68</v>
      </c>
      <c r="E82" s="6" t="str">
        <f>'SUB-1'!E82</f>
        <v>BTMC24O1068</v>
      </c>
      <c r="F82" s="6">
        <f>'SUB-1'!L82</f>
        <v>46</v>
      </c>
      <c r="G82" s="6">
        <f>'SUB- 2'!K82</f>
        <v>36</v>
      </c>
      <c r="H82" s="6">
        <f>'SUB-3'!L82</f>
        <v>51</v>
      </c>
      <c r="I82" s="6">
        <f>'SUB-4'!L82</f>
        <v>38</v>
      </c>
      <c r="J82" s="6">
        <f>'SUB-5'!L82</f>
        <v>42</v>
      </c>
      <c r="K82" s="6">
        <f>'SUB-6'!H83</f>
        <v>53</v>
      </c>
      <c r="L82" s="6">
        <f>'SUB-7'!H83</f>
        <v>70</v>
      </c>
      <c r="M82" s="6">
        <f>'SUB-8'!H83</f>
        <v>7</v>
      </c>
      <c r="N82" s="6">
        <f>'SUB-9'!H84</f>
        <v>33</v>
      </c>
      <c r="O82" s="6">
        <f>'SUB-10'!H83</f>
        <v>73</v>
      </c>
      <c r="P82" s="6">
        <f>'SUB- NEC'!G83</f>
        <v>24</v>
      </c>
      <c r="Q82" s="6">
        <f t="shared" si="5"/>
        <v>473</v>
      </c>
      <c r="R82" s="6">
        <f t="shared" si="3"/>
        <v>47.3</v>
      </c>
      <c r="S82" s="6">
        <f>('SUB-1'!M82)+('SUB- 2'!L82)+('SUB-3'!M82)+('SUB-4'!M82)+('SUB-5'!M82)+('SUB-6'!J83)+('SUB-7'!J83)+('SUB-8'!J83)+('SUB-9'!J84)+('SUB-10'!J83)+('SUB- NEC'!J83)</f>
        <v>10</v>
      </c>
      <c r="T82" s="6" t="str">
        <f t="shared" si="4"/>
        <v>PASS</v>
      </c>
    </row>
    <row r="83" spans="4:20" x14ac:dyDescent="0.35">
      <c r="D83" s="6">
        <f>'SUB-1'!D83</f>
        <v>69</v>
      </c>
      <c r="E83" s="6" t="str">
        <f>'SUB-1'!E83</f>
        <v>BTMC24O1069</v>
      </c>
      <c r="F83" s="6">
        <f>'SUB-1'!L83</f>
        <v>45</v>
      </c>
      <c r="G83" s="6">
        <f>'SUB- 2'!K83</f>
        <v>35</v>
      </c>
      <c r="H83" s="6">
        <f>'SUB-3'!L83</f>
        <v>39</v>
      </c>
      <c r="I83" s="6">
        <f>'SUB-4'!L83</f>
        <v>53</v>
      </c>
      <c r="J83" s="6">
        <f>'SUB-5'!L83</f>
        <v>48</v>
      </c>
      <c r="K83" s="6">
        <f>'SUB-6'!H84</f>
        <v>51</v>
      </c>
      <c r="L83" s="6">
        <f>'SUB-7'!H84</f>
        <v>48</v>
      </c>
      <c r="M83" s="6">
        <f>'SUB-8'!H84</f>
        <v>27</v>
      </c>
      <c r="N83" s="6">
        <f>'SUB-9'!H85</f>
        <v>64</v>
      </c>
      <c r="O83" s="6">
        <f>'SUB-10'!H84</f>
        <v>15</v>
      </c>
      <c r="P83" s="6">
        <f>'SUB- NEC'!G84</f>
        <v>1</v>
      </c>
      <c r="Q83" s="6">
        <f t="shared" si="5"/>
        <v>426</v>
      </c>
      <c r="R83" s="6">
        <f t="shared" si="3"/>
        <v>42.6</v>
      </c>
      <c r="S83" s="6">
        <f>('SUB-1'!M83)+('SUB- 2'!L83)+('SUB-3'!M83)+('SUB-4'!M83)+('SUB-5'!M83)+('SUB-6'!J84)+('SUB-7'!J84)+('SUB-8'!J84)+('SUB-9'!J85)+('SUB-10'!J84)+('SUB- NEC'!J84)</f>
        <v>9</v>
      </c>
      <c r="T83" s="6" t="str">
        <f t="shared" si="4"/>
        <v>PASS</v>
      </c>
    </row>
    <row r="84" spans="4:20" x14ac:dyDescent="0.35">
      <c r="D84" s="6">
        <f>'SUB-1'!D84</f>
        <v>70</v>
      </c>
      <c r="E84" s="6" t="str">
        <f>'SUB-1'!E84</f>
        <v>BTMC24O1070</v>
      </c>
      <c r="F84" s="6">
        <f>'SUB-1'!L84</f>
        <v>51</v>
      </c>
      <c r="G84" s="6">
        <f>'SUB- 2'!K84</f>
        <v>42</v>
      </c>
      <c r="H84" s="6">
        <f>'SUB-3'!L84</f>
        <v>70</v>
      </c>
      <c r="I84" s="6">
        <f>'SUB-4'!L84</f>
        <v>55</v>
      </c>
      <c r="J84" s="6">
        <f>'SUB-5'!L84</f>
        <v>56</v>
      </c>
      <c r="K84" s="6">
        <f>'SUB-6'!H85</f>
        <v>56</v>
      </c>
      <c r="L84" s="6">
        <f>'SUB-7'!H85</f>
        <v>90</v>
      </c>
      <c r="M84" s="6">
        <f>'SUB-8'!H85</f>
        <v>9</v>
      </c>
      <c r="N84" s="6">
        <f>'SUB-9'!H86</f>
        <v>29</v>
      </c>
      <c r="O84" s="6">
        <f>'SUB-10'!H85</f>
        <v>30</v>
      </c>
      <c r="P84" s="6">
        <f>'SUB- NEC'!G85</f>
        <v>13</v>
      </c>
      <c r="Q84" s="6">
        <f t="shared" si="5"/>
        <v>501</v>
      </c>
      <c r="R84" s="6">
        <f t="shared" si="3"/>
        <v>50.1</v>
      </c>
      <c r="S84" s="6">
        <f>('SUB-1'!M84)+('SUB- 2'!L84)+('SUB-3'!M84)+('SUB-4'!M84)+('SUB-5'!M84)+('SUB-6'!J85)+('SUB-7'!J85)+('SUB-8'!J85)+('SUB-9'!J86)+('SUB-10'!J85)+('SUB- NEC'!J85)</f>
        <v>11</v>
      </c>
      <c r="T84" s="6" t="str">
        <f t="shared" si="4"/>
        <v>PASS</v>
      </c>
    </row>
    <row r="85" spans="4:20" x14ac:dyDescent="0.35">
      <c r="D85" s="6">
        <f>'SUB-1'!D85</f>
        <v>71</v>
      </c>
      <c r="E85" s="6" t="str">
        <f>'SUB-1'!E85</f>
        <v>BTMC24O1071</v>
      </c>
      <c r="F85" s="6">
        <f>'SUB-1'!L85</f>
        <v>66</v>
      </c>
      <c r="G85" s="6">
        <f>'SUB- 2'!K85</f>
        <v>47</v>
      </c>
      <c r="H85" s="6">
        <f>'SUB-3'!L85</f>
        <v>52</v>
      </c>
      <c r="I85" s="6">
        <f>'SUB-4'!L85</f>
        <v>22</v>
      </c>
      <c r="J85" s="6">
        <f>'SUB-5'!L85</f>
        <v>51</v>
      </c>
      <c r="K85" s="6">
        <f>'SUB-6'!H86</f>
        <v>52</v>
      </c>
      <c r="L85" s="6">
        <f>'SUB-7'!H86</f>
        <v>46</v>
      </c>
      <c r="M85" s="6">
        <f>'SUB-8'!H86</f>
        <v>21</v>
      </c>
      <c r="N85" s="6">
        <f>'SUB-9'!H87</f>
        <v>80</v>
      </c>
      <c r="O85" s="6">
        <f>'SUB-10'!H86</f>
        <v>36</v>
      </c>
      <c r="P85" s="6">
        <f>'SUB- NEC'!G86</f>
        <v>18</v>
      </c>
      <c r="Q85" s="6">
        <f t="shared" si="5"/>
        <v>491</v>
      </c>
      <c r="R85" s="6">
        <f t="shared" si="3"/>
        <v>49.1</v>
      </c>
      <c r="S85" s="6">
        <f>('SUB-1'!M85)+('SUB- 2'!L85)+('SUB-3'!M85)+('SUB-4'!M85)+('SUB-5'!M85)+('SUB-6'!J86)+('SUB-7'!J86)+('SUB-8'!J86)+('SUB-9'!J87)+('SUB-10'!J86)+('SUB- NEC'!J86)</f>
        <v>13</v>
      </c>
      <c r="T85" s="6" t="str">
        <f t="shared" si="4"/>
        <v>PASS</v>
      </c>
    </row>
    <row r="86" spans="4:20" x14ac:dyDescent="0.35">
      <c r="D86" s="6">
        <f>'SUB-1'!D86</f>
        <v>72</v>
      </c>
      <c r="E86" s="6" t="str">
        <f>'SUB-1'!E86</f>
        <v>BTMC24O1072</v>
      </c>
      <c r="F86" s="6">
        <f>'SUB-1'!L86</f>
        <v>48</v>
      </c>
      <c r="G86" s="6">
        <f>'SUB- 2'!K86</f>
        <v>60</v>
      </c>
      <c r="H86" s="6">
        <f>'SUB-3'!L86</f>
        <v>48</v>
      </c>
      <c r="I86" s="6">
        <f>'SUB-4'!L86</f>
        <v>67</v>
      </c>
      <c r="J86" s="6">
        <f>'SUB-5'!L86</f>
        <v>51</v>
      </c>
      <c r="K86" s="6">
        <f>'SUB-6'!H87</f>
        <v>66</v>
      </c>
      <c r="L86" s="6">
        <f>'SUB-7'!H87</f>
        <v>29</v>
      </c>
      <c r="M86" s="6">
        <f>'SUB-8'!H87</f>
        <v>38</v>
      </c>
      <c r="N86" s="6">
        <f>'SUB-9'!H88</f>
        <v>83</v>
      </c>
      <c r="O86" s="6">
        <f>'SUB-10'!H87</f>
        <v>72</v>
      </c>
      <c r="P86" s="6">
        <f>'SUB- NEC'!G87</f>
        <v>44</v>
      </c>
      <c r="Q86" s="6">
        <f t="shared" si="5"/>
        <v>606</v>
      </c>
      <c r="R86" s="6">
        <f t="shared" si="3"/>
        <v>60.6</v>
      </c>
      <c r="S86" s="6">
        <f>('SUB-1'!M86)+('SUB- 2'!L86)+('SUB-3'!M86)+('SUB-4'!M86)+('SUB-5'!M86)+('SUB-6'!J87)+('SUB-7'!J87)+('SUB-8'!J87)+('SUB-9'!J88)+('SUB-10'!J87)+('SUB- NEC'!J87)</f>
        <v>13</v>
      </c>
      <c r="T86" s="6" t="str">
        <f t="shared" si="4"/>
        <v>PASS</v>
      </c>
    </row>
    <row r="87" spans="4:20" x14ac:dyDescent="0.35">
      <c r="D87" s="6">
        <f>'SUB-1'!D87</f>
        <v>73</v>
      </c>
      <c r="E87" s="6" t="str">
        <f>'SUB-1'!E87</f>
        <v>BTMC24O1073</v>
      </c>
      <c r="F87" s="6">
        <f>'SUB-1'!L87</f>
        <v>48</v>
      </c>
      <c r="G87" s="6">
        <f>'SUB- 2'!K87</f>
        <v>32</v>
      </c>
      <c r="H87" s="6">
        <f>'SUB-3'!L87</f>
        <v>32</v>
      </c>
      <c r="I87" s="6">
        <f>'SUB-4'!L87</f>
        <v>47</v>
      </c>
      <c r="J87" s="6">
        <f>'SUB-5'!L87</f>
        <v>34</v>
      </c>
      <c r="K87" s="6">
        <f>'SUB-6'!H88</f>
        <v>41</v>
      </c>
      <c r="L87" s="6">
        <f>'SUB-7'!H88</f>
        <v>89</v>
      </c>
      <c r="M87" s="6">
        <f>'SUB-8'!H88</f>
        <v>6</v>
      </c>
      <c r="N87" s="6">
        <f>'SUB-9'!H89</f>
        <v>69</v>
      </c>
      <c r="O87" s="6">
        <f>'SUB-10'!H88</f>
        <v>78</v>
      </c>
      <c r="P87" s="6">
        <f>'SUB- NEC'!G88</f>
        <v>32</v>
      </c>
      <c r="Q87" s="6">
        <f t="shared" si="5"/>
        <v>508</v>
      </c>
      <c r="R87" s="6">
        <f t="shared" si="3"/>
        <v>50.8</v>
      </c>
      <c r="S87" s="6">
        <f>('SUB-1'!M87)+('SUB- 2'!L87)+('SUB-3'!M87)+('SUB-4'!M87)+('SUB-5'!M87)+('SUB-6'!J88)+('SUB-7'!J88)+('SUB-8'!J88)+('SUB-9'!J89)+('SUB-10'!J88)+('SUB- NEC'!J88)</f>
        <v>7</v>
      </c>
      <c r="T87" s="6" t="str">
        <f t="shared" si="4"/>
        <v>PASS</v>
      </c>
    </row>
    <row r="88" spans="4:20" x14ac:dyDescent="0.35">
      <c r="D88" s="6">
        <f>'SUB-1'!D88</f>
        <v>74</v>
      </c>
      <c r="E88" s="6" t="str">
        <f>'SUB-1'!E88</f>
        <v>BTMC24O1074</v>
      </c>
      <c r="F88" s="6">
        <f>'SUB-1'!L88</f>
        <v>32</v>
      </c>
      <c r="G88" s="6">
        <f>'SUB- 2'!K88</f>
        <v>67</v>
      </c>
      <c r="H88" s="6">
        <f>'SUB-3'!L88</f>
        <v>38</v>
      </c>
      <c r="I88" s="6">
        <f>'SUB-4'!L88</f>
        <v>52</v>
      </c>
      <c r="J88" s="6">
        <f>'SUB-5'!L88</f>
        <v>73</v>
      </c>
      <c r="K88" s="6">
        <f>'SUB-6'!H89</f>
        <v>48</v>
      </c>
      <c r="L88" s="6">
        <f>'SUB-7'!H89</f>
        <v>46</v>
      </c>
      <c r="M88" s="6">
        <f>'SUB-8'!H89</f>
        <v>10</v>
      </c>
      <c r="N88" s="6">
        <f>'SUB-9'!H90</f>
        <v>29</v>
      </c>
      <c r="O88" s="6">
        <f>'SUB-10'!H89</f>
        <v>7</v>
      </c>
      <c r="P88" s="6">
        <f>'SUB- NEC'!G89</f>
        <v>14</v>
      </c>
      <c r="Q88" s="6">
        <f t="shared" si="5"/>
        <v>416</v>
      </c>
      <c r="R88" s="6">
        <f t="shared" si="3"/>
        <v>41.6</v>
      </c>
      <c r="S88" s="6">
        <f>('SUB-1'!M88)+('SUB- 2'!L88)+('SUB-3'!M88)+('SUB-4'!M88)+('SUB-5'!M88)+('SUB-6'!J89)+('SUB-7'!J89)+('SUB-8'!J89)+('SUB-9'!J90)+('SUB-10'!J89)+('SUB- NEC'!J89)</f>
        <v>9</v>
      </c>
      <c r="T88" s="6" t="str">
        <f t="shared" si="4"/>
        <v>PASS</v>
      </c>
    </row>
    <row r="89" spans="4:20" x14ac:dyDescent="0.35">
      <c r="D89" s="6">
        <f>'SUB-1'!D89</f>
        <v>75</v>
      </c>
      <c r="E89" s="6" t="str">
        <f>'SUB-1'!E89</f>
        <v>BTMC24O1075</v>
      </c>
      <c r="F89" s="6">
        <f>'SUB-1'!L89</f>
        <v>90</v>
      </c>
      <c r="G89" s="6">
        <f>'SUB- 2'!K89</f>
        <v>47</v>
      </c>
      <c r="H89" s="6">
        <f>'SUB-3'!L89</f>
        <v>52</v>
      </c>
      <c r="I89" s="6">
        <f>'SUB-4'!L89</f>
        <v>71</v>
      </c>
      <c r="J89" s="6">
        <f>'SUB-5'!L89</f>
        <v>42</v>
      </c>
      <c r="K89" s="6">
        <f>'SUB-6'!H90</f>
        <v>28</v>
      </c>
      <c r="L89" s="6">
        <f>'SUB-7'!H90</f>
        <v>56</v>
      </c>
      <c r="M89" s="6">
        <f>'SUB-8'!H90</f>
        <v>24</v>
      </c>
      <c r="N89" s="6">
        <f>'SUB-9'!H91</f>
        <v>12</v>
      </c>
      <c r="O89" s="6">
        <f>'SUB-10'!H90</f>
        <v>75</v>
      </c>
      <c r="P89" s="6">
        <f>'SUB- NEC'!G90</f>
        <v>44</v>
      </c>
      <c r="Q89" s="6">
        <f t="shared" si="5"/>
        <v>541</v>
      </c>
      <c r="R89" s="6">
        <f t="shared" si="3"/>
        <v>54.1</v>
      </c>
      <c r="S89" s="6">
        <f>('SUB-1'!M89)+('SUB- 2'!L89)+('SUB-3'!M89)+('SUB-4'!M89)+('SUB-5'!M89)+('SUB-6'!J90)+('SUB-7'!J90)+('SUB-8'!J90)+('SUB-9'!J91)+('SUB-10'!J90)+('SUB- NEC'!J90)</f>
        <v>13</v>
      </c>
      <c r="T89" s="6" t="str">
        <f t="shared" si="4"/>
        <v>PASS</v>
      </c>
    </row>
    <row r="90" spans="4:20" x14ac:dyDescent="0.35">
      <c r="D90" s="6">
        <f>'SUB-1'!D90</f>
        <v>76</v>
      </c>
      <c r="E90" s="6" t="str">
        <f>'SUB-1'!E90</f>
        <v>BTMC24O1076</v>
      </c>
      <c r="F90" s="6">
        <f>'SUB-1'!L90</f>
        <v>48</v>
      </c>
      <c r="G90" s="6">
        <f>'SUB- 2'!K90</f>
        <v>64</v>
      </c>
      <c r="H90" s="6">
        <f>'SUB-3'!L90</f>
        <v>55</v>
      </c>
      <c r="I90" s="6">
        <f>'SUB-4'!L90</f>
        <v>27</v>
      </c>
      <c r="J90" s="6">
        <f>'SUB-5'!L90</f>
        <v>50</v>
      </c>
      <c r="K90" s="6">
        <f>'SUB-6'!H91</f>
        <v>41</v>
      </c>
      <c r="L90" s="6">
        <f>'SUB-7'!H91</f>
        <v>84</v>
      </c>
      <c r="M90" s="6">
        <f>'SUB-8'!H91</f>
        <v>7</v>
      </c>
      <c r="N90" s="6">
        <f>'SUB-9'!H92</f>
        <v>8</v>
      </c>
      <c r="O90" s="6">
        <f>'SUB-10'!H91</f>
        <v>38</v>
      </c>
      <c r="P90" s="6">
        <f>'SUB- NEC'!G91</f>
        <v>39</v>
      </c>
      <c r="Q90" s="6">
        <f t="shared" si="5"/>
        <v>461</v>
      </c>
      <c r="R90" s="6">
        <f t="shared" si="3"/>
        <v>46.1</v>
      </c>
      <c r="S90" s="6">
        <f>('SUB-1'!M90)+('SUB- 2'!L90)+('SUB-3'!M90)+('SUB-4'!M90)+('SUB-5'!M90)+('SUB-6'!J91)+('SUB-7'!J91)+('SUB-8'!J91)+('SUB-9'!J92)+('SUB-10'!J91)+('SUB- NEC'!J91)</f>
        <v>10</v>
      </c>
      <c r="T90" s="6" t="str">
        <f t="shared" si="4"/>
        <v>PASS</v>
      </c>
    </row>
    <row r="91" spans="4:20" x14ac:dyDescent="0.35">
      <c r="D91" s="6">
        <f>'SUB-1'!D91</f>
        <v>77</v>
      </c>
      <c r="E91" s="6" t="str">
        <f>'SUB-1'!E91</f>
        <v>BTMC24O1077</v>
      </c>
      <c r="F91" s="6">
        <f>'SUB-1'!L91</f>
        <v>42</v>
      </c>
      <c r="G91" s="6">
        <f>'SUB- 2'!K91</f>
        <v>32</v>
      </c>
      <c r="H91" s="6">
        <f>'SUB-3'!L91</f>
        <v>32</v>
      </c>
      <c r="I91" s="6">
        <f>'SUB-4'!L91</f>
        <v>61</v>
      </c>
      <c r="J91" s="6">
        <f>'SUB-5'!L91</f>
        <v>52</v>
      </c>
      <c r="K91" s="6">
        <f>'SUB-6'!H92</f>
        <v>68</v>
      </c>
      <c r="L91" s="6">
        <f>'SUB-7'!H92</f>
        <v>65</v>
      </c>
      <c r="M91" s="6">
        <f>'SUB-8'!H92</f>
        <v>24</v>
      </c>
      <c r="N91" s="6">
        <f>'SUB-9'!H93</f>
        <v>8</v>
      </c>
      <c r="O91" s="6">
        <f>'SUB-10'!H92</f>
        <v>50</v>
      </c>
      <c r="P91" s="6">
        <f>'SUB- NEC'!G92</f>
        <v>38</v>
      </c>
      <c r="Q91" s="6">
        <f t="shared" si="5"/>
        <v>472</v>
      </c>
      <c r="R91" s="6">
        <f t="shared" si="3"/>
        <v>47.199999999999996</v>
      </c>
      <c r="S91" s="6">
        <f>('SUB-1'!M91)+('SUB- 2'!L91)+('SUB-3'!M91)+('SUB-4'!M91)+('SUB-5'!M91)+('SUB-6'!J92)+('SUB-7'!J92)+('SUB-8'!J92)+('SUB-9'!J93)+('SUB-10'!J92)+('SUB- NEC'!J92)</f>
        <v>10</v>
      </c>
      <c r="T91" s="6" t="str">
        <f t="shared" si="4"/>
        <v>PASS</v>
      </c>
    </row>
    <row r="92" spans="4:20" x14ac:dyDescent="0.35">
      <c r="D92" s="6">
        <f>'SUB-1'!D92</f>
        <v>78</v>
      </c>
      <c r="E92" s="6" t="str">
        <f>'SUB-1'!E92</f>
        <v>BTMC24O1078</v>
      </c>
      <c r="F92" s="6">
        <f>'SUB-1'!L92</f>
        <v>52</v>
      </c>
      <c r="G92" s="6">
        <f>'SUB- 2'!K92</f>
        <v>27</v>
      </c>
      <c r="H92" s="6">
        <f>'SUB-3'!L92</f>
        <v>35</v>
      </c>
      <c r="I92" s="6">
        <f>'SUB-4'!L92</f>
        <v>50</v>
      </c>
      <c r="J92" s="6">
        <f>'SUB-5'!L92</f>
        <v>37</v>
      </c>
      <c r="K92" s="6">
        <f>'SUB-6'!H93</f>
        <v>53</v>
      </c>
      <c r="L92" s="6">
        <f>'SUB-7'!H93</f>
        <v>53</v>
      </c>
      <c r="M92" s="6">
        <f>'SUB-8'!H93</f>
        <v>28</v>
      </c>
      <c r="N92" s="6">
        <f>'SUB-9'!H94</f>
        <v>52</v>
      </c>
      <c r="O92" s="6">
        <f>'SUB-10'!H93</f>
        <v>80</v>
      </c>
      <c r="P92" s="6">
        <f>'SUB- NEC'!G93</f>
        <v>19</v>
      </c>
      <c r="Q92" s="6">
        <f t="shared" si="5"/>
        <v>486</v>
      </c>
      <c r="R92" s="6">
        <f t="shared" si="3"/>
        <v>48.6</v>
      </c>
      <c r="S92" s="6">
        <f>('SUB-1'!M92)+('SUB- 2'!L92)+('SUB-3'!M92)+('SUB-4'!M92)+('SUB-5'!M92)+('SUB-6'!J93)+('SUB-7'!J93)+('SUB-8'!J93)+('SUB-9'!J94)+('SUB-10'!J93)+('SUB- NEC'!J93)</f>
        <v>10</v>
      </c>
      <c r="T92" s="6" t="str">
        <f t="shared" si="4"/>
        <v>PASS</v>
      </c>
    </row>
    <row r="93" spans="4:20" x14ac:dyDescent="0.35">
      <c r="D93" s="6">
        <f>'SUB-1'!D93</f>
        <v>79</v>
      </c>
      <c r="E93" s="6" t="str">
        <f>'SUB-1'!E93</f>
        <v>BTMC24O1079</v>
      </c>
      <c r="F93" s="6">
        <f>'SUB-1'!L93</f>
        <v>73</v>
      </c>
      <c r="G93" s="6">
        <f>'SUB- 2'!K93</f>
        <v>35</v>
      </c>
      <c r="H93" s="6">
        <f>'SUB-3'!L93</f>
        <v>73</v>
      </c>
      <c r="I93" s="6">
        <f>'SUB-4'!L93</f>
        <v>46</v>
      </c>
      <c r="J93" s="6">
        <f>'SUB-5'!L93</f>
        <v>62</v>
      </c>
      <c r="K93" s="6">
        <f>'SUB-6'!H94</f>
        <v>37</v>
      </c>
      <c r="L93" s="6">
        <f>'SUB-7'!H94</f>
        <v>37</v>
      </c>
      <c r="M93" s="6">
        <f>'SUB-8'!H94</f>
        <v>35</v>
      </c>
      <c r="N93" s="6">
        <f>'SUB-9'!H95</f>
        <v>35</v>
      </c>
      <c r="O93" s="6">
        <f>'SUB-10'!H94</f>
        <v>55</v>
      </c>
      <c r="P93" s="6">
        <f>'SUB- NEC'!G94</f>
        <v>25</v>
      </c>
      <c r="Q93" s="6">
        <f t="shared" si="5"/>
        <v>513</v>
      </c>
      <c r="R93" s="6">
        <f t="shared" si="3"/>
        <v>51.300000000000004</v>
      </c>
      <c r="S93" s="6">
        <f>('SUB-1'!M93)+('SUB- 2'!L93)+('SUB-3'!M93)+('SUB-4'!M93)+('SUB-5'!M93)+('SUB-6'!J94)+('SUB-7'!J94)+('SUB-8'!J94)+('SUB-9'!J95)+('SUB-10'!J94)+('SUB- NEC'!J94)</f>
        <v>13</v>
      </c>
      <c r="T93" s="6" t="str">
        <f t="shared" si="4"/>
        <v>PASS</v>
      </c>
    </row>
    <row r="94" spans="4:20" x14ac:dyDescent="0.35">
      <c r="D94" s="6">
        <f>'SUB-1'!D94</f>
        <v>80</v>
      </c>
      <c r="E94" s="6" t="str">
        <f>'SUB-1'!E94</f>
        <v>BTMC24O1080</v>
      </c>
      <c r="F94" s="6">
        <f>'SUB-1'!L94</f>
        <v>60</v>
      </c>
      <c r="G94" s="6">
        <f>'SUB- 2'!K94</f>
        <v>52</v>
      </c>
      <c r="H94" s="6">
        <f>'SUB-3'!L94</f>
        <v>78</v>
      </c>
      <c r="I94" s="6">
        <f>'SUB-4'!L94</f>
        <v>28</v>
      </c>
      <c r="J94" s="6">
        <f>'SUB-5'!L94</f>
        <v>48</v>
      </c>
      <c r="K94" s="6">
        <f>'SUB-6'!H95</f>
        <v>28</v>
      </c>
      <c r="L94" s="6">
        <f>'SUB-7'!H95</f>
        <v>31</v>
      </c>
      <c r="M94" s="6">
        <f>'SUB-8'!H95</f>
        <v>39</v>
      </c>
      <c r="N94" s="6">
        <f>'SUB-9'!H96</f>
        <v>33</v>
      </c>
      <c r="O94" s="6">
        <f>'SUB-10'!H95</f>
        <v>66</v>
      </c>
      <c r="P94" s="6">
        <f>'SUB- NEC'!G95</f>
        <v>17</v>
      </c>
      <c r="Q94" s="6">
        <f t="shared" si="5"/>
        <v>480</v>
      </c>
      <c r="R94" s="6">
        <f t="shared" si="3"/>
        <v>48</v>
      </c>
      <c r="S94" s="6">
        <f>('SUB-1'!M94)+('SUB- 2'!L94)+('SUB-3'!M94)+('SUB-4'!M94)+('SUB-5'!M94)+('SUB-6'!J95)+('SUB-7'!J95)+('SUB-8'!J95)+('SUB-9'!J96)+('SUB-10'!J95)+('SUB- NEC'!J95)</f>
        <v>11</v>
      </c>
      <c r="T94" s="6" t="str">
        <f t="shared" si="4"/>
        <v>PASS</v>
      </c>
    </row>
    <row r="95" spans="4:20" x14ac:dyDescent="0.35">
      <c r="D95" s="6">
        <f>'SUB-1'!D95</f>
        <v>81</v>
      </c>
      <c r="E95" s="6" t="str">
        <f>'SUB-1'!E95</f>
        <v>BTMC24O1081</v>
      </c>
      <c r="F95" s="6">
        <f>'SUB-1'!L95</f>
        <v>27</v>
      </c>
      <c r="G95" s="6">
        <f>'SUB- 2'!K95</f>
        <v>45</v>
      </c>
      <c r="H95" s="6">
        <f>'SUB-3'!L95</f>
        <v>47</v>
      </c>
      <c r="I95" s="6">
        <f>'SUB-4'!L95</f>
        <v>36</v>
      </c>
      <c r="J95" s="6">
        <f>'SUB-5'!L95</f>
        <v>35</v>
      </c>
      <c r="K95" s="6">
        <f>'SUB-6'!H96</f>
        <v>77</v>
      </c>
      <c r="L95" s="6">
        <f>'SUB-7'!H96</f>
        <v>70</v>
      </c>
      <c r="M95" s="6">
        <f>'SUB-8'!H96</f>
        <v>17</v>
      </c>
      <c r="N95" s="6">
        <f>'SUB-9'!H97</f>
        <v>67</v>
      </c>
      <c r="O95" s="6">
        <f>'SUB-10'!H96</f>
        <v>65</v>
      </c>
      <c r="P95" s="6">
        <f>'SUB- NEC'!G96</f>
        <v>9</v>
      </c>
      <c r="Q95" s="6">
        <f t="shared" si="5"/>
        <v>495</v>
      </c>
      <c r="R95" s="6">
        <f t="shared" si="3"/>
        <v>49.5</v>
      </c>
      <c r="S95" s="6">
        <f>('SUB-1'!M95)+('SUB- 2'!L95)+('SUB-3'!M95)+('SUB-4'!M95)+('SUB-5'!M95)+('SUB-6'!J96)+('SUB-7'!J96)+('SUB-8'!J96)+('SUB-9'!J97)+('SUB-10'!J96)+('SUB- NEC'!J96)</f>
        <v>8</v>
      </c>
      <c r="T95" s="6" t="str">
        <f t="shared" si="4"/>
        <v>PASS</v>
      </c>
    </row>
    <row r="96" spans="4:20" x14ac:dyDescent="0.35">
      <c r="D96" s="6">
        <f>'SUB-1'!D96</f>
        <v>82</v>
      </c>
      <c r="E96" s="6" t="str">
        <f>'SUB-1'!E96</f>
        <v>BTMC24O1082</v>
      </c>
      <c r="F96" s="6">
        <f>'SUB-1'!L96</f>
        <v>28</v>
      </c>
      <c r="G96" s="6">
        <f>'SUB- 2'!K96</f>
        <v>60</v>
      </c>
      <c r="H96" s="6">
        <f>'SUB-3'!L96</f>
        <v>39</v>
      </c>
      <c r="I96" s="6">
        <f>'SUB-4'!L96</f>
        <v>47</v>
      </c>
      <c r="J96" s="6">
        <f>'SUB-5'!L96</f>
        <v>60</v>
      </c>
      <c r="K96" s="6">
        <f>'SUB-6'!H97</f>
        <v>61</v>
      </c>
      <c r="L96" s="6">
        <f>'SUB-7'!H97</f>
        <v>66</v>
      </c>
      <c r="M96" s="6">
        <f>'SUB-8'!H97</f>
        <v>3</v>
      </c>
      <c r="N96" s="6">
        <f>'SUB-9'!H98</f>
        <v>17</v>
      </c>
      <c r="O96" s="6">
        <f>'SUB-10'!H97</f>
        <v>64</v>
      </c>
      <c r="P96" s="6">
        <f>'SUB- NEC'!G97</f>
        <v>50</v>
      </c>
      <c r="Q96" s="6">
        <f t="shared" si="5"/>
        <v>495</v>
      </c>
      <c r="R96" s="6">
        <f t="shared" si="3"/>
        <v>49.5</v>
      </c>
      <c r="S96" s="6">
        <f>('SUB-1'!M96)+('SUB- 2'!L96)+('SUB-3'!M96)+('SUB-4'!M96)+('SUB-5'!M96)+('SUB-6'!J97)+('SUB-7'!J97)+('SUB-8'!J97)+('SUB-9'!J98)+('SUB-10'!J97)+('SUB- NEC'!J97)</f>
        <v>10</v>
      </c>
      <c r="T96" s="6" t="str">
        <f t="shared" si="4"/>
        <v>PASS</v>
      </c>
    </row>
    <row r="97" spans="4:20" x14ac:dyDescent="0.35">
      <c r="D97" s="6">
        <f>'SUB-1'!D97</f>
        <v>83</v>
      </c>
      <c r="E97" s="6" t="str">
        <f>'SUB-1'!E97</f>
        <v>BTMC24O1083</v>
      </c>
      <c r="F97" s="6">
        <f>'SUB-1'!L97</f>
        <v>31</v>
      </c>
      <c r="G97" s="6">
        <f>'SUB- 2'!K97</f>
        <v>33</v>
      </c>
      <c r="H97" s="6">
        <f>'SUB-3'!L97</f>
        <v>70</v>
      </c>
      <c r="I97" s="6">
        <f>'SUB-4'!L97</f>
        <v>71</v>
      </c>
      <c r="J97" s="6">
        <f>'SUB-5'!L97</f>
        <v>56</v>
      </c>
      <c r="K97" s="6">
        <f>'SUB-6'!H98</f>
        <v>75</v>
      </c>
      <c r="L97" s="6">
        <f>'SUB-7'!H98</f>
        <v>62</v>
      </c>
      <c r="M97" s="6">
        <f>'SUB-8'!H98</f>
        <v>12</v>
      </c>
      <c r="N97" s="6">
        <f>'SUB-9'!H99</f>
        <v>46</v>
      </c>
      <c r="O97" s="6">
        <f>'SUB-10'!H98</f>
        <v>26</v>
      </c>
      <c r="P97" s="6">
        <f>'SUB- NEC'!G98</f>
        <v>10</v>
      </c>
      <c r="Q97" s="6">
        <f t="shared" si="5"/>
        <v>492</v>
      </c>
      <c r="R97" s="6">
        <f t="shared" si="3"/>
        <v>49.2</v>
      </c>
      <c r="S97" s="6">
        <f>('SUB-1'!M97)+('SUB- 2'!L97)+('SUB-3'!M97)+('SUB-4'!M97)+('SUB-5'!M97)+('SUB-6'!J98)+('SUB-7'!J98)+('SUB-8'!J98)+('SUB-9'!J99)+('SUB-10'!J98)+('SUB- NEC'!J98)</f>
        <v>9</v>
      </c>
      <c r="T97" s="6" t="str">
        <f t="shared" si="4"/>
        <v>PASS</v>
      </c>
    </row>
    <row r="98" spans="4:20" x14ac:dyDescent="0.35">
      <c r="D98" s="6">
        <f>'SUB-1'!D98</f>
        <v>84</v>
      </c>
      <c r="E98" s="6" t="str">
        <f>'SUB-1'!E98</f>
        <v>BTMC24O1084</v>
      </c>
      <c r="F98" s="6">
        <f>'SUB-1'!L98</f>
        <v>58</v>
      </c>
      <c r="G98" s="6">
        <f>'SUB- 2'!K98</f>
        <v>58</v>
      </c>
      <c r="H98" s="6">
        <f>'SUB-3'!L98</f>
        <v>63</v>
      </c>
      <c r="I98" s="6">
        <f>'SUB-4'!L98</f>
        <v>54</v>
      </c>
      <c r="J98" s="6">
        <f>'SUB-5'!L98</f>
        <v>27</v>
      </c>
      <c r="K98" s="6">
        <f>'SUB-6'!H99</f>
        <v>64</v>
      </c>
      <c r="L98" s="6">
        <f>'SUB-7'!H99</f>
        <v>8</v>
      </c>
      <c r="M98" s="6">
        <f>'SUB-8'!H99</f>
        <v>10</v>
      </c>
      <c r="N98" s="6">
        <f>'SUB-9'!H100</f>
        <v>67</v>
      </c>
      <c r="O98" s="6">
        <f>'SUB-10'!H99</f>
        <v>23</v>
      </c>
      <c r="P98" s="6">
        <f>'SUB- NEC'!G99</f>
        <v>45</v>
      </c>
      <c r="Q98" s="6">
        <f t="shared" si="5"/>
        <v>477</v>
      </c>
      <c r="R98" s="6">
        <f t="shared" si="3"/>
        <v>47.699999999999996</v>
      </c>
      <c r="S98" s="6">
        <f>('SUB-1'!M98)+('SUB- 2'!L98)+('SUB-3'!M98)+('SUB-4'!M98)+('SUB-5'!M98)+('SUB-6'!J99)+('SUB-7'!J99)+('SUB-8'!J99)+('SUB-9'!J100)+('SUB-10'!J99)+('SUB- NEC'!J99)</f>
        <v>11</v>
      </c>
      <c r="T98" s="6" t="str">
        <f t="shared" si="4"/>
        <v>PASS</v>
      </c>
    </row>
    <row r="99" spans="4:20" x14ac:dyDescent="0.35">
      <c r="D99" s="6">
        <f>'SUB-1'!D99</f>
        <v>85</v>
      </c>
      <c r="E99" s="6" t="str">
        <f>'SUB-1'!E99</f>
        <v>BTMC24O1085</v>
      </c>
      <c r="F99" s="6">
        <f>'SUB-1'!L99</f>
        <v>39</v>
      </c>
      <c r="G99" s="6">
        <f>'SUB- 2'!K99</f>
        <v>72</v>
      </c>
      <c r="H99" s="6">
        <f>'SUB-3'!L99</f>
        <v>50</v>
      </c>
      <c r="I99" s="6">
        <f>'SUB-4'!L99</f>
        <v>64</v>
      </c>
      <c r="J99" s="6">
        <f>'SUB-5'!L99</f>
        <v>42</v>
      </c>
      <c r="K99" s="6">
        <f>'SUB-6'!H100</f>
        <v>36</v>
      </c>
      <c r="L99" s="6">
        <f>'SUB-7'!H100</f>
        <v>70</v>
      </c>
      <c r="M99" s="6">
        <f>'SUB-8'!H100</f>
        <v>10</v>
      </c>
      <c r="N99" s="6">
        <f>'SUB-9'!H101</f>
        <v>31</v>
      </c>
      <c r="O99" s="6">
        <f>'SUB-10'!H100</f>
        <v>43</v>
      </c>
      <c r="P99" s="6">
        <f>'SUB- NEC'!G100</f>
        <v>33</v>
      </c>
      <c r="Q99" s="6">
        <f t="shared" si="5"/>
        <v>490</v>
      </c>
      <c r="R99" s="6">
        <f t="shared" si="3"/>
        <v>49</v>
      </c>
      <c r="S99" s="6">
        <f>('SUB-1'!M99)+('SUB- 2'!L99)+('SUB-3'!M99)+('SUB-4'!M99)+('SUB-5'!M99)+('SUB-6'!J100)+('SUB-7'!J100)+('SUB-8'!J100)+('SUB-9'!J101)+('SUB-10'!J100)+('SUB- NEC'!J100)</f>
        <v>11</v>
      </c>
      <c r="T99" s="6" t="str">
        <f t="shared" si="4"/>
        <v>PASS</v>
      </c>
    </row>
    <row r="100" spans="4:20" x14ac:dyDescent="0.35">
      <c r="D100" s="6">
        <f>'SUB-1'!D100</f>
        <v>86</v>
      </c>
      <c r="E100" s="6" t="str">
        <f>'SUB-1'!E100</f>
        <v>BTMC24O1086</v>
      </c>
      <c r="F100" s="6">
        <f>'SUB-1'!L100</f>
        <v>49</v>
      </c>
      <c r="G100" s="6">
        <f>'SUB- 2'!K100</f>
        <v>44</v>
      </c>
      <c r="H100" s="6">
        <f>'SUB-3'!L100</f>
        <v>43</v>
      </c>
      <c r="I100" s="6">
        <f>'SUB-4'!L100</f>
        <v>67</v>
      </c>
      <c r="J100" s="6">
        <f>'SUB-5'!L100</f>
        <v>51</v>
      </c>
      <c r="K100" s="6">
        <f>'SUB-6'!H101</f>
        <v>47</v>
      </c>
      <c r="L100" s="6">
        <f>'SUB-7'!H101</f>
        <v>53</v>
      </c>
      <c r="M100" s="6">
        <f>'SUB-8'!H101</f>
        <v>46</v>
      </c>
      <c r="N100" s="6">
        <f>'SUB-9'!H102</f>
        <v>61</v>
      </c>
      <c r="O100" s="6">
        <f>'SUB-10'!H101</f>
        <v>37</v>
      </c>
      <c r="P100" s="6">
        <f>'SUB- NEC'!G101</f>
        <v>4</v>
      </c>
      <c r="Q100" s="6">
        <f t="shared" si="5"/>
        <v>502</v>
      </c>
      <c r="R100" s="6">
        <f t="shared" si="3"/>
        <v>50.2</v>
      </c>
      <c r="S100" s="6">
        <f>('SUB-1'!M100)+('SUB- 2'!L100)+('SUB-3'!M100)+('SUB-4'!M100)+('SUB-5'!M100)+('SUB-6'!J101)+('SUB-7'!J101)+('SUB-8'!J101)+('SUB-9'!J102)+('SUB-10'!J101)+('SUB- NEC'!J101)</f>
        <v>12</v>
      </c>
      <c r="T100" s="6" t="str">
        <f t="shared" si="4"/>
        <v>PASS</v>
      </c>
    </row>
    <row r="101" spans="4:20" x14ac:dyDescent="0.35">
      <c r="D101" s="6">
        <f>'SUB-1'!D101</f>
        <v>87</v>
      </c>
      <c r="E101" s="6" t="str">
        <f>'SUB-1'!E101</f>
        <v>BTMC24O1087</v>
      </c>
      <c r="F101" s="6">
        <f>'SUB-1'!L101</f>
        <v>97</v>
      </c>
      <c r="G101" s="6">
        <f>'SUB- 2'!K101</f>
        <v>90</v>
      </c>
      <c r="H101" s="6">
        <f>'SUB-3'!L101</f>
        <v>95</v>
      </c>
      <c r="I101" s="6">
        <f>'SUB-4'!L101</f>
        <v>90</v>
      </c>
      <c r="J101" s="6">
        <f>'SUB-5'!L101</f>
        <v>90</v>
      </c>
      <c r="K101" s="6">
        <f>'SUB-6'!H102</f>
        <v>93</v>
      </c>
      <c r="L101" s="6">
        <f>'SUB-7'!H102</f>
        <v>89</v>
      </c>
      <c r="M101" s="6">
        <f>'SUB-8'!H102</f>
        <v>50</v>
      </c>
      <c r="N101" s="6">
        <f>'SUB-9'!H103</f>
        <v>97</v>
      </c>
      <c r="O101" s="6">
        <f>'SUB-10'!H102</f>
        <v>100</v>
      </c>
      <c r="P101" s="6">
        <f>'SUB- NEC'!G102</f>
        <v>32</v>
      </c>
      <c r="Q101" s="6">
        <f t="shared" si="5"/>
        <v>923</v>
      </c>
      <c r="R101" s="6">
        <f t="shared" si="3"/>
        <v>92.300000000000011</v>
      </c>
      <c r="S101" s="6">
        <f>('SUB-1'!M101)+('SUB- 2'!L101)+('SUB-3'!M101)+('SUB-4'!M101)+('SUB-5'!M101)+('SUB-6'!J102)+('SUB-7'!J102)+('SUB-8'!J102)+('SUB-9'!J103)+('SUB-10'!J102)+('SUB- NEC'!J102)</f>
        <v>20</v>
      </c>
      <c r="T101" s="6" t="str">
        <f t="shared" si="4"/>
        <v>PASS</v>
      </c>
    </row>
    <row r="102" spans="4:20" x14ac:dyDescent="0.35">
      <c r="D102" s="6">
        <f>'SUB-1'!D102</f>
        <v>88</v>
      </c>
      <c r="E102" s="6" t="str">
        <f>'SUB-1'!E102</f>
        <v>BTMC24O1088</v>
      </c>
      <c r="F102" s="6">
        <f>'SUB-1'!L102</f>
        <v>82</v>
      </c>
      <c r="G102" s="6">
        <f>'SUB- 2'!K102</f>
        <v>85</v>
      </c>
      <c r="H102" s="6">
        <f>'SUB-3'!L102</f>
        <v>78</v>
      </c>
      <c r="I102" s="6">
        <f>'SUB-4'!L102</f>
        <v>81</v>
      </c>
      <c r="J102" s="6">
        <f>'SUB-5'!L102</f>
        <v>83</v>
      </c>
      <c r="K102" s="6">
        <f>'SUB-6'!H103</f>
        <v>87</v>
      </c>
      <c r="L102" s="6">
        <f>'SUB-7'!H103</f>
        <v>96</v>
      </c>
      <c r="M102" s="6">
        <f>'SUB-8'!H103</f>
        <v>37</v>
      </c>
      <c r="N102" s="6">
        <f>'SUB-9'!H104</f>
        <v>84</v>
      </c>
      <c r="O102" s="6">
        <f>'SUB-10'!H103</f>
        <v>77</v>
      </c>
      <c r="P102" s="6">
        <f>'SUB- NEC'!G103</f>
        <v>36</v>
      </c>
      <c r="Q102" s="6">
        <f t="shared" si="5"/>
        <v>826</v>
      </c>
      <c r="R102" s="6">
        <f t="shared" si="3"/>
        <v>82.6</v>
      </c>
      <c r="S102" s="6">
        <f>('SUB-1'!M102)+('SUB- 2'!L102)+('SUB-3'!M102)+('SUB-4'!M102)+('SUB-5'!M102)+('SUB-6'!J103)+('SUB-7'!J103)+('SUB-8'!J103)+('SUB-9'!J104)+('SUB-10'!J103)+('SUB- NEC'!J103)</f>
        <v>20</v>
      </c>
      <c r="T102" s="6" t="str">
        <f t="shared" si="4"/>
        <v>PASS</v>
      </c>
    </row>
    <row r="103" spans="4:20" x14ac:dyDescent="0.35">
      <c r="D103" s="6">
        <f>'SUB-1'!D103</f>
        <v>89</v>
      </c>
      <c r="E103" s="6" t="str">
        <f>'SUB-1'!E103</f>
        <v>BTMC24O1089</v>
      </c>
      <c r="F103" s="6">
        <f>'SUB-1'!L103</f>
        <v>57</v>
      </c>
      <c r="G103" s="6">
        <f>'SUB- 2'!K103</f>
        <v>30</v>
      </c>
      <c r="H103" s="6">
        <f>'SUB-3'!L103</f>
        <v>59</v>
      </c>
      <c r="I103" s="6">
        <f>'SUB-4'!L103</f>
        <v>54</v>
      </c>
      <c r="J103" s="6">
        <f>'SUB-5'!L103</f>
        <v>24</v>
      </c>
      <c r="K103" s="6">
        <f>'SUB-6'!H104</f>
        <v>52</v>
      </c>
      <c r="L103" s="6">
        <f>'SUB-7'!H104</f>
        <v>85</v>
      </c>
      <c r="M103" s="6">
        <f>'SUB-8'!H104</f>
        <v>30</v>
      </c>
      <c r="N103" s="6">
        <f>'SUB-9'!H105</f>
        <v>53</v>
      </c>
      <c r="O103" s="6">
        <f>'SUB-10'!H104</f>
        <v>16</v>
      </c>
      <c r="P103" s="6">
        <f>'SUB- NEC'!G104</f>
        <v>30</v>
      </c>
      <c r="Q103" s="6">
        <f t="shared" si="5"/>
        <v>490</v>
      </c>
      <c r="R103" s="6">
        <f t="shared" si="3"/>
        <v>49</v>
      </c>
      <c r="S103" s="6">
        <f>('SUB-1'!M103)+('SUB- 2'!L103)+('SUB-3'!M103)+('SUB-4'!M103)+('SUB-5'!M103)+('SUB-6'!J104)+('SUB-7'!J104)+('SUB-8'!J104)+('SUB-9'!J105)+('SUB-10'!J104)+('SUB- NEC'!J104)</f>
        <v>11</v>
      </c>
      <c r="T103" s="6" t="str">
        <f t="shared" si="4"/>
        <v>PASS</v>
      </c>
    </row>
    <row r="104" spans="4:20" x14ac:dyDescent="0.35">
      <c r="D104" s="6">
        <f>'SUB-1'!D104</f>
        <v>90</v>
      </c>
      <c r="E104" s="6" t="str">
        <f>'SUB-1'!E104</f>
        <v>BTMC24O1090</v>
      </c>
      <c r="F104" s="6">
        <f>'SUB-1'!L104</f>
        <v>51</v>
      </c>
      <c r="G104" s="6">
        <f>'SUB- 2'!K104</f>
        <v>48</v>
      </c>
      <c r="H104" s="6">
        <f>'SUB-3'!L104</f>
        <v>52</v>
      </c>
      <c r="I104" s="6">
        <f>'SUB-4'!L104</f>
        <v>36</v>
      </c>
      <c r="J104" s="6">
        <f>'SUB-5'!L104</f>
        <v>24</v>
      </c>
      <c r="K104" s="6">
        <f>'SUB-6'!H105</f>
        <v>67</v>
      </c>
      <c r="L104" s="6">
        <f>'SUB-7'!H105</f>
        <v>19</v>
      </c>
      <c r="M104" s="6">
        <f>'SUB-8'!H105</f>
        <v>32</v>
      </c>
      <c r="N104" s="6">
        <f>'SUB-9'!H106</f>
        <v>43</v>
      </c>
      <c r="O104" s="6">
        <f>'SUB-10'!H105</f>
        <v>65</v>
      </c>
      <c r="P104" s="6">
        <f>'SUB- NEC'!G105</f>
        <v>31</v>
      </c>
      <c r="Q104" s="6">
        <f t="shared" si="5"/>
        <v>468</v>
      </c>
      <c r="R104" s="6">
        <f t="shared" si="3"/>
        <v>46.800000000000004</v>
      </c>
      <c r="S104" s="6">
        <f>('SUB-1'!M104)+('SUB- 2'!L104)+('SUB-3'!M104)+('SUB-4'!M104)+('SUB-5'!M104)+('SUB-6'!J105)+('SUB-7'!J105)+('SUB-8'!J105)+('SUB-9'!J106)+('SUB-10'!J105)+('SUB- NEC'!J105)</f>
        <v>11</v>
      </c>
      <c r="T104" s="6" t="str">
        <f t="shared" si="4"/>
        <v>PASS</v>
      </c>
    </row>
    <row r="105" spans="4:20" x14ac:dyDescent="0.35">
      <c r="D105" s="6">
        <f>'SUB-1'!D105</f>
        <v>91</v>
      </c>
      <c r="E105" s="6" t="str">
        <f>'SUB-1'!E105</f>
        <v>BTMC24O1091</v>
      </c>
      <c r="F105" s="6">
        <f>'SUB-1'!L105</f>
        <v>47</v>
      </c>
      <c r="G105" s="6">
        <f>'SUB- 2'!K105</f>
        <v>54</v>
      </c>
      <c r="H105" s="6">
        <f>'SUB-3'!L105</f>
        <v>48</v>
      </c>
      <c r="I105" s="6">
        <f>'SUB-4'!L105</f>
        <v>56</v>
      </c>
      <c r="J105" s="6">
        <f>'SUB-5'!L105</f>
        <v>54</v>
      </c>
      <c r="K105" s="6">
        <f>'SUB-6'!H106</f>
        <v>48</v>
      </c>
      <c r="L105" s="6">
        <f>'SUB-7'!H106</f>
        <v>47</v>
      </c>
      <c r="M105" s="6">
        <f>'SUB-8'!H106</f>
        <v>6</v>
      </c>
      <c r="N105" s="6">
        <f>'SUB-9'!H107</f>
        <v>2</v>
      </c>
      <c r="O105" s="6">
        <f>'SUB-10'!H106</f>
        <v>25</v>
      </c>
      <c r="P105" s="6">
        <f>'SUB- NEC'!G106</f>
        <v>3</v>
      </c>
      <c r="Q105" s="6">
        <f t="shared" si="5"/>
        <v>390</v>
      </c>
      <c r="R105" s="6">
        <f t="shared" si="3"/>
        <v>39</v>
      </c>
      <c r="S105" s="6">
        <f>('SUB-1'!M105)+('SUB- 2'!L105)+('SUB-3'!M105)+('SUB-4'!M105)+('SUB-5'!M105)+('SUB-6'!J106)+('SUB-7'!J106)+('SUB-8'!J106)+('SUB-9'!J107)+('SUB-10'!J106)+('SUB- NEC'!J106)</f>
        <v>10</v>
      </c>
      <c r="T105" s="6" t="str">
        <f t="shared" si="4"/>
        <v>FAIL</v>
      </c>
    </row>
    <row r="106" spans="4:20" x14ac:dyDescent="0.35">
      <c r="D106" s="6">
        <f>'SUB-1'!D106</f>
        <v>92</v>
      </c>
      <c r="E106" s="6" t="str">
        <f>'SUB-1'!E106</f>
        <v>BTMC24O1092</v>
      </c>
      <c r="F106" s="6">
        <f>'SUB-1'!L106</f>
        <v>28</v>
      </c>
      <c r="G106" s="6">
        <f>'SUB- 2'!K106</f>
        <v>25</v>
      </c>
      <c r="H106" s="6">
        <f>'SUB-3'!L106</f>
        <v>56</v>
      </c>
      <c r="I106" s="6">
        <f>'SUB-4'!L106</f>
        <v>44</v>
      </c>
      <c r="J106" s="6">
        <f>'SUB-5'!L106</f>
        <v>67</v>
      </c>
      <c r="K106" s="6">
        <f>'SUB-6'!H107</f>
        <v>57</v>
      </c>
      <c r="L106" s="6">
        <f>'SUB-7'!H107</f>
        <v>18</v>
      </c>
      <c r="M106" s="6">
        <f>'SUB-8'!H107</f>
        <v>19</v>
      </c>
      <c r="N106" s="6">
        <f>'SUB-9'!H108</f>
        <v>36</v>
      </c>
      <c r="O106" s="6">
        <f>'SUB-10'!H107</f>
        <v>23</v>
      </c>
      <c r="P106" s="6">
        <f>'SUB- NEC'!G107</f>
        <v>13</v>
      </c>
      <c r="Q106" s="6">
        <f t="shared" si="5"/>
        <v>386</v>
      </c>
      <c r="R106" s="6">
        <f t="shared" si="3"/>
        <v>38.6</v>
      </c>
      <c r="S106" s="6">
        <f>('SUB-1'!M106)+('SUB- 2'!L106)+('SUB-3'!M106)+('SUB-4'!M106)+('SUB-5'!M106)+('SUB-6'!J107)+('SUB-7'!J107)+('SUB-8'!J107)+('SUB-9'!J108)+('SUB-10'!J107)+('SUB- NEC'!J107)</f>
        <v>8</v>
      </c>
      <c r="T106" s="6" t="str">
        <f t="shared" si="4"/>
        <v>FAIL</v>
      </c>
    </row>
    <row r="107" spans="4:20" x14ac:dyDescent="0.35">
      <c r="D107" s="6">
        <f>'SUB-1'!D107</f>
        <v>93</v>
      </c>
      <c r="E107" s="6" t="str">
        <f>'SUB-1'!E107</f>
        <v>BTMC24O1093</v>
      </c>
      <c r="F107" s="6">
        <f>'SUB-1'!L107</f>
        <v>55</v>
      </c>
      <c r="G107" s="6">
        <f>'SUB- 2'!K107</f>
        <v>33</v>
      </c>
      <c r="H107" s="6">
        <f>'SUB-3'!L107</f>
        <v>26</v>
      </c>
      <c r="I107" s="6">
        <f>'SUB-4'!L107</f>
        <v>51</v>
      </c>
      <c r="J107" s="6">
        <f>'SUB-5'!L107</f>
        <v>27</v>
      </c>
      <c r="K107" s="6">
        <f>'SUB-6'!H108</f>
        <v>74</v>
      </c>
      <c r="L107" s="6">
        <f>'SUB-7'!H108</f>
        <v>96</v>
      </c>
      <c r="M107" s="6">
        <f>'SUB-8'!H108</f>
        <v>11</v>
      </c>
      <c r="N107" s="6">
        <f>'SUB-9'!H109</f>
        <v>41</v>
      </c>
      <c r="O107" s="6">
        <f>'SUB-10'!H108</f>
        <v>24</v>
      </c>
      <c r="P107" s="6">
        <f>'SUB- NEC'!G108</f>
        <v>49</v>
      </c>
      <c r="Q107" s="6">
        <f t="shared" si="5"/>
        <v>487</v>
      </c>
      <c r="R107" s="6">
        <f t="shared" si="3"/>
        <v>48.699999999999996</v>
      </c>
      <c r="S107" s="6">
        <f>('SUB-1'!M107)+('SUB- 2'!L107)+('SUB-3'!M107)+('SUB-4'!M107)+('SUB-5'!M107)+('SUB-6'!J108)+('SUB-7'!J108)+('SUB-8'!J108)+('SUB-9'!J109)+('SUB-10'!J108)+('SUB- NEC'!J108)</f>
        <v>8</v>
      </c>
      <c r="T107" s="6" t="str">
        <f t="shared" si="4"/>
        <v>PASS</v>
      </c>
    </row>
    <row r="108" spans="4:20" x14ac:dyDescent="0.35">
      <c r="D108" s="6">
        <f>'SUB-1'!D108</f>
        <v>94</v>
      </c>
      <c r="E108" s="6" t="str">
        <f>'SUB-1'!E108</f>
        <v>BTMC24O1094</v>
      </c>
      <c r="F108" s="6">
        <f>'SUB-1'!L108</f>
        <v>56</v>
      </c>
      <c r="G108" s="6">
        <f>'SUB- 2'!K108</f>
        <v>47</v>
      </c>
      <c r="H108" s="6">
        <f>'SUB-3'!L108</f>
        <v>50</v>
      </c>
      <c r="I108" s="6">
        <f>'SUB-4'!L108</f>
        <v>68</v>
      </c>
      <c r="J108" s="6">
        <f>'SUB-5'!L108</f>
        <v>46</v>
      </c>
      <c r="K108" s="6">
        <f>'SUB-6'!H109</f>
        <v>83</v>
      </c>
      <c r="L108" s="6">
        <f>'SUB-7'!H109</f>
        <v>18</v>
      </c>
      <c r="M108" s="6">
        <f>'SUB-8'!H109</f>
        <v>12</v>
      </c>
      <c r="N108" s="6">
        <f>'SUB-9'!H110</f>
        <v>22</v>
      </c>
      <c r="O108" s="6">
        <f>'SUB-10'!H109</f>
        <v>62</v>
      </c>
      <c r="P108" s="6">
        <f>'SUB- NEC'!G109</f>
        <v>38</v>
      </c>
      <c r="Q108" s="6">
        <f t="shared" si="5"/>
        <v>502</v>
      </c>
      <c r="R108" s="6">
        <f t="shared" si="3"/>
        <v>50.2</v>
      </c>
      <c r="S108" s="6">
        <f>('SUB-1'!M108)+('SUB- 2'!L108)+('SUB-3'!M108)+('SUB-4'!M108)+('SUB-5'!M108)+('SUB-6'!J109)+('SUB-7'!J109)+('SUB-8'!J109)+('SUB-9'!J110)+('SUB-10'!J109)+('SUB- NEC'!J109)</f>
        <v>10</v>
      </c>
      <c r="T108" s="6" t="str">
        <f t="shared" si="4"/>
        <v>PASS</v>
      </c>
    </row>
    <row r="109" spans="4:20" x14ac:dyDescent="0.35">
      <c r="D109" s="6">
        <f>'SUB-1'!D109</f>
        <v>95</v>
      </c>
      <c r="E109" s="6" t="str">
        <f>'SUB-1'!E109</f>
        <v>BTMC24O1095</v>
      </c>
      <c r="F109" s="6">
        <f>'SUB-1'!L109</f>
        <v>63</v>
      </c>
      <c r="G109" s="6">
        <f>'SUB- 2'!K109</f>
        <v>33</v>
      </c>
      <c r="H109" s="6">
        <f>'SUB-3'!L109</f>
        <v>60</v>
      </c>
      <c r="I109" s="6">
        <f>'SUB-4'!L109</f>
        <v>54</v>
      </c>
      <c r="J109" s="6">
        <f>'SUB-5'!L109</f>
        <v>42</v>
      </c>
      <c r="K109" s="6">
        <f>'SUB-6'!H110</f>
        <v>55</v>
      </c>
      <c r="L109" s="6">
        <f>'SUB-7'!H110</f>
        <v>69</v>
      </c>
      <c r="M109" s="6">
        <f>'SUB-8'!H110</f>
        <v>43</v>
      </c>
      <c r="N109" s="6">
        <f>'SUB-9'!H111</f>
        <v>66</v>
      </c>
      <c r="O109" s="6">
        <f>'SUB-10'!H110</f>
        <v>87</v>
      </c>
      <c r="P109" s="6">
        <f>'SUB- NEC'!G110</f>
        <v>31</v>
      </c>
      <c r="Q109" s="6">
        <f t="shared" si="5"/>
        <v>603</v>
      </c>
      <c r="R109" s="6">
        <f t="shared" si="3"/>
        <v>60.3</v>
      </c>
      <c r="S109" s="6">
        <f>('SUB-1'!M109)+('SUB- 2'!L109)+('SUB-3'!M109)+('SUB-4'!M109)+('SUB-5'!M109)+('SUB-6'!J110)+('SUB-7'!J110)+('SUB-8'!J110)+('SUB-9'!J111)+('SUB-10'!J110)+('SUB- NEC'!J110)</f>
        <v>13</v>
      </c>
      <c r="T109" s="6" t="str">
        <f t="shared" si="4"/>
        <v>PASS</v>
      </c>
    </row>
    <row r="110" spans="4:20" x14ac:dyDescent="0.35">
      <c r="D110" s="6">
        <f>'SUB-1'!D110</f>
        <v>96</v>
      </c>
      <c r="E110" s="6" t="str">
        <f>'SUB-1'!E110</f>
        <v>BTMC24O1096</v>
      </c>
      <c r="F110" s="6">
        <f>'SUB-1'!L110</f>
        <v>51</v>
      </c>
      <c r="G110" s="6">
        <f>'SUB- 2'!K110</f>
        <v>51</v>
      </c>
      <c r="H110" s="6">
        <f>'SUB-3'!L110</f>
        <v>65</v>
      </c>
      <c r="I110" s="6">
        <f>'SUB-4'!L110</f>
        <v>50</v>
      </c>
      <c r="J110" s="6">
        <f>'SUB-5'!L110</f>
        <v>68</v>
      </c>
      <c r="K110" s="6">
        <f>'SUB-6'!H111</f>
        <v>35</v>
      </c>
      <c r="L110" s="6">
        <f>'SUB-7'!H111</f>
        <v>58</v>
      </c>
      <c r="M110" s="6">
        <f>'SUB-8'!H111</f>
        <v>25</v>
      </c>
      <c r="N110" s="6">
        <f>'SUB-9'!H112</f>
        <v>56</v>
      </c>
      <c r="O110" s="6">
        <f>'SUB-10'!H111</f>
        <v>82</v>
      </c>
      <c r="P110" s="6">
        <f>'SUB- NEC'!G111</f>
        <v>3</v>
      </c>
      <c r="Q110" s="6">
        <f t="shared" si="5"/>
        <v>544</v>
      </c>
      <c r="R110" s="6">
        <f t="shared" si="3"/>
        <v>54.400000000000006</v>
      </c>
      <c r="S110" s="6">
        <f>('SUB-1'!M110)+('SUB- 2'!L110)+('SUB-3'!M110)+('SUB-4'!M110)+('SUB-5'!M110)+('SUB-6'!J111)+('SUB-7'!J111)+('SUB-8'!J111)+('SUB-9'!J112)+('SUB-10'!J111)+('SUB- NEC'!J111)</f>
        <v>14</v>
      </c>
      <c r="T110" s="6" t="str">
        <f t="shared" si="4"/>
        <v>PASS</v>
      </c>
    </row>
    <row r="111" spans="4:20" x14ac:dyDescent="0.35">
      <c r="D111" s="6">
        <f>'SUB-1'!D111</f>
        <v>97</v>
      </c>
      <c r="E111" s="6" t="str">
        <f>'SUB-1'!E111</f>
        <v>BTMC24O1097</v>
      </c>
      <c r="F111" s="6">
        <f>'SUB-1'!L111</f>
        <v>59</v>
      </c>
      <c r="G111" s="6">
        <f>'SUB- 2'!K111</f>
        <v>48</v>
      </c>
      <c r="H111" s="6">
        <f>'SUB-3'!L111</f>
        <v>58</v>
      </c>
      <c r="I111" s="6">
        <f>'SUB-4'!L111</f>
        <v>55</v>
      </c>
      <c r="J111" s="6">
        <f>'SUB-5'!L111</f>
        <v>75</v>
      </c>
      <c r="K111" s="6">
        <f>'SUB-6'!H112</f>
        <v>56</v>
      </c>
      <c r="L111" s="6">
        <f>'SUB-7'!H112</f>
        <v>34</v>
      </c>
      <c r="M111" s="6">
        <f>'SUB-8'!H112</f>
        <v>39</v>
      </c>
      <c r="N111" s="6">
        <f>'SUB-9'!H113</f>
        <v>68</v>
      </c>
      <c r="O111" s="6">
        <f>'SUB-10'!H112</f>
        <v>76</v>
      </c>
      <c r="P111" s="6">
        <f>'SUB- NEC'!G112</f>
        <v>34</v>
      </c>
      <c r="Q111" s="6">
        <f t="shared" si="5"/>
        <v>602</v>
      </c>
      <c r="R111" s="6">
        <f t="shared" si="3"/>
        <v>60.199999999999996</v>
      </c>
      <c r="S111" s="6">
        <f>('SUB-1'!M111)+('SUB- 2'!L111)+('SUB-3'!M111)+('SUB-4'!M111)+('SUB-5'!M111)+('SUB-6'!J112)+('SUB-7'!J112)+('SUB-8'!J112)+('SUB-9'!J113)+('SUB-10'!J112)+('SUB- NEC'!J112)</f>
        <v>14</v>
      </c>
      <c r="T111" s="6" t="str">
        <f t="shared" si="4"/>
        <v>PASS</v>
      </c>
    </row>
    <row r="112" spans="4:20" x14ac:dyDescent="0.35">
      <c r="D112" s="6">
        <f>'SUB-1'!D112</f>
        <v>98</v>
      </c>
      <c r="E112" s="6" t="str">
        <f>'SUB-1'!E112</f>
        <v>BTMC24O1098</v>
      </c>
      <c r="F112" s="6">
        <f>'SUB-1'!L112</f>
        <v>28</v>
      </c>
      <c r="G112" s="6">
        <f>'SUB- 2'!K112</f>
        <v>49</v>
      </c>
      <c r="H112" s="6">
        <f>'SUB-3'!L112</f>
        <v>42</v>
      </c>
      <c r="I112" s="6">
        <f>'SUB-4'!L112</f>
        <v>63</v>
      </c>
      <c r="J112" s="6">
        <f>'SUB-5'!L112</f>
        <v>33</v>
      </c>
      <c r="K112" s="6">
        <f>'SUB-6'!H113</f>
        <v>13</v>
      </c>
      <c r="L112" s="6">
        <f>'SUB-7'!H113</f>
        <v>8</v>
      </c>
      <c r="M112" s="6">
        <f>'SUB-8'!H113</f>
        <v>12</v>
      </c>
      <c r="N112" s="6">
        <f>'SUB-9'!H114</f>
        <v>35</v>
      </c>
      <c r="O112" s="6">
        <f>'SUB-10'!H113</f>
        <v>41</v>
      </c>
      <c r="P112" s="6">
        <f>'SUB- NEC'!G113</f>
        <v>49</v>
      </c>
      <c r="Q112" s="6">
        <f t="shared" si="5"/>
        <v>373</v>
      </c>
      <c r="R112" s="6">
        <f t="shared" si="3"/>
        <v>37.299999999999997</v>
      </c>
      <c r="S112" s="6">
        <f>('SUB-1'!M112)+('SUB- 2'!L112)+('SUB-3'!M112)+('SUB-4'!M112)+('SUB-5'!M112)+('SUB-6'!J113)+('SUB-7'!J113)+('SUB-8'!J113)+('SUB-9'!J114)+('SUB-10'!J113)+('SUB- NEC'!J113)</f>
        <v>7</v>
      </c>
      <c r="T112" s="6" t="str">
        <f t="shared" si="4"/>
        <v>FAIL</v>
      </c>
    </row>
    <row r="113" spans="4:20" x14ac:dyDescent="0.35">
      <c r="D113" s="6">
        <f>'SUB-1'!D113</f>
        <v>99</v>
      </c>
      <c r="E113" s="6" t="str">
        <f>'SUB-1'!E113</f>
        <v>BTMC24O1099</v>
      </c>
      <c r="F113" s="6">
        <f>'SUB-1'!L113</f>
        <v>58</v>
      </c>
      <c r="G113" s="6">
        <f>'SUB- 2'!K113</f>
        <v>44</v>
      </c>
      <c r="H113" s="6">
        <f>'SUB-3'!L113</f>
        <v>43</v>
      </c>
      <c r="I113" s="6">
        <f>'SUB-4'!L113</f>
        <v>31</v>
      </c>
      <c r="J113" s="6">
        <f>'SUB-5'!L113</f>
        <v>37</v>
      </c>
      <c r="K113" s="6">
        <f>'SUB-6'!H114</f>
        <v>12</v>
      </c>
      <c r="L113" s="6">
        <f>'SUB-7'!H114</f>
        <v>43</v>
      </c>
      <c r="M113" s="6">
        <f>'SUB-8'!H114</f>
        <v>29</v>
      </c>
      <c r="N113" s="6">
        <f>'SUB-9'!H115</f>
        <v>53</v>
      </c>
      <c r="O113" s="6">
        <f>'SUB-10'!H114</f>
        <v>12</v>
      </c>
      <c r="P113" s="6">
        <f>'SUB- NEC'!G114</f>
        <v>8</v>
      </c>
      <c r="Q113" s="6">
        <f t="shared" si="5"/>
        <v>370</v>
      </c>
      <c r="R113" s="6">
        <f t="shared" si="3"/>
        <v>37</v>
      </c>
      <c r="S113" s="6">
        <f>('SUB-1'!M113)+('SUB- 2'!L113)+('SUB-3'!M113)+('SUB-4'!M113)+('SUB-5'!M113)+('SUB-6'!J114)+('SUB-7'!J114)+('SUB-8'!J114)+('SUB-9'!J115)+('SUB-10'!J114)+('SUB- NEC'!J114)</f>
        <v>8</v>
      </c>
      <c r="T113" s="6" t="str">
        <f t="shared" si="4"/>
        <v>FAIL</v>
      </c>
    </row>
    <row r="114" spans="4:20" x14ac:dyDescent="0.35">
      <c r="D114" s="6">
        <f>'SUB-1'!D114</f>
        <v>100</v>
      </c>
      <c r="E114" s="6" t="str">
        <f>'SUB-1'!E114</f>
        <v>BTMC24O1100</v>
      </c>
      <c r="F114" s="6">
        <f>'SUB-1'!L114</f>
        <v>28</v>
      </c>
      <c r="G114" s="6">
        <f>'SUB- 2'!K114</f>
        <v>55</v>
      </c>
      <c r="H114" s="6">
        <f>'SUB-3'!L114</f>
        <v>66</v>
      </c>
      <c r="I114" s="6">
        <f>'SUB-4'!L114</f>
        <v>36</v>
      </c>
      <c r="J114" s="6">
        <f>'SUB-5'!L114</f>
        <v>58</v>
      </c>
      <c r="K114" s="6">
        <f>'SUB-6'!H115</f>
        <v>39</v>
      </c>
      <c r="L114" s="6">
        <f>'SUB-7'!H115</f>
        <v>95</v>
      </c>
      <c r="M114" s="6">
        <f>'SUB-8'!H115</f>
        <v>34</v>
      </c>
      <c r="N114" s="6">
        <f>'SUB-9'!H116</f>
        <v>26</v>
      </c>
      <c r="O114" s="6">
        <f>'SUB-10'!H115</f>
        <v>79</v>
      </c>
      <c r="P114" s="6">
        <f>'SUB- NEC'!G115</f>
        <v>27</v>
      </c>
      <c r="Q114" s="6">
        <f t="shared" si="5"/>
        <v>543</v>
      </c>
      <c r="R114" s="6">
        <f t="shared" si="3"/>
        <v>54.300000000000004</v>
      </c>
      <c r="S114" s="6">
        <f>('SUB-1'!M114)+('SUB- 2'!L114)+('SUB-3'!M114)+('SUB-4'!M114)+('SUB-5'!M114)+('SUB-6'!J115)+('SUB-7'!J115)+('SUB-8'!J115)+('SUB-9'!J116)+('SUB-10'!J115)+('SUB- NEC'!J115)</f>
        <v>12</v>
      </c>
      <c r="T114" s="6" t="str">
        <f t="shared" si="4"/>
        <v>PASS</v>
      </c>
    </row>
  </sheetData>
  <mergeCells count="9">
    <mergeCell ref="V14:Y14"/>
    <mergeCell ref="V17:Y17"/>
    <mergeCell ref="D8:Q8"/>
    <mergeCell ref="D9:Q9"/>
    <mergeCell ref="D2:Q3"/>
    <mergeCell ref="D4:Q4"/>
    <mergeCell ref="D5:Q5"/>
    <mergeCell ref="D6:Q6"/>
    <mergeCell ref="G7:L7"/>
  </mergeCells>
  <phoneticPr fontId="2" type="noConversion"/>
  <conditionalFormatting sqref="T15:T114">
    <cfRule type="containsText" dxfId="12" priority="1" operator="containsText" text="FAIL">
      <formula>NOT(ISERROR(SEARCH("FAIL",T15)))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C0DC7-BCBE-4B45-B109-D5469297438A}">
  <sheetPr codeName="Sheet15"/>
  <dimension ref="A1:Y114"/>
  <sheetViews>
    <sheetView topLeftCell="A91" zoomScale="54" zoomScaleNormal="100" workbookViewId="0">
      <selection activeCell="W16" sqref="W16"/>
    </sheetView>
  </sheetViews>
  <sheetFormatPr defaultRowHeight="14.5" x14ac:dyDescent="0.35"/>
  <cols>
    <col min="2" max="2" width="6.26953125" customWidth="1"/>
    <col min="18" max="18" width="10.08984375" bestFit="1" customWidth="1"/>
    <col min="20" max="20" width="9.36328125" customWidth="1"/>
    <col min="21" max="21" width="19" customWidth="1"/>
  </cols>
  <sheetData>
    <row r="1" spans="1:22" x14ac:dyDescent="0.35"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7"/>
      <c r="P1" s="7"/>
    </row>
    <row r="2" spans="1:22" x14ac:dyDescent="0.35">
      <c r="A2" s="168" t="s">
        <v>0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</row>
    <row r="3" spans="1:22" x14ac:dyDescent="0.35">
      <c r="A3" s="168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</row>
    <row r="4" spans="1:22" ht="29.5" x14ac:dyDescent="0.8">
      <c r="A4" s="161" t="s">
        <v>1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1"/>
      <c r="U4" s="161"/>
    </row>
    <row r="5" spans="1:22" ht="29.5" x14ac:dyDescent="0.8">
      <c r="A5" s="169" t="s">
        <v>2</v>
      </c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</row>
    <row r="6" spans="1:22" ht="26" x14ac:dyDescent="0.7">
      <c r="A6" s="170" t="s">
        <v>3</v>
      </c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</row>
    <row r="7" spans="1:22" ht="26" x14ac:dyDescent="0.7">
      <c r="A7" s="171" t="s">
        <v>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</row>
    <row r="8" spans="1:22" ht="23.5" x14ac:dyDescent="0.55000000000000004">
      <c r="A8" s="172" t="s">
        <v>5</v>
      </c>
      <c r="B8" s="172"/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</row>
    <row r="9" spans="1:22" ht="23.5" x14ac:dyDescent="0.55000000000000004">
      <c r="A9" s="172" t="s">
        <v>6</v>
      </c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</row>
    <row r="13" spans="1:22" ht="29" x14ac:dyDescent="0.35">
      <c r="B13" s="93" t="s">
        <v>671</v>
      </c>
      <c r="C13" s="176" t="s">
        <v>43</v>
      </c>
      <c r="D13" s="176"/>
      <c r="E13" s="176"/>
      <c r="F13" s="176" t="s">
        <v>561</v>
      </c>
      <c r="G13" s="176"/>
      <c r="H13" s="176"/>
      <c r="I13" s="176" t="s">
        <v>134</v>
      </c>
      <c r="J13" s="176"/>
      <c r="K13" s="176"/>
      <c r="L13" s="176" t="s">
        <v>562</v>
      </c>
      <c r="M13" s="176"/>
      <c r="N13" s="176"/>
      <c r="O13" s="176" t="s">
        <v>563</v>
      </c>
      <c r="P13" s="176"/>
      <c r="Q13" s="176"/>
      <c r="R13" s="181" t="s">
        <v>135</v>
      </c>
      <c r="S13" s="181"/>
      <c r="T13" s="95" t="s">
        <v>564</v>
      </c>
      <c r="U13" s="96" t="s">
        <v>602</v>
      </c>
      <c r="V13" s="41"/>
    </row>
    <row r="14" spans="1:22" x14ac:dyDescent="0.35">
      <c r="B14" s="94"/>
      <c r="C14" s="99"/>
      <c r="D14" s="99"/>
      <c r="E14" s="100"/>
      <c r="F14" s="101"/>
      <c r="G14" s="99"/>
      <c r="H14" s="100"/>
      <c r="I14" s="101"/>
      <c r="J14" s="99"/>
      <c r="K14" s="100"/>
      <c r="L14" s="101"/>
      <c r="M14" s="99"/>
      <c r="N14" s="100"/>
      <c r="O14" s="101"/>
      <c r="P14" s="99"/>
      <c r="Q14" s="100"/>
      <c r="R14" s="101"/>
      <c r="S14" s="100"/>
      <c r="T14" s="102"/>
      <c r="U14" s="102"/>
    </row>
    <row r="15" spans="1:22" ht="25.5" thickBot="1" x14ac:dyDescent="0.4">
      <c r="B15" s="42">
        <v>1</v>
      </c>
      <c r="C15" s="167" t="s">
        <v>140</v>
      </c>
      <c r="D15" s="167"/>
      <c r="E15" s="167"/>
      <c r="F15" s="173" t="s">
        <v>136</v>
      </c>
      <c r="G15" s="173"/>
      <c r="H15" s="173"/>
      <c r="I15" s="174" t="s">
        <v>137</v>
      </c>
      <c r="J15" s="174"/>
      <c r="K15" s="174"/>
      <c r="L15" s="174" t="s">
        <v>138</v>
      </c>
      <c r="M15" s="174"/>
      <c r="N15" s="174"/>
      <c r="O15" s="174" t="s">
        <v>139</v>
      </c>
      <c r="P15" s="174"/>
      <c r="Q15" s="174"/>
      <c r="R15" s="175">
        <v>38546</v>
      </c>
      <c r="S15" s="175"/>
      <c r="T15" s="97" t="s">
        <v>141</v>
      </c>
      <c r="U15" s="98" t="s">
        <v>142</v>
      </c>
    </row>
    <row r="16" spans="1:22" ht="25.5" thickBot="1" x14ac:dyDescent="0.4">
      <c r="B16" s="42">
        <v>2</v>
      </c>
      <c r="C16" s="167" t="s">
        <v>147</v>
      </c>
      <c r="D16" s="167"/>
      <c r="E16" s="167"/>
      <c r="F16" s="178" t="s">
        <v>143</v>
      </c>
      <c r="G16" s="178" t="s">
        <v>143</v>
      </c>
      <c r="H16" s="178" t="s">
        <v>143</v>
      </c>
      <c r="I16" s="174" t="s">
        <v>144</v>
      </c>
      <c r="J16" s="174"/>
      <c r="K16" s="174"/>
      <c r="L16" s="174" t="s">
        <v>145</v>
      </c>
      <c r="M16" s="174"/>
      <c r="N16" s="174"/>
      <c r="O16" s="174" t="s">
        <v>146</v>
      </c>
      <c r="P16" s="174"/>
      <c r="Q16" s="174"/>
      <c r="R16" s="175">
        <v>38547</v>
      </c>
      <c r="S16" s="175"/>
      <c r="T16" s="89" t="s">
        <v>141</v>
      </c>
      <c r="U16" s="90" t="s">
        <v>142</v>
      </c>
    </row>
    <row r="17" spans="2:21" ht="25.5" thickBot="1" x14ac:dyDescent="0.4">
      <c r="B17" s="42">
        <v>3</v>
      </c>
      <c r="C17" s="167" t="s">
        <v>152</v>
      </c>
      <c r="D17" s="167"/>
      <c r="E17" s="167"/>
      <c r="F17" s="178" t="s">
        <v>148</v>
      </c>
      <c r="G17" s="178" t="s">
        <v>148</v>
      </c>
      <c r="H17" s="178" t="s">
        <v>148</v>
      </c>
      <c r="I17" s="174" t="s">
        <v>149</v>
      </c>
      <c r="J17" s="174"/>
      <c r="K17" s="174"/>
      <c r="L17" s="174" t="s">
        <v>150</v>
      </c>
      <c r="M17" s="174"/>
      <c r="N17" s="174"/>
      <c r="O17" s="174" t="s">
        <v>151</v>
      </c>
      <c r="P17" s="174"/>
      <c r="Q17" s="174"/>
      <c r="R17" s="175">
        <v>38548</v>
      </c>
      <c r="S17" s="175"/>
      <c r="T17" s="89" t="s">
        <v>141</v>
      </c>
      <c r="U17" s="90" t="s">
        <v>142</v>
      </c>
    </row>
    <row r="18" spans="2:21" ht="25.5" thickBot="1" x14ac:dyDescent="0.4">
      <c r="B18" s="42">
        <v>4</v>
      </c>
      <c r="C18" s="167" t="s">
        <v>157</v>
      </c>
      <c r="D18" s="167"/>
      <c r="E18" s="167"/>
      <c r="F18" s="178" t="s">
        <v>153</v>
      </c>
      <c r="G18" s="178" t="s">
        <v>153</v>
      </c>
      <c r="H18" s="178" t="s">
        <v>153</v>
      </c>
      <c r="I18" s="174" t="s">
        <v>154</v>
      </c>
      <c r="J18" s="174"/>
      <c r="K18" s="174"/>
      <c r="L18" s="174" t="s">
        <v>155</v>
      </c>
      <c r="M18" s="174"/>
      <c r="N18" s="174"/>
      <c r="O18" s="174" t="s">
        <v>156</v>
      </c>
      <c r="P18" s="174"/>
      <c r="Q18" s="174"/>
      <c r="R18" s="175">
        <v>38549</v>
      </c>
      <c r="S18" s="175"/>
      <c r="T18" s="89" t="s">
        <v>141</v>
      </c>
      <c r="U18" s="90" t="s">
        <v>142</v>
      </c>
    </row>
    <row r="19" spans="2:21" ht="25.5" thickBot="1" x14ac:dyDescent="0.4">
      <c r="B19" s="42">
        <v>5</v>
      </c>
      <c r="C19" s="167" t="s">
        <v>162</v>
      </c>
      <c r="D19" s="167"/>
      <c r="E19" s="167"/>
      <c r="F19" s="178" t="s">
        <v>158</v>
      </c>
      <c r="G19" s="178" t="s">
        <v>158</v>
      </c>
      <c r="H19" s="178" t="s">
        <v>158</v>
      </c>
      <c r="I19" s="174" t="s">
        <v>159</v>
      </c>
      <c r="J19" s="174"/>
      <c r="K19" s="174"/>
      <c r="L19" s="174" t="s">
        <v>160</v>
      </c>
      <c r="M19" s="174"/>
      <c r="N19" s="174"/>
      <c r="O19" s="174" t="s">
        <v>161</v>
      </c>
      <c r="P19" s="174"/>
      <c r="Q19" s="174"/>
      <c r="R19" s="175">
        <v>38550</v>
      </c>
      <c r="S19" s="175"/>
      <c r="T19" s="89" t="s">
        <v>141</v>
      </c>
      <c r="U19" s="90" t="s">
        <v>142</v>
      </c>
    </row>
    <row r="20" spans="2:21" ht="25.5" thickBot="1" x14ac:dyDescent="0.4">
      <c r="B20" s="42">
        <v>6</v>
      </c>
      <c r="C20" s="167" t="s">
        <v>167</v>
      </c>
      <c r="D20" s="167"/>
      <c r="E20" s="167"/>
      <c r="F20" s="178" t="s">
        <v>163</v>
      </c>
      <c r="G20" s="178" t="s">
        <v>163</v>
      </c>
      <c r="H20" s="178" t="s">
        <v>163</v>
      </c>
      <c r="I20" s="174" t="s">
        <v>164</v>
      </c>
      <c r="J20" s="174"/>
      <c r="K20" s="174"/>
      <c r="L20" s="174" t="s">
        <v>165</v>
      </c>
      <c r="M20" s="174"/>
      <c r="N20" s="174"/>
      <c r="O20" s="174" t="s">
        <v>166</v>
      </c>
      <c r="P20" s="174"/>
      <c r="Q20" s="174"/>
      <c r="R20" s="175">
        <v>38551</v>
      </c>
      <c r="S20" s="175"/>
      <c r="T20" s="89" t="s">
        <v>141</v>
      </c>
      <c r="U20" s="90" t="s">
        <v>142</v>
      </c>
    </row>
    <row r="21" spans="2:21" ht="25.5" thickBot="1" x14ac:dyDescent="0.4">
      <c r="B21" s="42">
        <v>7</v>
      </c>
      <c r="C21" s="167" t="s">
        <v>565</v>
      </c>
      <c r="D21" s="167"/>
      <c r="E21" s="167"/>
      <c r="F21" s="178" t="s">
        <v>168</v>
      </c>
      <c r="G21" s="178" t="s">
        <v>168</v>
      </c>
      <c r="H21" s="178" t="s">
        <v>168</v>
      </c>
      <c r="I21" s="174" t="s">
        <v>169</v>
      </c>
      <c r="J21" s="174"/>
      <c r="K21" s="174"/>
      <c r="L21" s="174" t="s">
        <v>170</v>
      </c>
      <c r="M21" s="174"/>
      <c r="N21" s="174"/>
      <c r="O21" s="174" t="s">
        <v>171</v>
      </c>
      <c r="P21" s="174"/>
      <c r="Q21" s="174"/>
      <c r="R21" s="175">
        <v>38552</v>
      </c>
      <c r="S21" s="175"/>
      <c r="T21" s="89" t="s">
        <v>141</v>
      </c>
      <c r="U21" s="90" t="s">
        <v>142</v>
      </c>
    </row>
    <row r="22" spans="2:21" ht="25.5" thickBot="1" x14ac:dyDescent="0.4">
      <c r="B22" s="42">
        <v>8</v>
      </c>
      <c r="C22" s="167" t="s">
        <v>566</v>
      </c>
      <c r="D22" s="167"/>
      <c r="E22" s="167"/>
      <c r="F22" s="178" t="s">
        <v>172</v>
      </c>
      <c r="G22" s="178" t="s">
        <v>172</v>
      </c>
      <c r="H22" s="178" t="s">
        <v>172</v>
      </c>
      <c r="I22" s="174" t="s">
        <v>173</v>
      </c>
      <c r="J22" s="174"/>
      <c r="K22" s="174"/>
      <c r="L22" s="174" t="s">
        <v>174</v>
      </c>
      <c r="M22" s="174"/>
      <c r="N22" s="174"/>
      <c r="O22" s="174" t="s">
        <v>175</v>
      </c>
      <c r="P22" s="174"/>
      <c r="Q22" s="174"/>
      <c r="R22" s="175">
        <v>38553</v>
      </c>
      <c r="S22" s="175"/>
      <c r="T22" s="89" t="s">
        <v>141</v>
      </c>
      <c r="U22" s="90" t="s">
        <v>142</v>
      </c>
    </row>
    <row r="23" spans="2:21" ht="25.5" thickBot="1" x14ac:dyDescent="0.4">
      <c r="B23" s="42">
        <v>9</v>
      </c>
      <c r="C23" s="167" t="s">
        <v>176</v>
      </c>
      <c r="D23" s="167"/>
      <c r="E23" s="167"/>
      <c r="F23" s="178" t="s">
        <v>177</v>
      </c>
      <c r="G23" s="178" t="s">
        <v>177</v>
      </c>
      <c r="H23" s="178" t="s">
        <v>177</v>
      </c>
      <c r="I23" s="174" t="s">
        <v>178</v>
      </c>
      <c r="J23" s="174"/>
      <c r="K23" s="174"/>
      <c r="L23" s="174" t="s">
        <v>179</v>
      </c>
      <c r="M23" s="174"/>
      <c r="N23" s="174"/>
      <c r="O23" s="174" t="s">
        <v>180</v>
      </c>
      <c r="P23" s="174"/>
      <c r="Q23" s="174"/>
      <c r="R23" s="175">
        <v>38554</v>
      </c>
      <c r="S23" s="175"/>
      <c r="T23" s="89" t="s">
        <v>141</v>
      </c>
      <c r="U23" s="90" t="s">
        <v>142</v>
      </c>
    </row>
    <row r="24" spans="2:21" ht="25.5" thickBot="1" x14ac:dyDescent="0.4">
      <c r="B24" s="42">
        <v>10</v>
      </c>
      <c r="C24" s="167" t="s">
        <v>181</v>
      </c>
      <c r="D24" s="167"/>
      <c r="E24" s="167"/>
      <c r="F24" s="178" t="s">
        <v>177</v>
      </c>
      <c r="G24" s="178" t="s">
        <v>177</v>
      </c>
      <c r="H24" s="178" t="s">
        <v>177</v>
      </c>
      <c r="I24" s="174" t="s">
        <v>645</v>
      </c>
      <c r="J24" s="174"/>
      <c r="K24" s="174"/>
      <c r="L24" s="174" t="s">
        <v>646</v>
      </c>
      <c r="M24" s="174"/>
      <c r="N24" s="174"/>
      <c r="O24" s="174" t="s">
        <v>647</v>
      </c>
      <c r="P24" s="174"/>
      <c r="Q24" s="174"/>
      <c r="R24" s="175">
        <v>38555</v>
      </c>
      <c r="S24" s="175"/>
      <c r="T24" s="89" t="s">
        <v>141</v>
      </c>
      <c r="U24" s="90" t="s">
        <v>142</v>
      </c>
    </row>
    <row r="25" spans="2:21" ht="25.5" thickBot="1" x14ac:dyDescent="0.4">
      <c r="B25" s="42">
        <v>11</v>
      </c>
      <c r="C25" s="167" t="s">
        <v>186</v>
      </c>
      <c r="D25" s="167"/>
      <c r="E25" s="167"/>
      <c r="F25" s="178" t="s">
        <v>182</v>
      </c>
      <c r="G25" s="178" t="s">
        <v>182</v>
      </c>
      <c r="H25" s="178" t="s">
        <v>182</v>
      </c>
      <c r="I25" s="174" t="s">
        <v>183</v>
      </c>
      <c r="J25" s="174"/>
      <c r="K25" s="174"/>
      <c r="L25" s="174" t="s">
        <v>184</v>
      </c>
      <c r="M25" s="174"/>
      <c r="N25" s="174"/>
      <c r="O25" s="174" t="s">
        <v>185</v>
      </c>
      <c r="P25" s="174"/>
      <c r="Q25" s="174"/>
      <c r="R25" s="175">
        <v>38556</v>
      </c>
      <c r="S25" s="175"/>
      <c r="T25" s="89" t="s">
        <v>141</v>
      </c>
      <c r="U25" s="90" t="s">
        <v>142</v>
      </c>
    </row>
    <row r="26" spans="2:21" ht="25.5" thickBot="1" x14ac:dyDescent="0.4">
      <c r="B26" s="42">
        <v>12</v>
      </c>
      <c r="C26" s="167" t="s">
        <v>191</v>
      </c>
      <c r="D26" s="167"/>
      <c r="E26" s="167"/>
      <c r="F26" s="178" t="s">
        <v>187</v>
      </c>
      <c r="G26" s="178" t="s">
        <v>187</v>
      </c>
      <c r="H26" s="178" t="s">
        <v>187</v>
      </c>
      <c r="I26" s="174" t="s">
        <v>188</v>
      </c>
      <c r="J26" s="174"/>
      <c r="K26" s="174"/>
      <c r="L26" s="174" t="s">
        <v>189</v>
      </c>
      <c r="M26" s="174"/>
      <c r="N26" s="174"/>
      <c r="O26" s="174" t="s">
        <v>190</v>
      </c>
      <c r="P26" s="174"/>
      <c r="Q26" s="174"/>
      <c r="R26" s="175">
        <v>38557</v>
      </c>
      <c r="S26" s="175"/>
      <c r="T26" s="89" t="s">
        <v>141</v>
      </c>
      <c r="U26" s="90" t="s">
        <v>142</v>
      </c>
    </row>
    <row r="27" spans="2:21" ht="25.5" thickBot="1" x14ac:dyDescent="0.4">
      <c r="B27" s="42">
        <v>13</v>
      </c>
      <c r="C27" s="167" t="s">
        <v>196</v>
      </c>
      <c r="D27" s="167"/>
      <c r="E27" s="167"/>
      <c r="F27" s="178" t="s">
        <v>192</v>
      </c>
      <c r="G27" s="178" t="s">
        <v>192</v>
      </c>
      <c r="H27" s="178" t="s">
        <v>192</v>
      </c>
      <c r="I27" s="174" t="s">
        <v>193</v>
      </c>
      <c r="J27" s="174"/>
      <c r="K27" s="174"/>
      <c r="L27" s="174" t="s">
        <v>194</v>
      </c>
      <c r="M27" s="174"/>
      <c r="N27" s="174"/>
      <c r="O27" s="174" t="s">
        <v>195</v>
      </c>
      <c r="P27" s="174"/>
      <c r="Q27" s="174"/>
      <c r="R27" s="175">
        <v>38558</v>
      </c>
      <c r="S27" s="175"/>
      <c r="T27" s="89" t="s">
        <v>141</v>
      </c>
      <c r="U27" s="90" t="s">
        <v>142</v>
      </c>
    </row>
    <row r="28" spans="2:21" ht="25.5" customHeight="1" thickBot="1" x14ac:dyDescent="0.4">
      <c r="B28" s="42">
        <v>14</v>
      </c>
      <c r="C28" s="167" t="s">
        <v>567</v>
      </c>
      <c r="D28" s="167"/>
      <c r="E28" s="167"/>
      <c r="F28" s="178" t="s">
        <v>197</v>
      </c>
      <c r="G28" s="178" t="s">
        <v>197</v>
      </c>
      <c r="H28" s="178" t="s">
        <v>197</v>
      </c>
      <c r="I28" s="174" t="s">
        <v>198</v>
      </c>
      <c r="J28" s="174"/>
      <c r="K28" s="174"/>
      <c r="L28" s="177" t="s">
        <v>615</v>
      </c>
      <c r="M28" s="177"/>
      <c r="N28" s="177"/>
      <c r="O28" s="174" t="s">
        <v>199</v>
      </c>
      <c r="P28" s="174"/>
      <c r="Q28" s="174"/>
      <c r="R28" s="175">
        <v>38559</v>
      </c>
      <c r="S28" s="175"/>
      <c r="T28" s="89" t="s">
        <v>141</v>
      </c>
      <c r="U28" s="90" t="s">
        <v>142</v>
      </c>
    </row>
    <row r="29" spans="2:21" ht="25.5" thickBot="1" x14ac:dyDescent="0.4">
      <c r="B29" s="42">
        <v>15</v>
      </c>
      <c r="C29" s="167" t="s">
        <v>568</v>
      </c>
      <c r="D29" s="167"/>
      <c r="E29" s="167"/>
      <c r="F29" s="178" t="s">
        <v>200</v>
      </c>
      <c r="G29" s="178" t="s">
        <v>200</v>
      </c>
      <c r="H29" s="178" t="s">
        <v>200</v>
      </c>
      <c r="I29" s="174" t="s">
        <v>201</v>
      </c>
      <c r="J29" s="174"/>
      <c r="K29" s="174"/>
      <c r="L29" s="174" t="s">
        <v>202</v>
      </c>
      <c r="M29" s="174"/>
      <c r="N29" s="174"/>
      <c r="O29" s="174" t="s">
        <v>203</v>
      </c>
      <c r="P29" s="174"/>
      <c r="Q29" s="174"/>
      <c r="R29" s="175">
        <v>38560</v>
      </c>
      <c r="S29" s="175"/>
      <c r="T29" s="89" t="s">
        <v>141</v>
      </c>
      <c r="U29" s="90" t="s">
        <v>142</v>
      </c>
    </row>
    <row r="30" spans="2:21" ht="25.5" thickBot="1" x14ac:dyDescent="0.4">
      <c r="B30" s="42">
        <v>16</v>
      </c>
      <c r="C30" s="167" t="s">
        <v>204</v>
      </c>
      <c r="D30" s="167"/>
      <c r="E30" s="167"/>
      <c r="F30" s="178" t="s">
        <v>205</v>
      </c>
      <c r="G30" s="178" t="s">
        <v>205</v>
      </c>
      <c r="H30" s="178" t="s">
        <v>205</v>
      </c>
      <c r="I30" s="174" t="s">
        <v>206</v>
      </c>
      <c r="J30" s="174"/>
      <c r="K30" s="174"/>
      <c r="L30" s="174" t="s">
        <v>207</v>
      </c>
      <c r="M30" s="174"/>
      <c r="N30" s="174"/>
      <c r="O30" s="174" t="s">
        <v>208</v>
      </c>
      <c r="P30" s="174"/>
      <c r="Q30" s="174"/>
      <c r="R30" s="175">
        <v>38561</v>
      </c>
      <c r="S30" s="175"/>
      <c r="T30" s="89" t="s">
        <v>141</v>
      </c>
      <c r="U30" s="90" t="s">
        <v>142</v>
      </c>
    </row>
    <row r="31" spans="2:21" ht="25.5" thickBot="1" x14ac:dyDescent="0.4">
      <c r="B31" s="42">
        <v>17</v>
      </c>
      <c r="C31" s="167" t="s">
        <v>209</v>
      </c>
      <c r="D31" s="167"/>
      <c r="E31" s="167"/>
      <c r="F31" s="178" t="s">
        <v>210</v>
      </c>
      <c r="G31" s="178" t="s">
        <v>210</v>
      </c>
      <c r="H31" s="178" t="s">
        <v>210</v>
      </c>
      <c r="I31" s="174" t="s">
        <v>211</v>
      </c>
      <c r="J31" s="174"/>
      <c r="K31" s="174"/>
      <c r="L31" s="174" t="s">
        <v>212</v>
      </c>
      <c r="M31" s="174"/>
      <c r="N31" s="174"/>
      <c r="O31" s="174" t="s">
        <v>213</v>
      </c>
      <c r="P31" s="174"/>
      <c r="Q31" s="174"/>
      <c r="R31" s="175">
        <v>38562</v>
      </c>
      <c r="S31" s="175"/>
      <c r="T31" s="89" t="s">
        <v>141</v>
      </c>
      <c r="U31" s="90" t="s">
        <v>142</v>
      </c>
    </row>
    <row r="32" spans="2:21" ht="25.5" thickBot="1" x14ac:dyDescent="0.4">
      <c r="B32" s="42">
        <v>18</v>
      </c>
      <c r="C32" s="167" t="s">
        <v>214</v>
      </c>
      <c r="D32" s="167"/>
      <c r="E32" s="167"/>
      <c r="F32" s="178" t="s">
        <v>215</v>
      </c>
      <c r="G32" s="178" t="s">
        <v>215</v>
      </c>
      <c r="H32" s="178" t="s">
        <v>215</v>
      </c>
      <c r="I32" s="174" t="s">
        <v>216</v>
      </c>
      <c r="J32" s="174"/>
      <c r="K32" s="174"/>
      <c r="L32" s="174" t="s">
        <v>217</v>
      </c>
      <c r="M32" s="174"/>
      <c r="N32" s="174"/>
      <c r="O32" s="174" t="s">
        <v>218</v>
      </c>
      <c r="P32" s="174"/>
      <c r="Q32" s="174"/>
      <c r="R32" s="175">
        <v>38563</v>
      </c>
      <c r="S32" s="175"/>
      <c r="T32" s="89" t="s">
        <v>141</v>
      </c>
      <c r="U32" s="90" t="s">
        <v>142</v>
      </c>
    </row>
    <row r="33" spans="2:21" ht="25.5" thickBot="1" x14ac:dyDescent="0.4">
      <c r="B33" s="42">
        <v>19</v>
      </c>
      <c r="C33" s="167" t="s">
        <v>219</v>
      </c>
      <c r="D33" s="167"/>
      <c r="E33" s="167"/>
      <c r="F33" s="178" t="s">
        <v>220</v>
      </c>
      <c r="G33" s="178" t="s">
        <v>220</v>
      </c>
      <c r="H33" s="178" t="s">
        <v>220</v>
      </c>
      <c r="I33" s="174" t="s">
        <v>221</v>
      </c>
      <c r="J33" s="174"/>
      <c r="K33" s="174"/>
      <c r="L33" s="174" t="s">
        <v>222</v>
      </c>
      <c r="M33" s="174"/>
      <c r="N33" s="174"/>
      <c r="O33" s="174" t="s">
        <v>223</v>
      </c>
      <c r="P33" s="174"/>
      <c r="Q33" s="174"/>
      <c r="R33" s="175">
        <v>38564</v>
      </c>
      <c r="S33" s="175"/>
      <c r="T33" s="89" t="s">
        <v>141</v>
      </c>
      <c r="U33" s="90" t="s">
        <v>142</v>
      </c>
    </row>
    <row r="34" spans="2:21" ht="25.5" thickBot="1" x14ac:dyDescent="0.4">
      <c r="B34" s="42">
        <v>20</v>
      </c>
      <c r="C34" s="167" t="s">
        <v>224</v>
      </c>
      <c r="D34" s="167"/>
      <c r="E34" s="167"/>
      <c r="F34" s="178" t="s">
        <v>225</v>
      </c>
      <c r="G34" s="178" t="s">
        <v>225</v>
      </c>
      <c r="H34" s="178" t="s">
        <v>225</v>
      </c>
      <c r="I34" s="174" t="s">
        <v>226</v>
      </c>
      <c r="J34" s="174"/>
      <c r="K34" s="174"/>
      <c r="L34" s="174" t="s">
        <v>227</v>
      </c>
      <c r="M34" s="174"/>
      <c r="N34" s="174"/>
      <c r="O34" s="174" t="s">
        <v>228</v>
      </c>
      <c r="P34" s="174"/>
      <c r="Q34" s="174"/>
      <c r="R34" s="175">
        <v>38565</v>
      </c>
      <c r="S34" s="175"/>
      <c r="T34" s="89" t="s">
        <v>141</v>
      </c>
      <c r="U34" s="90" t="s">
        <v>142</v>
      </c>
    </row>
    <row r="35" spans="2:21" ht="25.5" thickBot="1" x14ac:dyDescent="0.4">
      <c r="B35" s="42">
        <v>21</v>
      </c>
      <c r="C35" s="167" t="s">
        <v>569</v>
      </c>
      <c r="D35" s="167"/>
      <c r="E35" s="167"/>
      <c r="F35" s="178" t="s">
        <v>230</v>
      </c>
      <c r="G35" s="178" t="s">
        <v>230</v>
      </c>
      <c r="H35" s="178" t="s">
        <v>230</v>
      </c>
      <c r="I35" s="174" t="s">
        <v>231</v>
      </c>
      <c r="J35" s="174"/>
      <c r="K35" s="174"/>
      <c r="L35" s="174" t="s">
        <v>232</v>
      </c>
      <c r="M35" s="174"/>
      <c r="N35" s="174"/>
      <c r="O35" s="174" t="s">
        <v>233</v>
      </c>
      <c r="P35" s="174"/>
      <c r="Q35" s="174"/>
      <c r="R35" s="175">
        <v>38566</v>
      </c>
      <c r="S35" s="175"/>
      <c r="T35" s="89" t="s">
        <v>141</v>
      </c>
      <c r="U35" s="90" t="s">
        <v>142</v>
      </c>
    </row>
    <row r="36" spans="2:21" ht="25.5" thickBot="1" x14ac:dyDescent="0.4">
      <c r="B36" s="42">
        <v>22</v>
      </c>
      <c r="C36" s="167" t="s">
        <v>229</v>
      </c>
      <c r="D36" s="167"/>
      <c r="E36" s="167"/>
      <c r="F36" s="178" t="s">
        <v>235</v>
      </c>
      <c r="G36" s="178" t="s">
        <v>235</v>
      </c>
      <c r="H36" s="178" t="s">
        <v>235</v>
      </c>
      <c r="I36" s="174" t="s">
        <v>236</v>
      </c>
      <c r="J36" s="174"/>
      <c r="K36" s="174"/>
      <c r="L36" s="174" t="s">
        <v>237</v>
      </c>
      <c r="M36" s="174"/>
      <c r="N36" s="174"/>
      <c r="O36" s="174" t="s">
        <v>238</v>
      </c>
      <c r="P36" s="174"/>
      <c r="Q36" s="174"/>
      <c r="R36" s="175">
        <v>38567</v>
      </c>
      <c r="S36" s="175"/>
      <c r="T36" s="89" t="s">
        <v>141</v>
      </c>
      <c r="U36" s="90" t="s">
        <v>142</v>
      </c>
    </row>
    <row r="37" spans="2:21" ht="25.5" thickBot="1" x14ac:dyDescent="0.4">
      <c r="B37" s="42">
        <v>23</v>
      </c>
      <c r="C37" s="167" t="s">
        <v>234</v>
      </c>
      <c r="D37" s="167"/>
      <c r="E37" s="167"/>
      <c r="F37" s="178" t="s">
        <v>240</v>
      </c>
      <c r="G37" s="178" t="s">
        <v>240</v>
      </c>
      <c r="H37" s="178" t="s">
        <v>240</v>
      </c>
      <c r="I37" s="174" t="s">
        <v>241</v>
      </c>
      <c r="J37" s="174"/>
      <c r="K37" s="174"/>
      <c r="L37" s="174" t="s">
        <v>242</v>
      </c>
      <c r="M37" s="174"/>
      <c r="N37" s="174"/>
      <c r="O37" s="174" t="s">
        <v>243</v>
      </c>
      <c r="P37" s="174"/>
      <c r="Q37" s="174"/>
      <c r="R37" s="175">
        <v>38568</v>
      </c>
      <c r="S37" s="175"/>
      <c r="T37" s="89" t="s">
        <v>141</v>
      </c>
      <c r="U37" s="90" t="s">
        <v>142</v>
      </c>
    </row>
    <row r="38" spans="2:21" ht="25.5" thickBot="1" x14ac:dyDescent="0.4">
      <c r="B38" s="42">
        <v>24</v>
      </c>
      <c r="C38" s="167" t="s">
        <v>239</v>
      </c>
      <c r="D38" s="167"/>
      <c r="E38" s="167"/>
      <c r="F38" s="178" t="s">
        <v>245</v>
      </c>
      <c r="G38" s="178" t="s">
        <v>245</v>
      </c>
      <c r="H38" s="178" t="s">
        <v>245</v>
      </c>
      <c r="I38" s="174" t="s">
        <v>246</v>
      </c>
      <c r="J38" s="174"/>
      <c r="K38" s="174"/>
      <c r="L38" s="174" t="s">
        <v>247</v>
      </c>
      <c r="M38" s="174"/>
      <c r="N38" s="174"/>
      <c r="O38" s="174" t="s">
        <v>248</v>
      </c>
      <c r="P38" s="174"/>
      <c r="Q38" s="174"/>
      <c r="R38" s="175">
        <v>38569</v>
      </c>
      <c r="S38" s="175"/>
      <c r="T38" s="89" t="s">
        <v>141</v>
      </c>
      <c r="U38" s="90" t="s">
        <v>142</v>
      </c>
    </row>
    <row r="39" spans="2:21" ht="25.5" thickBot="1" x14ac:dyDescent="0.4">
      <c r="B39" s="42">
        <v>25</v>
      </c>
      <c r="C39" s="167" t="s">
        <v>244</v>
      </c>
      <c r="D39" s="167"/>
      <c r="E39" s="167"/>
      <c r="F39" s="178" t="s">
        <v>250</v>
      </c>
      <c r="G39" s="178" t="s">
        <v>250</v>
      </c>
      <c r="H39" s="178" t="s">
        <v>250</v>
      </c>
      <c r="I39" s="174" t="s">
        <v>251</v>
      </c>
      <c r="J39" s="174"/>
      <c r="K39" s="174"/>
      <c r="L39" s="174" t="s">
        <v>252</v>
      </c>
      <c r="M39" s="174"/>
      <c r="N39" s="174"/>
      <c r="O39" s="174" t="s">
        <v>253</v>
      </c>
      <c r="P39" s="174"/>
      <c r="Q39" s="174"/>
      <c r="R39" s="175">
        <v>38570</v>
      </c>
      <c r="S39" s="175"/>
      <c r="T39" s="89" t="s">
        <v>141</v>
      </c>
      <c r="U39" s="90" t="s">
        <v>142</v>
      </c>
    </row>
    <row r="40" spans="2:21" ht="25.5" thickBot="1" x14ac:dyDescent="0.4">
      <c r="B40" s="42">
        <v>26</v>
      </c>
      <c r="C40" s="167" t="s">
        <v>249</v>
      </c>
      <c r="D40" s="167"/>
      <c r="E40" s="167"/>
      <c r="F40" s="178" t="s">
        <v>255</v>
      </c>
      <c r="G40" s="178" t="s">
        <v>255</v>
      </c>
      <c r="H40" s="178" t="s">
        <v>255</v>
      </c>
      <c r="I40" s="174" t="s">
        <v>256</v>
      </c>
      <c r="J40" s="174"/>
      <c r="K40" s="174"/>
      <c r="L40" s="174" t="s">
        <v>257</v>
      </c>
      <c r="M40" s="174"/>
      <c r="N40" s="174"/>
      <c r="O40" s="174" t="s">
        <v>258</v>
      </c>
      <c r="P40" s="174"/>
      <c r="Q40" s="174"/>
      <c r="R40" s="175">
        <v>38571</v>
      </c>
      <c r="S40" s="175"/>
      <c r="T40" s="89" t="s">
        <v>141</v>
      </c>
      <c r="U40" s="90" t="s">
        <v>142</v>
      </c>
    </row>
    <row r="41" spans="2:21" ht="25.5" thickBot="1" x14ac:dyDescent="0.4">
      <c r="B41" s="42">
        <v>27</v>
      </c>
      <c r="C41" s="167" t="s">
        <v>254</v>
      </c>
      <c r="D41" s="167"/>
      <c r="E41" s="167"/>
      <c r="F41" s="178" t="s">
        <v>259</v>
      </c>
      <c r="G41" s="178" t="s">
        <v>259</v>
      </c>
      <c r="H41" s="178" t="s">
        <v>259</v>
      </c>
      <c r="I41" s="174" t="s">
        <v>260</v>
      </c>
      <c r="J41" s="174"/>
      <c r="K41" s="174"/>
      <c r="L41" s="174" t="s">
        <v>261</v>
      </c>
      <c r="M41" s="174"/>
      <c r="N41" s="174"/>
      <c r="O41" s="174" t="s">
        <v>262</v>
      </c>
      <c r="P41" s="174"/>
      <c r="Q41" s="174"/>
      <c r="R41" s="175">
        <v>38572</v>
      </c>
      <c r="S41" s="175"/>
      <c r="T41" s="89" t="s">
        <v>141</v>
      </c>
      <c r="U41" s="90" t="s">
        <v>142</v>
      </c>
    </row>
    <row r="42" spans="2:21" ht="25.5" thickBot="1" x14ac:dyDescent="0.4">
      <c r="B42" s="42">
        <v>28</v>
      </c>
      <c r="C42" s="167" t="s">
        <v>570</v>
      </c>
      <c r="D42" s="167"/>
      <c r="E42" s="167"/>
      <c r="F42" s="178" t="s">
        <v>264</v>
      </c>
      <c r="G42" s="178" t="s">
        <v>264</v>
      </c>
      <c r="H42" s="178" t="s">
        <v>264</v>
      </c>
      <c r="I42" s="174" t="s">
        <v>265</v>
      </c>
      <c r="J42" s="174"/>
      <c r="K42" s="174"/>
      <c r="L42" s="174" t="s">
        <v>266</v>
      </c>
      <c r="M42" s="174"/>
      <c r="N42" s="174"/>
      <c r="O42" s="174" t="s">
        <v>267</v>
      </c>
      <c r="P42" s="174"/>
      <c r="Q42" s="174"/>
      <c r="R42" s="175">
        <v>38573</v>
      </c>
      <c r="S42" s="175"/>
      <c r="T42" s="89" t="s">
        <v>141</v>
      </c>
      <c r="U42" s="90" t="s">
        <v>142</v>
      </c>
    </row>
    <row r="43" spans="2:21" ht="25.5" thickBot="1" x14ac:dyDescent="0.4">
      <c r="B43" s="42">
        <v>29</v>
      </c>
      <c r="C43" s="167" t="s">
        <v>263</v>
      </c>
      <c r="D43" s="167"/>
      <c r="E43" s="167"/>
      <c r="F43" s="178" t="s">
        <v>268</v>
      </c>
      <c r="G43" s="178" t="s">
        <v>268</v>
      </c>
      <c r="H43" s="178" t="s">
        <v>268</v>
      </c>
      <c r="I43" s="174" t="s">
        <v>643</v>
      </c>
      <c r="J43" s="174"/>
      <c r="K43" s="174"/>
      <c r="L43" s="174" t="s">
        <v>532</v>
      </c>
      <c r="M43" s="174"/>
      <c r="N43" s="174"/>
      <c r="O43" s="174" t="s">
        <v>644</v>
      </c>
      <c r="P43" s="174"/>
      <c r="Q43" s="174"/>
      <c r="R43" s="175">
        <v>38574</v>
      </c>
      <c r="S43" s="175"/>
      <c r="T43" s="89" t="s">
        <v>141</v>
      </c>
      <c r="U43" s="90" t="s">
        <v>142</v>
      </c>
    </row>
    <row r="44" spans="2:21" ht="25.5" thickBot="1" x14ac:dyDescent="0.4">
      <c r="B44" s="42">
        <v>30</v>
      </c>
      <c r="C44" s="167" t="s">
        <v>571</v>
      </c>
      <c r="D44" s="167"/>
      <c r="E44" s="167"/>
      <c r="F44" s="178" t="s">
        <v>270</v>
      </c>
      <c r="G44" s="178" t="s">
        <v>270</v>
      </c>
      <c r="H44" s="178" t="s">
        <v>270</v>
      </c>
      <c r="I44" s="174" t="s">
        <v>271</v>
      </c>
      <c r="J44" s="174"/>
      <c r="K44" s="174"/>
      <c r="L44" s="174" t="s">
        <v>272</v>
      </c>
      <c r="M44" s="174"/>
      <c r="N44" s="174"/>
      <c r="O44" s="174" t="s">
        <v>273</v>
      </c>
      <c r="P44" s="174"/>
      <c r="Q44" s="174"/>
      <c r="R44" s="175">
        <v>38575</v>
      </c>
      <c r="S44" s="175"/>
      <c r="T44" s="89" t="s">
        <v>141</v>
      </c>
      <c r="U44" s="90" t="s">
        <v>142</v>
      </c>
    </row>
    <row r="45" spans="2:21" ht="25.5" thickBot="1" x14ac:dyDescent="0.4">
      <c r="B45" s="42">
        <v>31</v>
      </c>
      <c r="C45" s="167" t="s">
        <v>269</v>
      </c>
      <c r="D45" s="167"/>
      <c r="E45" s="167"/>
      <c r="F45" s="178" t="s">
        <v>274</v>
      </c>
      <c r="G45" s="178" t="s">
        <v>274</v>
      </c>
      <c r="H45" s="178" t="s">
        <v>274</v>
      </c>
      <c r="I45" s="174" t="s">
        <v>275</v>
      </c>
      <c r="J45" s="174"/>
      <c r="K45" s="174"/>
      <c r="L45" s="174" t="s">
        <v>276</v>
      </c>
      <c r="M45" s="174"/>
      <c r="N45" s="174"/>
      <c r="O45" s="174" t="s">
        <v>277</v>
      </c>
      <c r="P45" s="174"/>
      <c r="Q45" s="174"/>
      <c r="R45" s="175">
        <v>38576</v>
      </c>
      <c r="S45" s="175"/>
      <c r="T45" s="89" t="s">
        <v>141</v>
      </c>
      <c r="U45" s="90" t="s">
        <v>142</v>
      </c>
    </row>
    <row r="46" spans="2:21" ht="25.5" thickBot="1" x14ac:dyDescent="0.4">
      <c r="B46" s="42">
        <v>32</v>
      </c>
      <c r="C46" s="167" t="s">
        <v>572</v>
      </c>
      <c r="D46" s="167"/>
      <c r="E46" s="167"/>
      <c r="F46" s="178" t="s">
        <v>279</v>
      </c>
      <c r="G46" s="178" t="s">
        <v>279</v>
      </c>
      <c r="H46" s="178" t="s">
        <v>279</v>
      </c>
      <c r="I46" s="174" t="s">
        <v>280</v>
      </c>
      <c r="J46" s="174"/>
      <c r="K46" s="174"/>
      <c r="L46" s="174" t="s">
        <v>281</v>
      </c>
      <c r="M46" s="174"/>
      <c r="N46" s="174"/>
      <c r="O46" s="174" t="s">
        <v>282</v>
      </c>
      <c r="P46" s="174"/>
      <c r="Q46" s="174"/>
      <c r="R46" s="175">
        <v>38577</v>
      </c>
      <c r="S46" s="175"/>
      <c r="T46" s="89" t="s">
        <v>141</v>
      </c>
      <c r="U46" s="90" t="s">
        <v>142</v>
      </c>
    </row>
    <row r="47" spans="2:21" ht="25.5" thickBot="1" x14ac:dyDescent="0.4">
      <c r="B47" s="42">
        <v>33</v>
      </c>
      <c r="C47" s="167" t="s">
        <v>573</v>
      </c>
      <c r="D47" s="167"/>
      <c r="E47" s="167"/>
      <c r="F47" s="178" t="s">
        <v>284</v>
      </c>
      <c r="G47" s="178" t="s">
        <v>284</v>
      </c>
      <c r="H47" s="178" t="s">
        <v>284</v>
      </c>
      <c r="I47" s="174" t="s">
        <v>285</v>
      </c>
      <c r="J47" s="174"/>
      <c r="K47" s="174"/>
      <c r="L47" s="174" t="s">
        <v>286</v>
      </c>
      <c r="M47" s="174"/>
      <c r="N47" s="174"/>
      <c r="O47" s="174" t="s">
        <v>287</v>
      </c>
      <c r="P47" s="174"/>
      <c r="Q47" s="174"/>
      <c r="R47" s="175">
        <v>38578</v>
      </c>
      <c r="S47" s="175"/>
      <c r="T47" s="89" t="s">
        <v>141</v>
      </c>
      <c r="U47" s="90" t="s">
        <v>142</v>
      </c>
    </row>
    <row r="48" spans="2:21" ht="25.5" thickBot="1" x14ac:dyDescent="0.4">
      <c r="B48" s="42">
        <v>34</v>
      </c>
      <c r="C48" s="167" t="s">
        <v>278</v>
      </c>
      <c r="D48" s="167"/>
      <c r="E48" s="167"/>
      <c r="F48" s="178" t="s">
        <v>289</v>
      </c>
      <c r="G48" s="178" t="s">
        <v>289</v>
      </c>
      <c r="H48" s="178" t="s">
        <v>289</v>
      </c>
      <c r="I48" s="174" t="s">
        <v>290</v>
      </c>
      <c r="J48" s="174"/>
      <c r="K48" s="174"/>
      <c r="L48" s="174" t="s">
        <v>291</v>
      </c>
      <c r="M48" s="174"/>
      <c r="N48" s="174"/>
      <c r="O48" s="174" t="s">
        <v>292</v>
      </c>
      <c r="P48" s="174"/>
      <c r="Q48" s="174"/>
      <c r="R48" s="175">
        <v>38579</v>
      </c>
      <c r="S48" s="175"/>
      <c r="T48" s="89" t="s">
        <v>141</v>
      </c>
      <c r="U48" s="90" t="s">
        <v>142</v>
      </c>
    </row>
    <row r="49" spans="2:25" ht="25.5" thickBot="1" x14ac:dyDescent="0.4">
      <c r="B49" s="42">
        <v>35</v>
      </c>
      <c r="C49" s="167" t="s">
        <v>283</v>
      </c>
      <c r="D49" s="167"/>
      <c r="E49" s="167"/>
      <c r="F49" s="178" t="s">
        <v>294</v>
      </c>
      <c r="G49" s="178" t="s">
        <v>294</v>
      </c>
      <c r="H49" s="178" t="s">
        <v>294</v>
      </c>
      <c r="I49" s="174" t="s">
        <v>295</v>
      </c>
      <c r="J49" s="174"/>
      <c r="K49" s="174"/>
      <c r="L49" s="174" t="s">
        <v>296</v>
      </c>
      <c r="M49" s="174"/>
      <c r="N49" s="174"/>
      <c r="O49" s="174" t="s">
        <v>297</v>
      </c>
      <c r="P49" s="174"/>
      <c r="Q49" s="174"/>
      <c r="R49" s="175">
        <v>38580</v>
      </c>
      <c r="S49" s="175"/>
      <c r="T49" s="89" t="s">
        <v>141</v>
      </c>
      <c r="U49" s="90" t="s">
        <v>142</v>
      </c>
    </row>
    <row r="50" spans="2:25" ht="25.5" thickBot="1" x14ac:dyDescent="0.4">
      <c r="B50" s="42">
        <v>36</v>
      </c>
      <c r="C50" s="167" t="s">
        <v>574</v>
      </c>
      <c r="D50" s="167"/>
      <c r="E50" s="167"/>
      <c r="F50" s="178" t="s">
        <v>299</v>
      </c>
      <c r="G50" s="178" t="s">
        <v>299</v>
      </c>
      <c r="H50" s="178" t="s">
        <v>299</v>
      </c>
      <c r="I50" s="174" t="s">
        <v>300</v>
      </c>
      <c r="J50" s="174"/>
      <c r="K50" s="174"/>
      <c r="L50" s="174" t="s">
        <v>301</v>
      </c>
      <c r="M50" s="174"/>
      <c r="N50" s="174"/>
      <c r="O50" s="174" t="s">
        <v>302</v>
      </c>
      <c r="P50" s="174"/>
      <c r="Q50" s="174"/>
      <c r="R50" s="175">
        <v>38581</v>
      </c>
      <c r="S50" s="175"/>
      <c r="T50" s="89" t="s">
        <v>141</v>
      </c>
      <c r="U50" s="90" t="s">
        <v>142</v>
      </c>
    </row>
    <row r="51" spans="2:25" ht="25.5" thickBot="1" x14ac:dyDescent="0.4">
      <c r="B51" s="42">
        <v>37</v>
      </c>
      <c r="C51" s="167" t="s">
        <v>288</v>
      </c>
      <c r="D51" s="167"/>
      <c r="E51" s="167"/>
      <c r="F51" s="178" t="s">
        <v>303</v>
      </c>
      <c r="G51" s="178" t="s">
        <v>303</v>
      </c>
      <c r="H51" s="178" t="s">
        <v>303</v>
      </c>
      <c r="I51" s="174" t="s">
        <v>304</v>
      </c>
      <c r="J51" s="174"/>
      <c r="K51" s="174"/>
      <c r="L51" s="174" t="s">
        <v>305</v>
      </c>
      <c r="M51" s="174"/>
      <c r="N51" s="174"/>
      <c r="O51" s="174" t="s">
        <v>306</v>
      </c>
      <c r="P51" s="174"/>
      <c r="Q51" s="174"/>
      <c r="R51" s="175">
        <v>38582</v>
      </c>
      <c r="S51" s="175"/>
      <c r="T51" s="89" t="s">
        <v>141</v>
      </c>
      <c r="U51" s="90" t="s">
        <v>142</v>
      </c>
    </row>
    <row r="52" spans="2:25" ht="25.5" thickBot="1" x14ac:dyDescent="0.4">
      <c r="B52" s="42">
        <v>38</v>
      </c>
      <c r="C52" s="167" t="s">
        <v>293</v>
      </c>
      <c r="D52" s="167"/>
      <c r="E52" s="167"/>
      <c r="F52" s="178" t="s">
        <v>308</v>
      </c>
      <c r="G52" s="178" t="s">
        <v>308</v>
      </c>
      <c r="H52" s="178" t="s">
        <v>308</v>
      </c>
      <c r="I52" s="174" t="s">
        <v>309</v>
      </c>
      <c r="J52" s="174"/>
      <c r="K52" s="174"/>
      <c r="L52" s="174" t="s">
        <v>310</v>
      </c>
      <c r="M52" s="174"/>
      <c r="N52" s="174"/>
      <c r="O52" s="174" t="s">
        <v>311</v>
      </c>
      <c r="P52" s="174"/>
      <c r="Q52" s="174"/>
      <c r="R52" s="175">
        <v>38583</v>
      </c>
      <c r="S52" s="175"/>
      <c r="T52" s="89" t="s">
        <v>141</v>
      </c>
      <c r="U52" s="90" t="s">
        <v>142</v>
      </c>
      <c r="W52" s="107"/>
      <c r="X52" s="107"/>
      <c r="Y52" s="107"/>
    </row>
    <row r="53" spans="2:25" ht="25.5" thickBot="1" x14ac:dyDescent="0.4">
      <c r="B53" s="42">
        <v>39</v>
      </c>
      <c r="C53" s="167" t="s">
        <v>575</v>
      </c>
      <c r="D53" s="167"/>
      <c r="E53" s="167"/>
      <c r="F53" s="178" t="s">
        <v>313</v>
      </c>
      <c r="G53" s="178" t="s">
        <v>313</v>
      </c>
      <c r="H53" s="178" t="s">
        <v>313</v>
      </c>
      <c r="I53" s="174" t="s">
        <v>616</v>
      </c>
      <c r="J53" s="174"/>
      <c r="K53" s="174"/>
      <c r="L53" s="174" t="s">
        <v>617</v>
      </c>
      <c r="M53" s="174"/>
      <c r="N53" s="174"/>
      <c r="O53" s="174" t="s">
        <v>618</v>
      </c>
      <c r="P53" s="174"/>
      <c r="Q53" s="174"/>
      <c r="R53" s="175">
        <v>38584</v>
      </c>
      <c r="S53" s="175"/>
      <c r="T53" s="89" t="s">
        <v>141</v>
      </c>
      <c r="U53" s="90" t="s">
        <v>142</v>
      </c>
    </row>
    <row r="54" spans="2:25" ht="25.5" thickBot="1" x14ac:dyDescent="0.4">
      <c r="B54" s="42">
        <v>40</v>
      </c>
      <c r="C54" s="167" t="s">
        <v>298</v>
      </c>
      <c r="D54" s="167"/>
      <c r="E54" s="167"/>
      <c r="F54" s="178" t="s">
        <v>315</v>
      </c>
      <c r="G54" s="178" t="s">
        <v>315</v>
      </c>
      <c r="H54" s="178" t="s">
        <v>315</v>
      </c>
      <c r="I54" s="174" t="s">
        <v>316</v>
      </c>
      <c r="J54" s="174"/>
      <c r="K54" s="174"/>
      <c r="L54" s="174" t="s">
        <v>317</v>
      </c>
      <c r="M54" s="174"/>
      <c r="N54" s="174"/>
      <c r="O54" s="174" t="s">
        <v>318</v>
      </c>
      <c r="P54" s="174"/>
      <c r="Q54" s="174"/>
      <c r="R54" s="175">
        <v>38585</v>
      </c>
      <c r="S54" s="175"/>
      <c r="T54" s="89" t="s">
        <v>141</v>
      </c>
      <c r="U54" s="90" t="s">
        <v>142</v>
      </c>
    </row>
    <row r="55" spans="2:25" ht="25.5" thickBot="1" x14ac:dyDescent="0.4">
      <c r="B55" s="42">
        <v>41</v>
      </c>
      <c r="C55" s="167" t="s">
        <v>576</v>
      </c>
      <c r="D55" s="167"/>
      <c r="E55" s="167"/>
      <c r="F55" s="178" t="s">
        <v>319</v>
      </c>
      <c r="G55" s="178" t="s">
        <v>319</v>
      </c>
      <c r="H55" s="178" t="s">
        <v>319</v>
      </c>
      <c r="I55" s="174" t="s">
        <v>320</v>
      </c>
      <c r="J55" s="174"/>
      <c r="K55" s="174"/>
      <c r="L55" s="174" t="s">
        <v>321</v>
      </c>
      <c r="M55" s="174"/>
      <c r="N55" s="174"/>
      <c r="O55" s="174" t="s">
        <v>322</v>
      </c>
      <c r="P55" s="174"/>
      <c r="Q55" s="174"/>
      <c r="R55" s="175">
        <v>38586</v>
      </c>
      <c r="S55" s="175"/>
      <c r="T55" s="89" t="s">
        <v>141</v>
      </c>
      <c r="U55" s="90" t="s">
        <v>142</v>
      </c>
    </row>
    <row r="56" spans="2:25" ht="25.5" thickBot="1" x14ac:dyDescent="0.4">
      <c r="B56" s="42">
        <v>42</v>
      </c>
      <c r="C56" s="167" t="s">
        <v>577</v>
      </c>
      <c r="D56" s="167"/>
      <c r="E56" s="167"/>
      <c r="F56" s="178" t="s">
        <v>324</v>
      </c>
      <c r="G56" s="178" t="s">
        <v>324</v>
      </c>
      <c r="H56" s="178" t="s">
        <v>324</v>
      </c>
      <c r="I56" s="174" t="s">
        <v>325</v>
      </c>
      <c r="J56" s="174"/>
      <c r="K56" s="174"/>
      <c r="L56" s="174" t="s">
        <v>326</v>
      </c>
      <c r="M56" s="174"/>
      <c r="N56" s="174"/>
      <c r="O56" s="174" t="s">
        <v>327</v>
      </c>
      <c r="P56" s="174"/>
      <c r="Q56" s="174"/>
      <c r="R56" s="175">
        <v>38587</v>
      </c>
      <c r="S56" s="175"/>
      <c r="T56" s="89" t="s">
        <v>141</v>
      </c>
      <c r="U56" s="90" t="s">
        <v>142</v>
      </c>
    </row>
    <row r="57" spans="2:25" ht="25.5" thickBot="1" x14ac:dyDescent="0.4">
      <c r="B57" s="42">
        <v>43</v>
      </c>
      <c r="C57" s="167" t="s">
        <v>307</v>
      </c>
      <c r="D57" s="167"/>
      <c r="E57" s="167"/>
      <c r="F57" s="178" t="s">
        <v>328</v>
      </c>
      <c r="G57" s="178" t="s">
        <v>328</v>
      </c>
      <c r="H57" s="178" t="s">
        <v>328</v>
      </c>
      <c r="I57" s="174" t="s">
        <v>329</v>
      </c>
      <c r="J57" s="174"/>
      <c r="K57" s="174"/>
      <c r="L57" s="174" t="s">
        <v>330</v>
      </c>
      <c r="M57" s="174"/>
      <c r="N57" s="174"/>
      <c r="O57" s="174" t="s">
        <v>331</v>
      </c>
      <c r="P57" s="174"/>
      <c r="Q57" s="174"/>
      <c r="R57" s="175">
        <v>38588</v>
      </c>
      <c r="S57" s="175"/>
      <c r="T57" s="89" t="s">
        <v>141</v>
      </c>
      <c r="U57" s="90" t="s">
        <v>142</v>
      </c>
    </row>
    <row r="58" spans="2:25" ht="25.5" thickBot="1" x14ac:dyDescent="0.4">
      <c r="B58" s="42">
        <v>44</v>
      </c>
      <c r="C58" s="167" t="s">
        <v>312</v>
      </c>
      <c r="D58" s="167"/>
      <c r="E58" s="167"/>
      <c r="F58" s="178" t="s">
        <v>333</v>
      </c>
      <c r="G58" s="178" t="s">
        <v>333</v>
      </c>
      <c r="H58" s="178" t="s">
        <v>333</v>
      </c>
      <c r="I58" s="174" t="s">
        <v>334</v>
      </c>
      <c r="J58" s="174"/>
      <c r="K58" s="174"/>
      <c r="L58" s="174" t="s">
        <v>335</v>
      </c>
      <c r="M58" s="174"/>
      <c r="N58" s="174"/>
      <c r="O58" s="174" t="s">
        <v>336</v>
      </c>
      <c r="P58" s="174"/>
      <c r="Q58" s="174"/>
      <c r="R58" s="175">
        <v>38589</v>
      </c>
      <c r="S58" s="175"/>
      <c r="T58" s="89" t="s">
        <v>141</v>
      </c>
      <c r="U58" s="90" t="s">
        <v>142</v>
      </c>
    </row>
    <row r="59" spans="2:25" ht="25.5" thickBot="1" x14ac:dyDescent="0.4">
      <c r="B59" s="42">
        <v>45</v>
      </c>
      <c r="C59" s="167" t="s">
        <v>578</v>
      </c>
      <c r="D59" s="167"/>
      <c r="E59" s="167"/>
      <c r="F59" s="178" t="s">
        <v>337</v>
      </c>
      <c r="G59" s="178" t="s">
        <v>337</v>
      </c>
      <c r="H59" s="178" t="s">
        <v>337</v>
      </c>
      <c r="I59" s="174" t="s">
        <v>338</v>
      </c>
      <c r="J59" s="174"/>
      <c r="K59" s="174"/>
      <c r="L59" s="174" t="s">
        <v>339</v>
      </c>
      <c r="M59" s="174"/>
      <c r="N59" s="174"/>
      <c r="O59" s="174" t="s">
        <v>340</v>
      </c>
      <c r="P59" s="174"/>
      <c r="Q59" s="174"/>
      <c r="R59" s="175">
        <v>38590</v>
      </c>
      <c r="S59" s="175"/>
      <c r="T59" s="89" t="s">
        <v>141</v>
      </c>
      <c r="U59" s="90" t="s">
        <v>142</v>
      </c>
    </row>
    <row r="60" spans="2:25" ht="25.5" thickBot="1" x14ac:dyDescent="0.4">
      <c r="B60" s="42">
        <v>46</v>
      </c>
      <c r="C60" s="167" t="s">
        <v>314</v>
      </c>
      <c r="D60" s="167"/>
      <c r="E60" s="167"/>
      <c r="F60" s="178" t="s">
        <v>342</v>
      </c>
      <c r="G60" s="178" t="s">
        <v>342</v>
      </c>
      <c r="H60" s="178" t="s">
        <v>342</v>
      </c>
      <c r="I60" s="174" t="s">
        <v>343</v>
      </c>
      <c r="J60" s="174"/>
      <c r="K60" s="174"/>
      <c r="L60" s="174" t="s">
        <v>344</v>
      </c>
      <c r="M60" s="174"/>
      <c r="N60" s="174"/>
      <c r="O60" s="174" t="s">
        <v>345</v>
      </c>
      <c r="P60" s="174"/>
      <c r="Q60" s="174"/>
      <c r="R60" s="175">
        <v>38591</v>
      </c>
      <c r="S60" s="175"/>
      <c r="T60" s="89" t="s">
        <v>141</v>
      </c>
      <c r="U60" s="90" t="s">
        <v>142</v>
      </c>
    </row>
    <row r="61" spans="2:25" ht="25.5" thickBot="1" x14ac:dyDescent="0.4">
      <c r="B61" s="42">
        <v>47</v>
      </c>
      <c r="C61" s="167" t="s">
        <v>579</v>
      </c>
      <c r="D61" s="167"/>
      <c r="E61" s="167"/>
      <c r="F61" s="178" t="s">
        <v>347</v>
      </c>
      <c r="G61" s="178" t="s">
        <v>347</v>
      </c>
      <c r="H61" s="178" t="s">
        <v>347</v>
      </c>
      <c r="I61" s="174" t="s">
        <v>348</v>
      </c>
      <c r="J61" s="174"/>
      <c r="K61" s="174"/>
      <c r="L61" s="174" t="s">
        <v>349</v>
      </c>
      <c r="M61" s="174"/>
      <c r="N61" s="174"/>
      <c r="O61" s="174" t="s">
        <v>350</v>
      </c>
      <c r="P61" s="174"/>
      <c r="Q61" s="174"/>
      <c r="R61" s="175">
        <v>38592</v>
      </c>
      <c r="S61" s="175"/>
      <c r="T61" s="89" t="s">
        <v>141</v>
      </c>
      <c r="U61" s="90" t="s">
        <v>142</v>
      </c>
    </row>
    <row r="62" spans="2:25" ht="25.5" thickBot="1" x14ac:dyDescent="0.4">
      <c r="B62" s="42">
        <v>48</v>
      </c>
      <c r="C62" s="167" t="s">
        <v>323</v>
      </c>
      <c r="D62" s="167"/>
      <c r="E62" s="167"/>
      <c r="F62" s="178" t="s">
        <v>351</v>
      </c>
      <c r="G62" s="178" t="s">
        <v>351</v>
      </c>
      <c r="H62" s="178" t="s">
        <v>351</v>
      </c>
      <c r="I62" s="174" t="s">
        <v>352</v>
      </c>
      <c r="J62" s="174"/>
      <c r="K62" s="174"/>
      <c r="L62" s="174" t="s">
        <v>353</v>
      </c>
      <c r="M62" s="174"/>
      <c r="N62" s="174"/>
      <c r="O62" s="174" t="s">
        <v>354</v>
      </c>
      <c r="P62" s="174"/>
      <c r="Q62" s="174"/>
      <c r="R62" s="175">
        <v>38593</v>
      </c>
      <c r="S62" s="175"/>
      <c r="T62" s="89" t="s">
        <v>141</v>
      </c>
      <c r="U62" s="90" t="s">
        <v>142</v>
      </c>
    </row>
    <row r="63" spans="2:25" ht="25.5" thickBot="1" x14ac:dyDescent="0.4">
      <c r="B63" s="42">
        <v>49</v>
      </c>
      <c r="C63" s="167" t="s">
        <v>580</v>
      </c>
      <c r="D63" s="167"/>
      <c r="E63" s="167"/>
      <c r="F63" s="178" t="s">
        <v>356</v>
      </c>
      <c r="G63" s="178" t="s">
        <v>356</v>
      </c>
      <c r="H63" s="178" t="s">
        <v>356</v>
      </c>
      <c r="I63" s="174" t="s">
        <v>357</v>
      </c>
      <c r="J63" s="174"/>
      <c r="K63" s="174"/>
      <c r="L63" s="174" t="s">
        <v>358</v>
      </c>
      <c r="M63" s="174"/>
      <c r="N63" s="174"/>
      <c r="O63" s="174" t="s">
        <v>359</v>
      </c>
      <c r="P63" s="174"/>
      <c r="Q63" s="174"/>
      <c r="R63" s="175">
        <v>38594</v>
      </c>
      <c r="S63" s="175"/>
      <c r="T63" s="89" t="s">
        <v>141</v>
      </c>
      <c r="U63" s="90" t="s">
        <v>142</v>
      </c>
    </row>
    <row r="64" spans="2:25" ht="25.5" thickBot="1" x14ac:dyDescent="0.4">
      <c r="B64" s="42">
        <v>50</v>
      </c>
      <c r="C64" s="167" t="s">
        <v>581</v>
      </c>
      <c r="D64" s="167"/>
      <c r="E64" s="167"/>
      <c r="F64" s="178" t="s">
        <v>360</v>
      </c>
      <c r="G64" s="178" t="s">
        <v>360</v>
      </c>
      <c r="H64" s="178" t="s">
        <v>360</v>
      </c>
      <c r="I64" s="174" t="s">
        <v>361</v>
      </c>
      <c r="J64" s="174"/>
      <c r="K64" s="174"/>
      <c r="L64" s="174" t="s">
        <v>362</v>
      </c>
      <c r="M64" s="174"/>
      <c r="N64" s="174"/>
      <c r="O64" s="174" t="s">
        <v>363</v>
      </c>
      <c r="P64" s="174"/>
      <c r="Q64" s="174"/>
      <c r="R64" s="175">
        <v>38595</v>
      </c>
      <c r="S64" s="175"/>
      <c r="T64" s="89" t="s">
        <v>141</v>
      </c>
      <c r="U64" s="90" t="s">
        <v>142</v>
      </c>
    </row>
    <row r="65" spans="2:21" ht="25.5" thickBot="1" x14ac:dyDescent="0.4">
      <c r="B65" s="42">
        <v>51</v>
      </c>
      <c r="C65" s="167" t="s">
        <v>332</v>
      </c>
      <c r="D65" s="167"/>
      <c r="E65" s="167"/>
      <c r="F65" s="178" t="s">
        <v>365</v>
      </c>
      <c r="G65" s="178" t="s">
        <v>365</v>
      </c>
      <c r="H65" s="178" t="s">
        <v>365</v>
      </c>
      <c r="I65" s="174" t="s">
        <v>366</v>
      </c>
      <c r="J65" s="174"/>
      <c r="K65" s="174"/>
      <c r="L65" s="174" t="s">
        <v>367</v>
      </c>
      <c r="M65" s="174"/>
      <c r="N65" s="174"/>
      <c r="O65" s="174" t="s">
        <v>368</v>
      </c>
      <c r="P65" s="174"/>
      <c r="Q65" s="174"/>
      <c r="R65" s="175">
        <v>38596</v>
      </c>
      <c r="S65" s="175"/>
      <c r="T65" s="89" t="s">
        <v>141</v>
      </c>
      <c r="U65" s="90" t="s">
        <v>142</v>
      </c>
    </row>
    <row r="66" spans="2:21" ht="25.5" thickBot="1" x14ac:dyDescent="0.4">
      <c r="B66" s="42">
        <v>52</v>
      </c>
      <c r="C66" s="167" t="s">
        <v>582</v>
      </c>
      <c r="D66" s="167"/>
      <c r="E66" s="167"/>
      <c r="F66" s="178" t="s">
        <v>370</v>
      </c>
      <c r="G66" s="178" t="s">
        <v>370</v>
      </c>
      <c r="H66" s="178" t="s">
        <v>370</v>
      </c>
      <c r="I66" s="174" t="s">
        <v>371</v>
      </c>
      <c r="J66" s="174"/>
      <c r="K66" s="174"/>
      <c r="L66" s="174" t="s">
        <v>372</v>
      </c>
      <c r="M66" s="174"/>
      <c r="N66" s="174"/>
      <c r="O66" s="174" t="s">
        <v>373</v>
      </c>
      <c r="P66" s="174"/>
      <c r="Q66" s="174"/>
      <c r="R66" s="175">
        <v>38597</v>
      </c>
      <c r="S66" s="175"/>
      <c r="T66" s="89" t="s">
        <v>141</v>
      </c>
      <c r="U66" s="90" t="s">
        <v>142</v>
      </c>
    </row>
    <row r="67" spans="2:21" ht="25.5" thickBot="1" x14ac:dyDescent="0.4">
      <c r="B67" s="42">
        <v>53</v>
      </c>
      <c r="C67" s="167" t="s">
        <v>341</v>
      </c>
      <c r="D67" s="167"/>
      <c r="E67" s="167"/>
      <c r="F67" s="178" t="s">
        <v>374</v>
      </c>
      <c r="G67" s="178" t="s">
        <v>374</v>
      </c>
      <c r="H67" s="178" t="s">
        <v>374</v>
      </c>
      <c r="I67" s="174" t="s">
        <v>375</v>
      </c>
      <c r="J67" s="174"/>
      <c r="K67" s="174"/>
      <c r="L67" s="174" t="s">
        <v>376</v>
      </c>
      <c r="M67" s="174"/>
      <c r="N67" s="174"/>
      <c r="O67" s="174" t="s">
        <v>377</v>
      </c>
      <c r="P67" s="174"/>
      <c r="Q67" s="174"/>
      <c r="R67" s="175">
        <v>38598</v>
      </c>
      <c r="S67" s="175"/>
      <c r="T67" s="89" t="s">
        <v>141</v>
      </c>
      <c r="U67" s="90" t="s">
        <v>142</v>
      </c>
    </row>
    <row r="68" spans="2:21" ht="25.5" thickBot="1" x14ac:dyDescent="0.4">
      <c r="B68" s="42">
        <v>54</v>
      </c>
      <c r="C68" s="167" t="s">
        <v>346</v>
      </c>
      <c r="D68" s="167"/>
      <c r="E68" s="167"/>
      <c r="F68" s="178" t="s">
        <v>379</v>
      </c>
      <c r="G68" s="178" t="s">
        <v>379</v>
      </c>
      <c r="H68" s="178" t="s">
        <v>379</v>
      </c>
      <c r="I68" s="174" t="s">
        <v>380</v>
      </c>
      <c r="J68" s="174"/>
      <c r="K68" s="174"/>
      <c r="L68" s="174" t="s">
        <v>381</v>
      </c>
      <c r="M68" s="174"/>
      <c r="N68" s="174"/>
      <c r="O68" s="174" t="s">
        <v>382</v>
      </c>
      <c r="P68" s="174"/>
      <c r="Q68" s="174"/>
      <c r="R68" s="175">
        <v>38599</v>
      </c>
      <c r="S68" s="175"/>
      <c r="T68" s="89" t="s">
        <v>141</v>
      </c>
      <c r="U68" s="90" t="s">
        <v>142</v>
      </c>
    </row>
    <row r="69" spans="2:21" ht="25.5" thickBot="1" x14ac:dyDescent="0.4">
      <c r="B69" s="42">
        <v>55</v>
      </c>
      <c r="C69" s="167" t="s">
        <v>583</v>
      </c>
      <c r="D69" s="167"/>
      <c r="E69" s="167"/>
      <c r="F69" s="178" t="s">
        <v>384</v>
      </c>
      <c r="G69" s="178" t="s">
        <v>384</v>
      </c>
      <c r="H69" s="178" t="s">
        <v>384</v>
      </c>
      <c r="I69" s="174" t="s">
        <v>385</v>
      </c>
      <c r="J69" s="174"/>
      <c r="K69" s="174"/>
      <c r="L69" s="174" t="s">
        <v>386</v>
      </c>
      <c r="M69" s="174"/>
      <c r="N69" s="174"/>
      <c r="O69" s="174" t="s">
        <v>387</v>
      </c>
      <c r="P69" s="174"/>
      <c r="Q69" s="174"/>
      <c r="R69" s="175">
        <v>38600</v>
      </c>
      <c r="S69" s="175"/>
      <c r="T69" s="89" t="s">
        <v>141</v>
      </c>
      <c r="U69" s="90" t="s">
        <v>142</v>
      </c>
    </row>
    <row r="70" spans="2:21" ht="25.5" thickBot="1" x14ac:dyDescent="0.4">
      <c r="B70" s="42">
        <v>56</v>
      </c>
      <c r="C70" s="167" t="s">
        <v>355</v>
      </c>
      <c r="D70" s="167"/>
      <c r="E70" s="167"/>
      <c r="F70" s="178" t="s">
        <v>384</v>
      </c>
      <c r="G70" s="178" t="s">
        <v>384</v>
      </c>
      <c r="H70" s="178" t="s">
        <v>384</v>
      </c>
      <c r="I70" s="174" t="s">
        <v>640</v>
      </c>
      <c r="J70" s="174"/>
      <c r="K70" s="174"/>
      <c r="L70" s="174" t="s">
        <v>641</v>
      </c>
      <c r="M70" s="174"/>
      <c r="N70" s="174"/>
      <c r="O70" s="174" t="s">
        <v>642</v>
      </c>
      <c r="P70" s="174"/>
      <c r="Q70" s="174"/>
      <c r="R70" s="175">
        <v>38601</v>
      </c>
      <c r="S70" s="175"/>
      <c r="T70" s="89" t="s">
        <v>141</v>
      </c>
      <c r="U70" s="90" t="s">
        <v>142</v>
      </c>
    </row>
    <row r="71" spans="2:21" ht="25.5" thickBot="1" x14ac:dyDescent="0.4">
      <c r="B71" s="42">
        <v>57</v>
      </c>
      <c r="C71" s="167" t="s">
        <v>584</v>
      </c>
      <c r="D71" s="167"/>
      <c r="E71" s="167"/>
      <c r="F71" s="178" t="s">
        <v>389</v>
      </c>
      <c r="G71" s="178" t="s">
        <v>389</v>
      </c>
      <c r="H71" s="178" t="s">
        <v>389</v>
      </c>
      <c r="I71" s="174" t="s">
        <v>619</v>
      </c>
      <c r="J71" s="174"/>
      <c r="K71" s="174"/>
      <c r="L71" s="174" t="s">
        <v>620</v>
      </c>
      <c r="M71" s="174"/>
      <c r="N71" s="174"/>
      <c r="O71" s="174" t="s">
        <v>621</v>
      </c>
      <c r="P71" s="174"/>
      <c r="Q71" s="174"/>
      <c r="R71" s="175">
        <v>38602</v>
      </c>
      <c r="S71" s="175"/>
      <c r="T71" s="89" t="s">
        <v>141</v>
      </c>
      <c r="U71" s="90" t="s">
        <v>142</v>
      </c>
    </row>
    <row r="72" spans="2:21" ht="25.5" thickBot="1" x14ac:dyDescent="0.4">
      <c r="B72" s="42">
        <v>58</v>
      </c>
      <c r="C72" s="167" t="s">
        <v>364</v>
      </c>
      <c r="D72" s="167"/>
      <c r="E72" s="167"/>
      <c r="F72" s="178" t="s">
        <v>390</v>
      </c>
      <c r="G72" s="178" t="s">
        <v>390</v>
      </c>
      <c r="H72" s="178" t="s">
        <v>390</v>
      </c>
      <c r="I72" s="174" t="s">
        <v>622</v>
      </c>
      <c r="J72" s="174"/>
      <c r="K72" s="174"/>
      <c r="L72" s="174" t="s">
        <v>623</v>
      </c>
      <c r="M72" s="174"/>
      <c r="N72" s="174"/>
      <c r="O72" s="177" t="s">
        <v>624</v>
      </c>
      <c r="P72" s="177"/>
      <c r="Q72" s="177"/>
      <c r="R72" s="175">
        <v>38603</v>
      </c>
      <c r="S72" s="175"/>
      <c r="T72" s="89" t="s">
        <v>141</v>
      </c>
      <c r="U72" s="90" t="s">
        <v>142</v>
      </c>
    </row>
    <row r="73" spans="2:21" ht="25.5" thickBot="1" x14ac:dyDescent="0.4">
      <c r="B73" s="42">
        <v>59</v>
      </c>
      <c r="C73" s="167" t="s">
        <v>369</v>
      </c>
      <c r="D73" s="167"/>
      <c r="E73" s="167"/>
      <c r="F73" s="178" t="s">
        <v>391</v>
      </c>
      <c r="G73" s="178" t="s">
        <v>391</v>
      </c>
      <c r="H73" s="178" t="s">
        <v>391</v>
      </c>
      <c r="I73" s="174" t="s">
        <v>392</v>
      </c>
      <c r="J73" s="174"/>
      <c r="K73" s="174"/>
      <c r="L73" s="174" t="s">
        <v>393</v>
      </c>
      <c r="M73" s="174"/>
      <c r="N73" s="174"/>
      <c r="O73" s="174" t="s">
        <v>394</v>
      </c>
      <c r="P73" s="174"/>
      <c r="Q73" s="174"/>
      <c r="R73" s="175">
        <v>38604</v>
      </c>
      <c r="S73" s="175"/>
      <c r="T73" s="89" t="s">
        <v>141</v>
      </c>
      <c r="U73" s="90" t="s">
        <v>142</v>
      </c>
    </row>
    <row r="74" spans="2:21" ht="25.5" thickBot="1" x14ac:dyDescent="0.4">
      <c r="B74" s="42">
        <v>60</v>
      </c>
      <c r="C74" s="167" t="s">
        <v>585</v>
      </c>
      <c r="D74" s="167"/>
      <c r="E74" s="167"/>
      <c r="F74" s="178" t="s">
        <v>395</v>
      </c>
      <c r="G74" s="178" t="s">
        <v>395</v>
      </c>
      <c r="H74" s="178" t="s">
        <v>395</v>
      </c>
      <c r="I74" s="174" t="s">
        <v>396</v>
      </c>
      <c r="J74" s="174"/>
      <c r="K74" s="174"/>
      <c r="L74" s="174" t="s">
        <v>397</v>
      </c>
      <c r="M74" s="174"/>
      <c r="N74" s="174"/>
      <c r="O74" s="174" t="s">
        <v>398</v>
      </c>
      <c r="P74" s="174"/>
      <c r="Q74" s="174"/>
      <c r="R74" s="175">
        <v>38605</v>
      </c>
      <c r="S74" s="175"/>
      <c r="T74" s="89" t="s">
        <v>141</v>
      </c>
      <c r="U74" s="90" t="s">
        <v>142</v>
      </c>
    </row>
    <row r="75" spans="2:21" ht="25.5" thickBot="1" x14ac:dyDescent="0.4">
      <c r="B75" s="42">
        <v>61</v>
      </c>
      <c r="C75" s="167" t="s">
        <v>378</v>
      </c>
      <c r="D75" s="167"/>
      <c r="E75" s="167"/>
      <c r="F75" s="178" t="s">
        <v>399</v>
      </c>
      <c r="G75" s="178" t="s">
        <v>399</v>
      </c>
      <c r="H75" s="178" t="s">
        <v>399</v>
      </c>
      <c r="I75" s="174" t="s">
        <v>400</v>
      </c>
      <c r="J75" s="174"/>
      <c r="K75" s="174"/>
      <c r="L75" s="174" t="s">
        <v>401</v>
      </c>
      <c r="M75" s="174"/>
      <c r="N75" s="174"/>
      <c r="O75" s="174" t="s">
        <v>402</v>
      </c>
      <c r="P75" s="174"/>
      <c r="Q75" s="174"/>
      <c r="R75" s="175">
        <v>38606</v>
      </c>
      <c r="S75" s="175"/>
      <c r="T75" s="89" t="s">
        <v>141</v>
      </c>
      <c r="U75" s="90" t="s">
        <v>142</v>
      </c>
    </row>
    <row r="76" spans="2:21" ht="25.5" thickBot="1" x14ac:dyDescent="0.4">
      <c r="B76" s="42">
        <v>62</v>
      </c>
      <c r="C76" s="167" t="s">
        <v>383</v>
      </c>
      <c r="D76" s="167"/>
      <c r="E76" s="167"/>
      <c r="F76" s="178" t="s">
        <v>404</v>
      </c>
      <c r="G76" s="178" t="s">
        <v>404</v>
      </c>
      <c r="H76" s="178" t="s">
        <v>404</v>
      </c>
      <c r="I76" s="174" t="s">
        <v>405</v>
      </c>
      <c r="J76" s="174"/>
      <c r="K76" s="174"/>
      <c r="L76" s="174" t="s">
        <v>406</v>
      </c>
      <c r="M76" s="174"/>
      <c r="N76" s="174"/>
      <c r="O76" s="174" t="s">
        <v>407</v>
      </c>
      <c r="P76" s="174"/>
      <c r="Q76" s="174"/>
      <c r="R76" s="175">
        <v>38607</v>
      </c>
      <c r="S76" s="175"/>
      <c r="T76" s="89" t="s">
        <v>141</v>
      </c>
      <c r="U76" s="90" t="s">
        <v>142</v>
      </c>
    </row>
    <row r="77" spans="2:21" ht="25.5" thickBot="1" x14ac:dyDescent="0.4">
      <c r="B77" s="42">
        <v>63</v>
      </c>
      <c r="C77" s="167" t="s">
        <v>388</v>
      </c>
      <c r="D77" s="167"/>
      <c r="E77" s="167"/>
      <c r="F77" s="178" t="s">
        <v>409</v>
      </c>
      <c r="G77" s="178" t="s">
        <v>409</v>
      </c>
      <c r="H77" s="178" t="s">
        <v>409</v>
      </c>
      <c r="I77" s="174" t="s">
        <v>199</v>
      </c>
      <c r="J77" s="174"/>
      <c r="K77" s="174"/>
      <c r="L77" s="174" t="s">
        <v>410</v>
      </c>
      <c r="M77" s="174"/>
      <c r="N77" s="174"/>
      <c r="O77" s="174" t="s">
        <v>411</v>
      </c>
      <c r="P77" s="174"/>
      <c r="Q77" s="174"/>
      <c r="R77" s="175">
        <v>38608</v>
      </c>
      <c r="S77" s="175"/>
      <c r="T77" s="89" t="s">
        <v>141</v>
      </c>
      <c r="U77" s="90" t="s">
        <v>142</v>
      </c>
    </row>
    <row r="78" spans="2:21" ht="25.5" thickBot="1" x14ac:dyDescent="0.4">
      <c r="B78" s="42">
        <v>64</v>
      </c>
      <c r="C78" s="167" t="s">
        <v>586</v>
      </c>
      <c r="D78" s="167"/>
      <c r="E78" s="167"/>
      <c r="F78" s="178" t="s">
        <v>412</v>
      </c>
      <c r="G78" s="178" t="s">
        <v>412</v>
      </c>
      <c r="H78" s="178" t="s">
        <v>412</v>
      </c>
      <c r="I78" s="174" t="s">
        <v>413</v>
      </c>
      <c r="J78" s="174"/>
      <c r="K78" s="174"/>
      <c r="L78" s="174" t="s">
        <v>414</v>
      </c>
      <c r="M78" s="174"/>
      <c r="N78" s="174"/>
      <c r="O78" s="174" t="s">
        <v>415</v>
      </c>
      <c r="P78" s="174"/>
      <c r="Q78" s="174"/>
      <c r="R78" s="175">
        <v>38609</v>
      </c>
      <c r="S78" s="175"/>
      <c r="T78" s="89" t="s">
        <v>141</v>
      </c>
      <c r="U78" s="90" t="s">
        <v>142</v>
      </c>
    </row>
    <row r="79" spans="2:21" ht="25.5" thickBot="1" x14ac:dyDescent="0.4">
      <c r="B79" s="42">
        <v>65</v>
      </c>
      <c r="C79" s="167" t="s">
        <v>587</v>
      </c>
      <c r="D79" s="167"/>
      <c r="E79" s="167"/>
      <c r="F79" s="178" t="s">
        <v>417</v>
      </c>
      <c r="G79" s="178" t="s">
        <v>417</v>
      </c>
      <c r="H79" s="178" t="s">
        <v>417</v>
      </c>
      <c r="I79" s="174" t="s">
        <v>418</v>
      </c>
      <c r="J79" s="174"/>
      <c r="K79" s="174"/>
      <c r="L79" s="174" t="s">
        <v>419</v>
      </c>
      <c r="M79" s="174"/>
      <c r="N79" s="174"/>
      <c r="O79" s="174" t="s">
        <v>420</v>
      </c>
      <c r="P79" s="174"/>
      <c r="Q79" s="174"/>
      <c r="R79" s="175">
        <v>38610</v>
      </c>
      <c r="S79" s="175"/>
      <c r="T79" s="89" t="s">
        <v>141</v>
      </c>
      <c r="U79" s="90" t="s">
        <v>142</v>
      </c>
    </row>
    <row r="80" spans="2:21" ht="25.5" thickBot="1" x14ac:dyDescent="0.4">
      <c r="B80" s="42">
        <v>66</v>
      </c>
      <c r="C80" s="167" t="s">
        <v>588</v>
      </c>
      <c r="D80" s="167"/>
      <c r="E80" s="167"/>
      <c r="F80" s="178" t="s">
        <v>422</v>
      </c>
      <c r="G80" s="178" t="s">
        <v>422</v>
      </c>
      <c r="H80" s="178" t="s">
        <v>422</v>
      </c>
      <c r="I80" s="174" t="s">
        <v>423</v>
      </c>
      <c r="J80" s="174"/>
      <c r="K80" s="174"/>
      <c r="L80" s="174" t="s">
        <v>424</v>
      </c>
      <c r="M80" s="174"/>
      <c r="N80" s="174"/>
      <c r="O80" s="174" t="s">
        <v>425</v>
      </c>
      <c r="P80" s="174"/>
      <c r="Q80" s="174"/>
      <c r="R80" s="175">
        <v>38611</v>
      </c>
      <c r="S80" s="175"/>
      <c r="T80" s="89" t="s">
        <v>141</v>
      </c>
      <c r="U80" s="90" t="s">
        <v>142</v>
      </c>
    </row>
    <row r="81" spans="2:25" ht="25.5" thickBot="1" x14ac:dyDescent="0.4">
      <c r="B81" s="42">
        <v>67</v>
      </c>
      <c r="C81" s="167" t="s">
        <v>589</v>
      </c>
      <c r="D81" s="167"/>
      <c r="E81" s="167"/>
      <c r="F81" s="178" t="s">
        <v>422</v>
      </c>
      <c r="G81" s="178" t="s">
        <v>422</v>
      </c>
      <c r="H81" s="178" t="s">
        <v>422</v>
      </c>
      <c r="I81" s="174" t="s">
        <v>637</v>
      </c>
      <c r="J81" s="174"/>
      <c r="K81" s="174"/>
      <c r="L81" s="174" t="s">
        <v>638</v>
      </c>
      <c r="M81" s="174"/>
      <c r="N81" s="174"/>
      <c r="O81" s="174" t="s">
        <v>639</v>
      </c>
      <c r="P81" s="174"/>
      <c r="Q81" s="174"/>
      <c r="R81" s="175">
        <v>38612</v>
      </c>
      <c r="S81" s="175"/>
      <c r="T81" s="89" t="s">
        <v>141</v>
      </c>
      <c r="U81" s="90" t="s">
        <v>142</v>
      </c>
    </row>
    <row r="82" spans="2:25" ht="25.5" thickBot="1" x14ac:dyDescent="0.4">
      <c r="B82" s="42">
        <v>68</v>
      </c>
      <c r="C82" s="167" t="s">
        <v>590</v>
      </c>
      <c r="D82" s="167"/>
      <c r="E82" s="167"/>
      <c r="F82" s="178" t="s">
        <v>427</v>
      </c>
      <c r="G82" s="178" t="s">
        <v>427</v>
      </c>
      <c r="H82" s="178" t="s">
        <v>427</v>
      </c>
      <c r="I82" s="174" t="s">
        <v>428</v>
      </c>
      <c r="J82" s="174"/>
      <c r="K82" s="174"/>
      <c r="L82" s="174" t="s">
        <v>429</v>
      </c>
      <c r="M82" s="174"/>
      <c r="N82" s="174"/>
      <c r="O82" s="174" t="s">
        <v>430</v>
      </c>
      <c r="P82" s="174"/>
      <c r="Q82" s="174"/>
      <c r="R82" s="175">
        <v>38613</v>
      </c>
      <c r="S82" s="175"/>
      <c r="T82" s="89" t="s">
        <v>141</v>
      </c>
      <c r="U82" s="90" t="s">
        <v>142</v>
      </c>
    </row>
    <row r="83" spans="2:25" ht="25.5" thickBot="1" x14ac:dyDescent="0.4">
      <c r="B83" s="42">
        <v>69</v>
      </c>
      <c r="C83" s="167" t="s">
        <v>591</v>
      </c>
      <c r="D83" s="167"/>
      <c r="E83" s="167"/>
      <c r="F83" s="178" t="s">
        <v>432</v>
      </c>
      <c r="G83" s="178" t="s">
        <v>432</v>
      </c>
      <c r="H83" s="178" t="s">
        <v>432</v>
      </c>
      <c r="I83" s="174" t="s">
        <v>433</v>
      </c>
      <c r="J83" s="174"/>
      <c r="K83" s="174"/>
      <c r="L83" s="174" t="s">
        <v>434</v>
      </c>
      <c r="M83" s="174"/>
      <c r="N83" s="174"/>
      <c r="O83" s="174" t="s">
        <v>435</v>
      </c>
      <c r="P83" s="174"/>
      <c r="Q83" s="174"/>
      <c r="R83" s="175">
        <v>38614</v>
      </c>
      <c r="S83" s="175"/>
      <c r="T83" s="89" t="s">
        <v>141</v>
      </c>
      <c r="U83" s="90" t="s">
        <v>142</v>
      </c>
    </row>
    <row r="84" spans="2:25" ht="25.5" thickBot="1" x14ac:dyDescent="0.4">
      <c r="B84" s="42">
        <v>70</v>
      </c>
      <c r="C84" s="167" t="s">
        <v>403</v>
      </c>
      <c r="D84" s="167"/>
      <c r="E84" s="167"/>
      <c r="F84" s="178" t="s">
        <v>437</v>
      </c>
      <c r="G84" s="178" t="s">
        <v>437</v>
      </c>
      <c r="H84" s="178" t="s">
        <v>437</v>
      </c>
      <c r="I84" s="174" t="s">
        <v>634</v>
      </c>
      <c r="J84" s="174"/>
      <c r="K84" s="174"/>
      <c r="L84" s="174" t="s">
        <v>635</v>
      </c>
      <c r="M84" s="174"/>
      <c r="N84" s="174"/>
      <c r="O84" s="174" t="s">
        <v>636</v>
      </c>
      <c r="P84" s="174"/>
      <c r="Q84" s="174"/>
      <c r="R84" s="175">
        <v>38615</v>
      </c>
      <c r="S84" s="175"/>
      <c r="T84" s="89" t="s">
        <v>141</v>
      </c>
      <c r="U84" s="90" t="s">
        <v>142</v>
      </c>
      <c r="W84" s="107"/>
      <c r="X84" s="107"/>
      <c r="Y84" s="107"/>
    </row>
    <row r="85" spans="2:25" ht="25.5" thickBot="1" x14ac:dyDescent="0.4">
      <c r="B85" s="42">
        <v>71</v>
      </c>
      <c r="C85" s="167" t="s">
        <v>408</v>
      </c>
      <c r="D85" s="167"/>
      <c r="E85" s="167"/>
      <c r="F85" s="178" t="s">
        <v>437</v>
      </c>
      <c r="G85" s="178" t="s">
        <v>437</v>
      </c>
      <c r="H85" s="178" t="s">
        <v>437</v>
      </c>
      <c r="I85" s="174" t="s">
        <v>631</v>
      </c>
      <c r="J85" s="174"/>
      <c r="K85" s="174"/>
      <c r="L85" s="174" t="s">
        <v>632</v>
      </c>
      <c r="M85" s="174"/>
      <c r="N85" s="174"/>
      <c r="O85" s="174" t="s">
        <v>633</v>
      </c>
      <c r="P85" s="174"/>
      <c r="Q85" s="174"/>
      <c r="R85" s="175">
        <v>38616</v>
      </c>
      <c r="S85" s="175"/>
      <c r="T85" s="89" t="s">
        <v>141</v>
      </c>
      <c r="U85" s="90" t="s">
        <v>142</v>
      </c>
    </row>
    <row r="86" spans="2:25" ht="25.5" thickBot="1" x14ac:dyDescent="0.4">
      <c r="B86" s="42">
        <v>72</v>
      </c>
      <c r="C86" s="167" t="s">
        <v>592</v>
      </c>
      <c r="D86" s="167"/>
      <c r="E86" s="167"/>
      <c r="F86" s="178" t="s">
        <v>438</v>
      </c>
      <c r="G86" s="178" t="s">
        <v>438</v>
      </c>
      <c r="H86" s="178" t="s">
        <v>438</v>
      </c>
      <c r="I86" s="174" t="s">
        <v>439</v>
      </c>
      <c r="J86" s="174"/>
      <c r="K86" s="174"/>
      <c r="L86" s="174" t="s">
        <v>440</v>
      </c>
      <c r="M86" s="174"/>
      <c r="N86" s="174"/>
      <c r="O86" s="174" t="s">
        <v>441</v>
      </c>
      <c r="P86" s="174"/>
      <c r="Q86" s="174"/>
      <c r="R86" s="175">
        <v>38617</v>
      </c>
      <c r="S86" s="175"/>
      <c r="T86" s="89" t="s">
        <v>141</v>
      </c>
      <c r="U86" s="90" t="s">
        <v>142</v>
      </c>
    </row>
    <row r="87" spans="2:25" ht="25.5" thickBot="1" x14ac:dyDescent="0.4">
      <c r="B87" s="42">
        <v>73</v>
      </c>
      <c r="C87" s="167" t="s">
        <v>416</v>
      </c>
      <c r="D87" s="167"/>
      <c r="E87" s="167"/>
      <c r="F87" s="178" t="s">
        <v>443</v>
      </c>
      <c r="G87" s="178" t="s">
        <v>443</v>
      </c>
      <c r="H87" s="178" t="s">
        <v>443</v>
      </c>
      <c r="I87" s="174" t="s">
        <v>444</v>
      </c>
      <c r="J87" s="174"/>
      <c r="K87" s="174"/>
      <c r="L87" s="174" t="s">
        <v>445</v>
      </c>
      <c r="M87" s="174"/>
      <c r="N87" s="174"/>
      <c r="O87" s="174" t="s">
        <v>446</v>
      </c>
      <c r="P87" s="174"/>
      <c r="Q87" s="174"/>
      <c r="R87" s="175">
        <v>38618</v>
      </c>
      <c r="S87" s="175"/>
      <c r="T87" s="89" t="s">
        <v>141</v>
      </c>
      <c r="U87" s="90" t="s">
        <v>142</v>
      </c>
    </row>
    <row r="88" spans="2:25" ht="25.5" thickBot="1" x14ac:dyDescent="0.4">
      <c r="B88" s="42">
        <v>74</v>
      </c>
      <c r="C88" s="167" t="s">
        <v>421</v>
      </c>
      <c r="D88" s="167"/>
      <c r="E88" s="167"/>
      <c r="F88" s="178" t="s">
        <v>448</v>
      </c>
      <c r="G88" s="178" t="s">
        <v>448</v>
      </c>
      <c r="H88" s="178" t="s">
        <v>448</v>
      </c>
      <c r="I88" s="174" t="s">
        <v>449</v>
      </c>
      <c r="J88" s="174"/>
      <c r="K88" s="174"/>
      <c r="L88" s="174" t="s">
        <v>450</v>
      </c>
      <c r="M88" s="174"/>
      <c r="N88" s="174"/>
      <c r="O88" s="174" t="s">
        <v>451</v>
      </c>
      <c r="P88" s="174"/>
      <c r="Q88" s="174"/>
      <c r="R88" s="175">
        <v>38619</v>
      </c>
      <c r="S88" s="175"/>
      <c r="T88" s="89" t="s">
        <v>141</v>
      </c>
      <c r="U88" s="90" t="s">
        <v>142</v>
      </c>
    </row>
    <row r="89" spans="2:25" ht="25.5" thickBot="1" x14ac:dyDescent="0.4">
      <c r="B89" s="42">
        <v>75</v>
      </c>
      <c r="C89" s="167" t="s">
        <v>426</v>
      </c>
      <c r="D89" s="167"/>
      <c r="E89" s="167"/>
      <c r="F89" s="178" t="s">
        <v>453</v>
      </c>
      <c r="G89" s="178" t="s">
        <v>453</v>
      </c>
      <c r="H89" s="178" t="s">
        <v>453</v>
      </c>
      <c r="I89" s="174" t="s">
        <v>454</v>
      </c>
      <c r="J89" s="174"/>
      <c r="K89" s="174"/>
      <c r="L89" s="174" t="s">
        <v>455</v>
      </c>
      <c r="M89" s="174"/>
      <c r="N89" s="174"/>
      <c r="O89" s="174" t="s">
        <v>456</v>
      </c>
      <c r="P89" s="174"/>
      <c r="Q89" s="174"/>
      <c r="R89" s="175">
        <v>38620</v>
      </c>
      <c r="S89" s="175"/>
      <c r="T89" s="89" t="s">
        <v>141</v>
      </c>
      <c r="U89" s="90" t="s">
        <v>142</v>
      </c>
    </row>
    <row r="90" spans="2:25" ht="25.5" thickBot="1" x14ac:dyDescent="0.4">
      <c r="B90" s="42">
        <v>76</v>
      </c>
      <c r="C90" s="167" t="s">
        <v>431</v>
      </c>
      <c r="D90" s="167"/>
      <c r="E90" s="167"/>
      <c r="F90" s="178" t="s">
        <v>457</v>
      </c>
      <c r="G90" s="178" t="s">
        <v>457</v>
      </c>
      <c r="H90" s="178" t="s">
        <v>457</v>
      </c>
      <c r="I90" s="174" t="s">
        <v>458</v>
      </c>
      <c r="J90" s="174"/>
      <c r="K90" s="174"/>
      <c r="L90" s="174" t="s">
        <v>459</v>
      </c>
      <c r="M90" s="174"/>
      <c r="N90" s="174"/>
      <c r="O90" s="174" t="s">
        <v>460</v>
      </c>
      <c r="P90" s="174"/>
      <c r="Q90" s="174"/>
      <c r="R90" s="175">
        <v>38621</v>
      </c>
      <c r="S90" s="175"/>
      <c r="T90" s="89" t="s">
        <v>141</v>
      </c>
      <c r="U90" s="90" t="s">
        <v>142</v>
      </c>
    </row>
    <row r="91" spans="2:25" ht="25.5" thickBot="1" x14ac:dyDescent="0.4">
      <c r="B91" s="42">
        <v>77</v>
      </c>
      <c r="C91" s="167" t="s">
        <v>436</v>
      </c>
      <c r="D91" s="167"/>
      <c r="E91" s="167"/>
      <c r="F91" s="178" t="s">
        <v>461</v>
      </c>
      <c r="G91" s="178" t="s">
        <v>461</v>
      </c>
      <c r="H91" s="178" t="s">
        <v>461</v>
      </c>
      <c r="I91" s="174" t="s">
        <v>462</v>
      </c>
      <c r="J91" s="174"/>
      <c r="K91" s="174"/>
      <c r="L91" s="174" t="s">
        <v>463</v>
      </c>
      <c r="M91" s="174"/>
      <c r="N91" s="174"/>
      <c r="O91" s="174" t="s">
        <v>190</v>
      </c>
      <c r="P91" s="174"/>
      <c r="Q91" s="174"/>
      <c r="R91" s="175">
        <v>38622</v>
      </c>
      <c r="S91" s="175"/>
      <c r="T91" s="89" t="s">
        <v>141</v>
      </c>
      <c r="U91" s="90" t="s">
        <v>142</v>
      </c>
    </row>
    <row r="92" spans="2:25" ht="25.5" thickBot="1" x14ac:dyDescent="0.4">
      <c r="B92" s="42">
        <v>78</v>
      </c>
      <c r="C92" s="167" t="s">
        <v>593</v>
      </c>
      <c r="D92" s="167"/>
      <c r="E92" s="167"/>
      <c r="F92" s="178" t="s">
        <v>465</v>
      </c>
      <c r="G92" s="178" t="s">
        <v>465</v>
      </c>
      <c r="H92" s="178" t="s">
        <v>465</v>
      </c>
      <c r="I92" s="174" t="s">
        <v>466</v>
      </c>
      <c r="J92" s="174"/>
      <c r="K92" s="174"/>
      <c r="L92" s="174" t="s">
        <v>467</v>
      </c>
      <c r="M92" s="174"/>
      <c r="N92" s="174"/>
      <c r="O92" s="174" t="s">
        <v>468</v>
      </c>
      <c r="P92" s="174"/>
      <c r="Q92" s="174"/>
      <c r="R92" s="175">
        <v>38623</v>
      </c>
      <c r="S92" s="175"/>
      <c r="T92" s="89" t="s">
        <v>141</v>
      </c>
      <c r="U92" s="90" t="s">
        <v>142</v>
      </c>
    </row>
    <row r="93" spans="2:25" ht="25.5" thickBot="1" x14ac:dyDescent="0.4">
      <c r="B93" s="42">
        <v>79</v>
      </c>
      <c r="C93" s="167" t="s">
        <v>442</v>
      </c>
      <c r="D93" s="167"/>
      <c r="E93" s="167"/>
      <c r="F93" s="178" t="s">
        <v>469</v>
      </c>
      <c r="G93" s="178" t="s">
        <v>469</v>
      </c>
      <c r="H93" s="178" t="s">
        <v>469</v>
      </c>
      <c r="I93" s="174" t="s">
        <v>470</v>
      </c>
      <c r="J93" s="174"/>
      <c r="K93" s="174"/>
      <c r="L93" s="174" t="s">
        <v>471</v>
      </c>
      <c r="M93" s="174"/>
      <c r="N93" s="174"/>
      <c r="O93" s="174" t="s">
        <v>472</v>
      </c>
      <c r="P93" s="174"/>
      <c r="Q93" s="174"/>
      <c r="R93" s="175">
        <v>38624</v>
      </c>
      <c r="S93" s="175"/>
      <c r="T93" s="89" t="s">
        <v>141</v>
      </c>
      <c r="U93" s="90" t="s">
        <v>142</v>
      </c>
    </row>
    <row r="94" spans="2:25" ht="25.5" thickBot="1" x14ac:dyDescent="0.4">
      <c r="B94" s="42">
        <v>80</v>
      </c>
      <c r="C94" s="167" t="s">
        <v>447</v>
      </c>
      <c r="D94" s="167"/>
      <c r="E94" s="167"/>
      <c r="F94" s="178" t="s">
        <v>474</v>
      </c>
      <c r="G94" s="178" t="s">
        <v>474</v>
      </c>
      <c r="H94" s="178" t="s">
        <v>474</v>
      </c>
      <c r="I94" s="174" t="s">
        <v>475</v>
      </c>
      <c r="J94" s="174"/>
      <c r="K94" s="174"/>
      <c r="L94" s="174" t="s">
        <v>476</v>
      </c>
      <c r="M94" s="174"/>
      <c r="N94" s="174"/>
      <c r="O94" s="174" t="s">
        <v>477</v>
      </c>
      <c r="P94" s="174"/>
      <c r="Q94" s="174"/>
      <c r="R94" s="175">
        <v>38625</v>
      </c>
      <c r="S94" s="175"/>
      <c r="T94" s="89" t="s">
        <v>141</v>
      </c>
      <c r="U94" s="90" t="s">
        <v>142</v>
      </c>
    </row>
    <row r="95" spans="2:25" ht="25.5" thickBot="1" x14ac:dyDescent="0.4">
      <c r="B95" s="42">
        <v>81</v>
      </c>
      <c r="C95" s="167" t="s">
        <v>452</v>
      </c>
      <c r="D95" s="167"/>
      <c r="E95" s="167"/>
      <c r="F95" s="178" t="s">
        <v>478</v>
      </c>
      <c r="G95" s="178" t="s">
        <v>478</v>
      </c>
      <c r="H95" s="178" t="s">
        <v>478</v>
      </c>
      <c r="I95" s="174" t="s">
        <v>479</v>
      </c>
      <c r="J95" s="174"/>
      <c r="K95" s="174"/>
      <c r="L95" s="174" t="s">
        <v>480</v>
      </c>
      <c r="M95" s="174"/>
      <c r="N95" s="174"/>
      <c r="O95" s="174" t="s">
        <v>481</v>
      </c>
      <c r="P95" s="174"/>
      <c r="Q95" s="174"/>
      <c r="R95" s="175">
        <v>38626</v>
      </c>
      <c r="S95" s="175"/>
      <c r="T95" s="89" t="s">
        <v>141</v>
      </c>
      <c r="U95" s="90" t="s">
        <v>142</v>
      </c>
    </row>
    <row r="96" spans="2:25" ht="25.5" thickBot="1" x14ac:dyDescent="0.4">
      <c r="B96" s="42">
        <v>82</v>
      </c>
      <c r="C96" s="167" t="s">
        <v>594</v>
      </c>
      <c r="D96" s="167"/>
      <c r="E96" s="167"/>
      <c r="F96" s="178" t="s">
        <v>482</v>
      </c>
      <c r="G96" s="178" t="s">
        <v>482</v>
      </c>
      <c r="H96" s="178" t="s">
        <v>482</v>
      </c>
      <c r="I96" s="174" t="s">
        <v>483</v>
      </c>
      <c r="J96" s="174"/>
      <c r="K96" s="174"/>
      <c r="L96" s="174" t="s">
        <v>484</v>
      </c>
      <c r="M96" s="174"/>
      <c r="N96" s="174"/>
      <c r="O96" s="174" t="s">
        <v>485</v>
      </c>
      <c r="P96" s="174"/>
      <c r="Q96" s="174"/>
      <c r="R96" s="175">
        <v>38627</v>
      </c>
      <c r="S96" s="175"/>
      <c r="T96" s="89" t="s">
        <v>141</v>
      </c>
      <c r="U96" s="90" t="s">
        <v>142</v>
      </c>
    </row>
    <row r="97" spans="2:25" ht="25.5" thickBot="1" x14ac:dyDescent="0.4">
      <c r="B97" s="42">
        <v>83</v>
      </c>
      <c r="C97" s="167" t="s">
        <v>595</v>
      </c>
      <c r="D97" s="167"/>
      <c r="E97" s="167"/>
      <c r="F97" s="178" t="s">
        <v>487</v>
      </c>
      <c r="G97" s="178" t="s">
        <v>487</v>
      </c>
      <c r="H97" s="178" t="s">
        <v>487</v>
      </c>
      <c r="I97" s="174" t="s">
        <v>488</v>
      </c>
      <c r="J97" s="174"/>
      <c r="K97" s="174"/>
      <c r="L97" s="174" t="s">
        <v>489</v>
      </c>
      <c r="M97" s="174"/>
      <c r="N97" s="174"/>
      <c r="O97" s="174" t="s">
        <v>490</v>
      </c>
      <c r="P97" s="174"/>
      <c r="Q97" s="174"/>
      <c r="R97" s="175">
        <v>38628</v>
      </c>
      <c r="S97" s="175"/>
      <c r="T97" s="89" t="s">
        <v>141</v>
      </c>
      <c r="U97" s="90" t="s">
        <v>142</v>
      </c>
    </row>
    <row r="98" spans="2:25" ht="25.5" thickBot="1" x14ac:dyDescent="0.4">
      <c r="B98" s="42">
        <v>84</v>
      </c>
      <c r="C98" s="167" t="s">
        <v>464</v>
      </c>
      <c r="D98" s="167"/>
      <c r="E98" s="167"/>
      <c r="F98" s="178" t="s">
        <v>492</v>
      </c>
      <c r="G98" s="178" t="s">
        <v>492</v>
      </c>
      <c r="H98" s="178" t="s">
        <v>492</v>
      </c>
      <c r="I98" s="174" t="s">
        <v>493</v>
      </c>
      <c r="J98" s="174"/>
      <c r="K98" s="174"/>
      <c r="L98" s="174" t="s">
        <v>494</v>
      </c>
      <c r="M98" s="174"/>
      <c r="N98" s="174"/>
      <c r="O98" s="174" t="s">
        <v>495</v>
      </c>
      <c r="P98" s="174"/>
      <c r="Q98" s="174"/>
      <c r="R98" s="175">
        <v>38629</v>
      </c>
      <c r="S98" s="175"/>
      <c r="T98" s="89" t="s">
        <v>141</v>
      </c>
      <c r="U98" s="90" t="s">
        <v>142</v>
      </c>
    </row>
    <row r="99" spans="2:25" ht="25.5" thickBot="1" x14ac:dyDescent="0.4">
      <c r="B99" s="42">
        <v>85</v>
      </c>
      <c r="C99" s="167" t="s">
        <v>596</v>
      </c>
      <c r="D99" s="167"/>
      <c r="E99" s="167"/>
      <c r="F99" s="178" t="s">
        <v>496</v>
      </c>
      <c r="G99" s="178" t="s">
        <v>496</v>
      </c>
      <c r="H99" s="178" t="s">
        <v>496</v>
      </c>
      <c r="I99" s="174" t="s">
        <v>497</v>
      </c>
      <c r="J99" s="174"/>
      <c r="K99" s="174"/>
      <c r="L99" s="174" t="s">
        <v>498</v>
      </c>
      <c r="M99" s="174"/>
      <c r="N99" s="174"/>
      <c r="O99" s="174" t="s">
        <v>499</v>
      </c>
      <c r="P99" s="174"/>
      <c r="Q99" s="174"/>
      <c r="R99" s="175">
        <v>38630</v>
      </c>
      <c r="S99" s="175"/>
      <c r="T99" s="89" t="s">
        <v>141</v>
      </c>
      <c r="U99" s="90" t="s">
        <v>142</v>
      </c>
    </row>
    <row r="100" spans="2:25" ht="25.5" thickBot="1" x14ac:dyDescent="0.4">
      <c r="B100" s="42">
        <v>86</v>
      </c>
      <c r="C100" s="167" t="s">
        <v>473</v>
      </c>
      <c r="D100" s="167"/>
      <c r="E100" s="167"/>
      <c r="F100" s="178" t="s">
        <v>501</v>
      </c>
      <c r="G100" s="178" t="s">
        <v>501</v>
      </c>
      <c r="H100" s="178" t="s">
        <v>501</v>
      </c>
      <c r="I100" s="174" t="s">
        <v>502</v>
      </c>
      <c r="J100" s="174"/>
      <c r="K100" s="174"/>
      <c r="L100" s="174" t="s">
        <v>503</v>
      </c>
      <c r="M100" s="174"/>
      <c r="N100" s="174"/>
      <c r="O100" s="174" t="s">
        <v>504</v>
      </c>
      <c r="P100" s="174"/>
      <c r="Q100" s="174"/>
      <c r="R100" s="175">
        <v>38631</v>
      </c>
      <c r="S100" s="175"/>
      <c r="T100" s="89" t="s">
        <v>141</v>
      </c>
      <c r="U100" s="90" t="s">
        <v>142</v>
      </c>
    </row>
    <row r="101" spans="2:25" ht="25.5" thickBot="1" x14ac:dyDescent="0.4">
      <c r="B101" s="42">
        <v>87</v>
      </c>
      <c r="C101" s="167" t="s">
        <v>597</v>
      </c>
      <c r="D101" s="167"/>
      <c r="E101" s="167"/>
      <c r="F101" s="178" t="s">
        <v>506</v>
      </c>
      <c r="G101" s="178" t="s">
        <v>506</v>
      </c>
      <c r="H101" s="178" t="s">
        <v>506</v>
      </c>
      <c r="I101" s="174" t="s">
        <v>507</v>
      </c>
      <c r="J101" s="174"/>
      <c r="K101" s="174"/>
      <c r="L101" s="174" t="s">
        <v>508</v>
      </c>
      <c r="M101" s="174"/>
      <c r="N101" s="174"/>
      <c r="O101" s="174" t="s">
        <v>509</v>
      </c>
      <c r="P101" s="174"/>
      <c r="Q101" s="174"/>
      <c r="R101" s="175">
        <v>38632</v>
      </c>
      <c r="S101" s="175"/>
      <c r="T101" s="89" t="s">
        <v>141</v>
      </c>
      <c r="U101" s="90" t="s">
        <v>142</v>
      </c>
    </row>
    <row r="102" spans="2:25" ht="25.5" thickBot="1" x14ac:dyDescent="0.4">
      <c r="B102" s="42">
        <v>88</v>
      </c>
      <c r="C102" s="167" t="s">
        <v>598</v>
      </c>
      <c r="D102" s="167"/>
      <c r="E102" s="167"/>
      <c r="F102" s="178" t="s">
        <v>511</v>
      </c>
      <c r="G102" s="178" t="s">
        <v>511</v>
      </c>
      <c r="H102" s="178" t="s">
        <v>511</v>
      </c>
      <c r="I102" s="174" t="s">
        <v>512</v>
      </c>
      <c r="J102" s="174"/>
      <c r="K102" s="174"/>
      <c r="L102" s="174" t="s">
        <v>513</v>
      </c>
      <c r="M102" s="174"/>
      <c r="N102" s="174"/>
      <c r="O102" s="174" t="s">
        <v>514</v>
      </c>
      <c r="P102" s="174"/>
      <c r="Q102" s="174"/>
      <c r="R102" s="175">
        <v>38633</v>
      </c>
      <c r="S102" s="175"/>
      <c r="T102" s="89" t="s">
        <v>141</v>
      </c>
      <c r="U102" s="90" t="s">
        <v>142</v>
      </c>
    </row>
    <row r="103" spans="2:25" ht="25.5" thickBot="1" x14ac:dyDescent="0.4">
      <c r="B103" s="42">
        <v>89</v>
      </c>
      <c r="C103" s="167" t="s">
        <v>486</v>
      </c>
      <c r="D103" s="167"/>
      <c r="E103" s="167"/>
      <c r="F103" s="178" t="s">
        <v>515</v>
      </c>
      <c r="G103" s="178" t="s">
        <v>515</v>
      </c>
      <c r="H103" s="178" t="s">
        <v>515</v>
      </c>
      <c r="I103" s="174" t="s">
        <v>628</v>
      </c>
      <c r="J103" s="174"/>
      <c r="K103" s="174"/>
      <c r="L103" s="174" t="s">
        <v>629</v>
      </c>
      <c r="M103" s="174"/>
      <c r="N103" s="174"/>
      <c r="O103" s="174" t="s">
        <v>630</v>
      </c>
      <c r="P103" s="174"/>
      <c r="Q103" s="174"/>
      <c r="R103" s="175">
        <v>38634</v>
      </c>
      <c r="S103" s="175"/>
      <c r="T103" s="89" t="s">
        <v>141</v>
      </c>
      <c r="U103" s="90" t="s">
        <v>142</v>
      </c>
    </row>
    <row r="104" spans="2:25" ht="25.5" thickBot="1" x14ac:dyDescent="0.4">
      <c r="B104" s="42">
        <v>90</v>
      </c>
      <c r="C104" s="167" t="s">
        <v>491</v>
      </c>
      <c r="D104" s="167"/>
      <c r="E104" s="167"/>
      <c r="F104" s="178" t="s">
        <v>517</v>
      </c>
      <c r="G104" s="178" t="s">
        <v>517</v>
      </c>
      <c r="H104" s="178" t="s">
        <v>517</v>
      </c>
      <c r="I104" s="174" t="s">
        <v>518</v>
      </c>
      <c r="J104" s="174"/>
      <c r="K104" s="174"/>
      <c r="L104" s="174" t="s">
        <v>519</v>
      </c>
      <c r="M104" s="174"/>
      <c r="N104" s="174"/>
      <c r="O104" s="174" t="s">
        <v>520</v>
      </c>
      <c r="P104" s="174"/>
      <c r="Q104" s="174"/>
      <c r="R104" s="175">
        <v>38635</v>
      </c>
      <c r="S104" s="175"/>
      <c r="T104" s="89" t="s">
        <v>141</v>
      </c>
      <c r="U104" s="90" t="s">
        <v>142</v>
      </c>
    </row>
    <row r="105" spans="2:25" ht="25.5" thickBot="1" x14ac:dyDescent="0.4">
      <c r="B105" s="42">
        <v>91</v>
      </c>
      <c r="C105" s="167" t="s">
        <v>599</v>
      </c>
      <c r="D105" s="167"/>
      <c r="E105" s="167"/>
      <c r="F105" s="178" t="s">
        <v>522</v>
      </c>
      <c r="G105" s="178" t="s">
        <v>522</v>
      </c>
      <c r="H105" s="178" t="s">
        <v>522</v>
      </c>
      <c r="I105" s="174" t="s">
        <v>523</v>
      </c>
      <c r="J105" s="174"/>
      <c r="K105" s="174"/>
      <c r="L105" s="174" t="s">
        <v>524</v>
      </c>
      <c r="M105" s="174"/>
      <c r="N105" s="174"/>
      <c r="O105" s="174" t="s">
        <v>525</v>
      </c>
      <c r="P105" s="174"/>
      <c r="Q105" s="174"/>
      <c r="R105" s="175">
        <v>38636</v>
      </c>
      <c r="S105" s="175"/>
      <c r="T105" s="89" t="s">
        <v>141</v>
      </c>
      <c r="U105" s="90" t="s">
        <v>142</v>
      </c>
    </row>
    <row r="106" spans="2:25" ht="25.5" thickBot="1" x14ac:dyDescent="0.4">
      <c r="B106" s="42">
        <v>92</v>
      </c>
      <c r="C106" s="180" t="s">
        <v>500</v>
      </c>
      <c r="D106" s="180"/>
      <c r="E106" s="180"/>
      <c r="F106" s="178" t="s">
        <v>527</v>
      </c>
      <c r="G106" s="178" t="s">
        <v>527</v>
      </c>
      <c r="H106" s="178" t="s">
        <v>527</v>
      </c>
      <c r="I106" s="174" t="s">
        <v>528</v>
      </c>
      <c r="J106" s="174"/>
      <c r="K106" s="174"/>
      <c r="L106" s="174" t="s">
        <v>529</v>
      </c>
      <c r="M106" s="174"/>
      <c r="N106" s="174"/>
      <c r="O106" s="174" t="s">
        <v>530</v>
      </c>
      <c r="P106" s="174"/>
      <c r="Q106" s="174"/>
      <c r="R106" s="175">
        <v>38637</v>
      </c>
      <c r="S106" s="175"/>
      <c r="T106" s="89" t="s">
        <v>141</v>
      </c>
      <c r="U106" s="90" t="s">
        <v>142</v>
      </c>
    </row>
    <row r="107" spans="2:25" ht="25.5" thickBot="1" x14ac:dyDescent="0.4">
      <c r="B107" s="42">
        <v>93</v>
      </c>
      <c r="C107" s="167" t="s">
        <v>505</v>
      </c>
      <c r="D107" s="167"/>
      <c r="E107" s="167"/>
      <c r="F107" s="178" t="s">
        <v>531</v>
      </c>
      <c r="G107" s="178" t="s">
        <v>531</v>
      </c>
      <c r="H107" s="178" t="s">
        <v>531</v>
      </c>
      <c r="I107" s="174" t="s">
        <v>532</v>
      </c>
      <c r="J107" s="174"/>
      <c r="K107" s="174"/>
      <c r="L107" s="174" t="s">
        <v>533</v>
      </c>
      <c r="M107" s="174"/>
      <c r="N107" s="174"/>
      <c r="O107" s="174" t="s">
        <v>534</v>
      </c>
      <c r="P107" s="174"/>
      <c r="Q107" s="174"/>
      <c r="R107" s="175">
        <v>38638</v>
      </c>
      <c r="S107" s="175"/>
      <c r="T107" s="89" t="s">
        <v>141</v>
      </c>
      <c r="U107" s="90" t="s">
        <v>142</v>
      </c>
    </row>
    <row r="108" spans="2:25" ht="25.5" thickBot="1" x14ac:dyDescent="0.4">
      <c r="B108" s="42">
        <v>94</v>
      </c>
      <c r="C108" s="167" t="s">
        <v>510</v>
      </c>
      <c r="D108" s="167"/>
      <c r="E108" s="167"/>
      <c r="F108" s="178" t="s">
        <v>536</v>
      </c>
      <c r="G108" s="178" t="s">
        <v>536</v>
      </c>
      <c r="H108" s="178" t="s">
        <v>536</v>
      </c>
      <c r="I108" s="174" t="s">
        <v>537</v>
      </c>
      <c r="J108" s="174"/>
      <c r="K108" s="174"/>
      <c r="L108" s="174" t="s">
        <v>538</v>
      </c>
      <c r="M108" s="174"/>
      <c r="N108" s="174"/>
      <c r="O108" s="174" t="s">
        <v>539</v>
      </c>
      <c r="P108" s="174"/>
      <c r="Q108" s="174"/>
      <c r="R108" s="175">
        <v>38639</v>
      </c>
      <c r="S108" s="175"/>
      <c r="T108" s="89" t="s">
        <v>141</v>
      </c>
      <c r="U108" s="90" t="s">
        <v>142</v>
      </c>
      <c r="W108" s="107"/>
      <c r="X108" s="107"/>
      <c r="Y108" s="107"/>
    </row>
    <row r="109" spans="2:25" ht="25.5" thickBot="1" x14ac:dyDescent="0.4">
      <c r="B109" s="42">
        <v>95</v>
      </c>
      <c r="C109" s="167" t="s">
        <v>600</v>
      </c>
      <c r="D109" s="167"/>
      <c r="E109" s="167"/>
      <c r="F109" s="178" t="s">
        <v>540</v>
      </c>
      <c r="G109" s="178" t="s">
        <v>540</v>
      </c>
      <c r="H109" s="178" t="s">
        <v>540</v>
      </c>
      <c r="I109" s="174" t="s">
        <v>541</v>
      </c>
      <c r="J109" s="174"/>
      <c r="K109" s="174"/>
      <c r="L109" s="174" t="s">
        <v>542</v>
      </c>
      <c r="M109" s="174"/>
      <c r="N109" s="174"/>
      <c r="O109" s="174" t="s">
        <v>543</v>
      </c>
      <c r="P109" s="174"/>
      <c r="Q109" s="174"/>
      <c r="R109" s="175">
        <v>38640</v>
      </c>
      <c r="S109" s="175"/>
      <c r="T109" s="89" t="s">
        <v>141</v>
      </c>
      <c r="U109" s="90" t="s">
        <v>142</v>
      </c>
    </row>
    <row r="110" spans="2:25" ht="25.5" thickBot="1" x14ac:dyDescent="0.4">
      <c r="B110" s="42">
        <v>96</v>
      </c>
      <c r="C110" s="167" t="s">
        <v>516</v>
      </c>
      <c r="D110" s="167"/>
      <c r="E110" s="167"/>
      <c r="F110" s="178" t="s">
        <v>544</v>
      </c>
      <c r="G110" s="178" t="s">
        <v>544</v>
      </c>
      <c r="H110" s="178" t="s">
        <v>544</v>
      </c>
      <c r="I110" s="174" t="s">
        <v>627</v>
      </c>
      <c r="J110" s="174"/>
      <c r="K110" s="174"/>
      <c r="L110" s="174" t="s">
        <v>625</v>
      </c>
      <c r="M110" s="174"/>
      <c r="N110" s="174"/>
      <c r="O110" s="174" t="s">
        <v>626</v>
      </c>
      <c r="P110" s="174"/>
      <c r="Q110" s="174"/>
      <c r="R110" s="175">
        <v>38641</v>
      </c>
      <c r="S110" s="175"/>
      <c r="T110" s="89" t="s">
        <v>141</v>
      </c>
      <c r="U110" s="90" t="s">
        <v>142</v>
      </c>
    </row>
    <row r="111" spans="2:25" ht="25.5" thickBot="1" x14ac:dyDescent="0.4">
      <c r="B111" s="42">
        <v>97</v>
      </c>
      <c r="C111" s="167" t="s">
        <v>521</v>
      </c>
      <c r="D111" s="167"/>
      <c r="E111" s="167"/>
      <c r="F111" s="178" t="s">
        <v>545</v>
      </c>
      <c r="G111" s="178" t="s">
        <v>545</v>
      </c>
      <c r="H111" s="178" t="s">
        <v>545</v>
      </c>
      <c r="I111" s="174" t="s">
        <v>546</v>
      </c>
      <c r="J111" s="174"/>
      <c r="K111" s="174"/>
      <c r="L111" s="174" t="s">
        <v>547</v>
      </c>
      <c r="M111" s="174"/>
      <c r="N111" s="174"/>
      <c r="O111" s="174" t="s">
        <v>548</v>
      </c>
      <c r="P111" s="174"/>
      <c r="Q111" s="174"/>
      <c r="R111" s="175">
        <v>38642</v>
      </c>
      <c r="S111" s="175"/>
      <c r="T111" s="89" t="s">
        <v>141</v>
      </c>
      <c r="U111" s="90" t="s">
        <v>142</v>
      </c>
    </row>
    <row r="112" spans="2:25" ht="25.5" thickBot="1" x14ac:dyDescent="0.4">
      <c r="B112" s="42">
        <v>98</v>
      </c>
      <c r="C112" s="167" t="s">
        <v>526</v>
      </c>
      <c r="D112" s="167"/>
      <c r="E112" s="167"/>
      <c r="F112" s="178" t="s">
        <v>549</v>
      </c>
      <c r="G112" s="178" t="s">
        <v>549</v>
      </c>
      <c r="H112" s="178" t="s">
        <v>549</v>
      </c>
      <c r="I112" s="174" t="s">
        <v>550</v>
      </c>
      <c r="J112" s="174"/>
      <c r="K112" s="174"/>
      <c r="L112" s="174" t="s">
        <v>551</v>
      </c>
      <c r="M112" s="174"/>
      <c r="N112" s="174"/>
      <c r="O112" s="174" t="s">
        <v>552</v>
      </c>
      <c r="P112" s="174"/>
      <c r="Q112" s="174"/>
      <c r="R112" s="175">
        <v>38643</v>
      </c>
      <c r="S112" s="175"/>
      <c r="T112" s="89" t="s">
        <v>141</v>
      </c>
      <c r="U112" s="90" t="s">
        <v>142</v>
      </c>
    </row>
    <row r="113" spans="2:21" ht="25.5" thickBot="1" x14ac:dyDescent="0.4">
      <c r="B113" s="42">
        <v>99</v>
      </c>
      <c r="C113" s="167" t="s">
        <v>601</v>
      </c>
      <c r="D113" s="167"/>
      <c r="E113" s="167"/>
      <c r="F113" s="178" t="s">
        <v>553</v>
      </c>
      <c r="G113" s="178"/>
      <c r="H113" s="178"/>
      <c r="I113" s="174" t="s">
        <v>554</v>
      </c>
      <c r="J113" s="174"/>
      <c r="K113" s="174"/>
      <c r="L113" s="174" t="s">
        <v>555</v>
      </c>
      <c r="M113" s="174"/>
      <c r="N113" s="174"/>
      <c r="O113" s="174" t="s">
        <v>556</v>
      </c>
      <c r="P113" s="174"/>
      <c r="Q113" s="174"/>
      <c r="R113" s="175">
        <v>38644</v>
      </c>
      <c r="S113" s="175"/>
      <c r="T113" s="89" t="s">
        <v>141</v>
      </c>
      <c r="U113" s="90" t="s">
        <v>142</v>
      </c>
    </row>
    <row r="114" spans="2:21" ht="25.5" thickBot="1" x14ac:dyDescent="0.4">
      <c r="B114" s="43">
        <v>100</v>
      </c>
      <c r="C114" s="167" t="s">
        <v>535</v>
      </c>
      <c r="D114" s="167"/>
      <c r="E114" s="167"/>
      <c r="F114" s="179" t="s">
        <v>557</v>
      </c>
      <c r="G114" s="179"/>
      <c r="H114" s="179"/>
      <c r="I114" s="174" t="s">
        <v>558</v>
      </c>
      <c r="J114" s="174"/>
      <c r="K114" s="174"/>
      <c r="L114" s="174" t="s">
        <v>559</v>
      </c>
      <c r="M114" s="174"/>
      <c r="N114" s="174"/>
      <c r="O114" s="174" t="s">
        <v>560</v>
      </c>
      <c r="P114" s="174"/>
      <c r="Q114" s="174"/>
      <c r="R114" s="175">
        <v>38645</v>
      </c>
      <c r="S114" s="175"/>
      <c r="T114" s="91" t="s">
        <v>141</v>
      </c>
      <c r="U114" s="92" t="s">
        <v>142</v>
      </c>
    </row>
  </sheetData>
  <mergeCells count="616">
    <mergeCell ref="R112:S112"/>
    <mergeCell ref="R113:S113"/>
    <mergeCell ref="R114:S114"/>
    <mergeCell ref="R13:S13"/>
    <mergeCell ref="C13:E13"/>
    <mergeCell ref="R106:S106"/>
    <mergeCell ref="R107:S107"/>
    <mergeCell ref="R108:S108"/>
    <mergeCell ref="R109:S109"/>
    <mergeCell ref="R110:S110"/>
    <mergeCell ref="R111:S111"/>
    <mergeCell ref="R100:S100"/>
    <mergeCell ref="R101:S101"/>
    <mergeCell ref="R102:S102"/>
    <mergeCell ref="R103:S103"/>
    <mergeCell ref="R104:S104"/>
    <mergeCell ref="R105:S105"/>
    <mergeCell ref="R94:S94"/>
    <mergeCell ref="R95:S95"/>
    <mergeCell ref="R96:S96"/>
    <mergeCell ref="R97:S97"/>
    <mergeCell ref="R98:S98"/>
    <mergeCell ref="R99:S99"/>
    <mergeCell ref="R88:S88"/>
    <mergeCell ref="R89:S89"/>
    <mergeCell ref="R90:S90"/>
    <mergeCell ref="R91:S91"/>
    <mergeCell ref="R92:S92"/>
    <mergeCell ref="R93:S93"/>
    <mergeCell ref="R82:S82"/>
    <mergeCell ref="R83:S83"/>
    <mergeCell ref="R84:S84"/>
    <mergeCell ref="R85:S85"/>
    <mergeCell ref="R86:S86"/>
    <mergeCell ref="R87:S87"/>
    <mergeCell ref="R76:S76"/>
    <mergeCell ref="R77:S77"/>
    <mergeCell ref="R78:S78"/>
    <mergeCell ref="R79:S79"/>
    <mergeCell ref="R80:S80"/>
    <mergeCell ref="R81:S81"/>
    <mergeCell ref="R70:S70"/>
    <mergeCell ref="R71:S71"/>
    <mergeCell ref="R72:S72"/>
    <mergeCell ref="R73:S73"/>
    <mergeCell ref="R74:S74"/>
    <mergeCell ref="R75:S75"/>
    <mergeCell ref="R64:S64"/>
    <mergeCell ref="R65:S65"/>
    <mergeCell ref="R66:S66"/>
    <mergeCell ref="R67:S67"/>
    <mergeCell ref="R68:S68"/>
    <mergeCell ref="R69:S69"/>
    <mergeCell ref="R58:S58"/>
    <mergeCell ref="R59:S59"/>
    <mergeCell ref="R60:S60"/>
    <mergeCell ref="R61:S61"/>
    <mergeCell ref="R62:S62"/>
    <mergeCell ref="R63:S63"/>
    <mergeCell ref="R52:S52"/>
    <mergeCell ref="R53:S53"/>
    <mergeCell ref="R54:S54"/>
    <mergeCell ref="R55:S55"/>
    <mergeCell ref="R56:S56"/>
    <mergeCell ref="R57:S57"/>
    <mergeCell ref="R46:S46"/>
    <mergeCell ref="R47:S47"/>
    <mergeCell ref="R48:S48"/>
    <mergeCell ref="R49:S49"/>
    <mergeCell ref="R50:S50"/>
    <mergeCell ref="R51:S51"/>
    <mergeCell ref="R40:S40"/>
    <mergeCell ref="R41:S41"/>
    <mergeCell ref="R42:S42"/>
    <mergeCell ref="R43:S43"/>
    <mergeCell ref="R44:S44"/>
    <mergeCell ref="R45:S45"/>
    <mergeCell ref="R34:S34"/>
    <mergeCell ref="R35:S35"/>
    <mergeCell ref="R36:S36"/>
    <mergeCell ref="R37:S37"/>
    <mergeCell ref="R38:S38"/>
    <mergeCell ref="R39:S39"/>
    <mergeCell ref="R28:S28"/>
    <mergeCell ref="R29:S29"/>
    <mergeCell ref="R30:S30"/>
    <mergeCell ref="R31:S31"/>
    <mergeCell ref="R32:S32"/>
    <mergeCell ref="R33:S33"/>
    <mergeCell ref="R22:S22"/>
    <mergeCell ref="R23:S23"/>
    <mergeCell ref="R24:S24"/>
    <mergeCell ref="R25:S25"/>
    <mergeCell ref="R26:S26"/>
    <mergeCell ref="R27:S27"/>
    <mergeCell ref="R16:S16"/>
    <mergeCell ref="R17:S17"/>
    <mergeCell ref="R18:S18"/>
    <mergeCell ref="R19:S19"/>
    <mergeCell ref="R20:S20"/>
    <mergeCell ref="R21:S21"/>
    <mergeCell ref="I16:K16"/>
    <mergeCell ref="I17:K17"/>
    <mergeCell ref="L15:N15"/>
    <mergeCell ref="L16:N16"/>
    <mergeCell ref="L17:N17"/>
    <mergeCell ref="O15:Q15"/>
    <mergeCell ref="O16:Q16"/>
    <mergeCell ref="I21:K21"/>
    <mergeCell ref="L21:N21"/>
    <mergeCell ref="O21:Q21"/>
    <mergeCell ref="L19:N19"/>
    <mergeCell ref="O19:Q19"/>
    <mergeCell ref="I20:K20"/>
    <mergeCell ref="L20:N20"/>
    <mergeCell ref="O20:Q20"/>
    <mergeCell ref="O17:Q17"/>
    <mergeCell ref="I18:K18"/>
    <mergeCell ref="I113:K113"/>
    <mergeCell ref="L113:N113"/>
    <mergeCell ref="O113:Q113"/>
    <mergeCell ref="I114:K114"/>
    <mergeCell ref="L114:N114"/>
    <mergeCell ref="O114:Q114"/>
    <mergeCell ref="I111:K111"/>
    <mergeCell ref="L111:N111"/>
    <mergeCell ref="O111:Q111"/>
    <mergeCell ref="I112:K112"/>
    <mergeCell ref="L112:N112"/>
    <mergeCell ref="O112:Q112"/>
    <mergeCell ref="I109:K109"/>
    <mergeCell ref="L109:N109"/>
    <mergeCell ref="O109:Q109"/>
    <mergeCell ref="I110:K110"/>
    <mergeCell ref="L110:N110"/>
    <mergeCell ref="O110:Q110"/>
    <mergeCell ref="I107:K107"/>
    <mergeCell ref="L107:N107"/>
    <mergeCell ref="O107:Q107"/>
    <mergeCell ref="I108:K108"/>
    <mergeCell ref="L108:N108"/>
    <mergeCell ref="O108:Q108"/>
    <mergeCell ref="I105:K105"/>
    <mergeCell ref="L105:N105"/>
    <mergeCell ref="O105:Q105"/>
    <mergeCell ref="I106:K106"/>
    <mergeCell ref="L106:N106"/>
    <mergeCell ref="O106:Q106"/>
    <mergeCell ref="I103:K103"/>
    <mergeCell ref="L103:N103"/>
    <mergeCell ref="O103:Q103"/>
    <mergeCell ref="I104:K104"/>
    <mergeCell ref="L104:N104"/>
    <mergeCell ref="O104:Q104"/>
    <mergeCell ref="I101:K101"/>
    <mergeCell ref="L101:N101"/>
    <mergeCell ref="O101:Q101"/>
    <mergeCell ref="I102:K102"/>
    <mergeCell ref="L102:N102"/>
    <mergeCell ref="O102:Q102"/>
    <mergeCell ref="I99:K99"/>
    <mergeCell ref="L99:N99"/>
    <mergeCell ref="O99:Q99"/>
    <mergeCell ref="I100:K100"/>
    <mergeCell ref="L100:N100"/>
    <mergeCell ref="O100:Q100"/>
    <mergeCell ref="I97:K97"/>
    <mergeCell ref="L97:N97"/>
    <mergeCell ref="O97:Q97"/>
    <mergeCell ref="I98:K98"/>
    <mergeCell ref="L98:N98"/>
    <mergeCell ref="O98:Q98"/>
    <mergeCell ref="I95:K95"/>
    <mergeCell ref="L95:N95"/>
    <mergeCell ref="O95:Q95"/>
    <mergeCell ref="I96:K96"/>
    <mergeCell ref="L96:N96"/>
    <mergeCell ref="O96:Q96"/>
    <mergeCell ref="I93:K93"/>
    <mergeCell ref="L93:N93"/>
    <mergeCell ref="O93:Q93"/>
    <mergeCell ref="I94:K94"/>
    <mergeCell ref="L94:N94"/>
    <mergeCell ref="O94:Q94"/>
    <mergeCell ref="I91:K91"/>
    <mergeCell ref="L91:N91"/>
    <mergeCell ref="O91:Q91"/>
    <mergeCell ref="I92:K92"/>
    <mergeCell ref="L92:N92"/>
    <mergeCell ref="O92:Q92"/>
    <mergeCell ref="I89:K89"/>
    <mergeCell ref="L89:N89"/>
    <mergeCell ref="O89:Q89"/>
    <mergeCell ref="I90:K90"/>
    <mergeCell ref="L90:N90"/>
    <mergeCell ref="O90:Q90"/>
    <mergeCell ref="I87:K87"/>
    <mergeCell ref="L87:N87"/>
    <mergeCell ref="O87:Q87"/>
    <mergeCell ref="I88:K88"/>
    <mergeCell ref="L88:N88"/>
    <mergeCell ref="O88:Q88"/>
    <mergeCell ref="I85:K85"/>
    <mergeCell ref="L85:N85"/>
    <mergeCell ref="O85:Q85"/>
    <mergeCell ref="I86:K86"/>
    <mergeCell ref="L86:N86"/>
    <mergeCell ref="O86:Q86"/>
    <mergeCell ref="I83:K83"/>
    <mergeCell ref="L83:N83"/>
    <mergeCell ref="O83:Q83"/>
    <mergeCell ref="I84:K84"/>
    <mergeCell ref="L84:N84"/>
    <mergeCell ref="O84:Q84"/>
    <mergeCell ref="I81:K81"/>
    <mergeCell ref="L81:N81"/>
    <mergeCell ref="O81:Q81"/>
    <mergeCell ref="I82:K82"/>
    <mergeCell ref="L82:N82"/>
    <mergeCell ref="O82:Q82"/>
    <mergeCell ref="I79:K79"/>
    <mergeCell ref="L79:N79"/>
    <mergeCell ref="O79:Q79"/>
    <mergeCell ref="I80:K80"/>
    <mergeCell ref="L80:N80"/>
    <mergeCell ref="O80:Q80"/>
    <mergeCell ref="I77:K77"/>
    <mergeCell ref="L77:N77"/>
    <mergeCell ref="O77:Q77"/>
    <mergeCell ref="I78:K78"/>
    <mergeCell ref="L78:N78"/>
    <mergeCell ref="O78:Q78"/>
    <mergeCell ref="I75:K75"/>
    <mergeCell ref="L75:N75"/>
    <mergeCell ref="O75:Q75"/>
    <mergeCell ref="I76:K76"/>
    <mergeCell ref="L76:N76"/>
    <mergeCell ref="O76:Q76"/>
    <mergeCell ref="I73:K73"/>
    <mergeCell ref="L73:N73"/>
    <mergeCell ref="O73:Q73"/>
    <mergeCell ref="I74:K74"/>
    <mergeCell ref="L74:N74"/>
    <mergeCell ref="O74:Q74"/>
    <mergeCell ref="I71:K71"/>
    <mergeCell ref="L71:N71"/>
    <mergeCell ref="O71:Q71"/>
    <mergeCell ref="I72:K72"/>
    <mergeCell ref="L72:N72"/>
    <mergeCell ref="I69:K69"/>
    <mergeCell ref="L69:N69"/>
    <mergeCell ref="O69:Q69"/>
    <mergeCell ref="I70:K70"/>
    <mergeCell ref="L70:N70"/>
    <mergeCell ref="O70:Q70"/>
    <mergeCell ref="I67:K67"/>
    <mergeCell ref="L67:N67"/>
    <mergeCell ref="O67:Q67"/>
    <mergeCell ref="I68:K68"/>
    <mergeCell ref="L68:N68"/>
    <mergeCell ref="O68:Q68"/>
    <mergeCell ref="I65:K65"/>
    <mergeCell ref="L65:N65"/>
    <mergeCell ref="O65:Q65"/>
    <mergeCell ref="I66:K66"/>
    <mergeCell ref="L66:N66"/>
    <mergeCell ref="O66:Q66"/>
    <mergeCell ref="I63:K63"/>
    <mergeCell ref="L63:N63"/>
    <mergeCell ref="O63:Q63"/>
    <mergeCell ref="I64:K64"/>
    <mergeCell ref="L64:N64"/>
    <mergeCell ref="O64:Q64"/>
    <mergeCell ref="I61:K61"/>
    <mergeCell ref="L61:N61"/>
    <mergeCell ref="O61:Q61"/>
    <mergeCell ref="I62:K62"/>
    <mergeCell ref="L62:N62"/>
    <mergeCell ref="O62:Q62"/>
    <mergeCell ref="I59:K59"/>
    <mergeCell ref="L59:N59"/>
    <mergeCell ref="O59:Q59"/>
    <mergeCell ref="I60:K60"/>
    <mergeCell ref="L60:N60"/>
    <mergeCell ref="O60:Q60"/>
    <mergeCell ref="I57:K57"/>
    <mergeCell ref="L57:N57"/>
    <mergeCell ref="O57:Q57"/>
    <mergeCell ref="I58:K58"/>
    <mergeCell ref="L58:N58"/>
    <mergeCell ref="O58:Q58"/>
    <mergeCell ref="I55:K55"/>
    <mergeCell ref="L55:N55"/>
    <mergeCell ref="O55:Q55"/>
    <mergeCell ref="I56:K56"/>
    <mergeCell ref="L56:N56"/>
    <mergeCell ref="O56:Q56"/>
    <mergeCell ref="I53:K53"/>
    <mergeCell ref="L53:N53"/>
    <mergeCell ref="O53:Q53"/>
    <mergeCell ref="I54:K54"/>
    <mergeCell ref="L54:N54"/>
    <mergeCell ref="O54:Q54"/>
    <mergeCell ref="I51:K51"/>
    <mergeCell ref="L51:N51"/>
    <mergeCell ref="O51:Q51"/>
    <mergeCell ref="I52:K52"/>
    <mergeCell ref="L52:N52"/>
    <mergeCell ref="O52:Q52"/>
    <mergeCell ref="I49:K49"/>
    <mergeCell ref="L49:N49"/>
    <mergeCell ref="O49:Q49"/>
    <mergeCell ref="I50:K50"/>
    <mergeCell ref="L50:N50"/>
    <mergeCell ref="O50:Q50"/>
    <mergeCell ref="I47:K47"/>
    <mergeCell ref="L47:N47"/>
    <mergeCell ref="O47:Q47"/>
    <mergeCell ref="I48:K48"/>
    <mergeCell ref="L48:N48"/>
    <mergeCell ref="O48:Q48"/>
    <mergeCell ref="I45:K45"/>
    <mergeCell ref="L45:N45"/>
    <mergeCell ref="O45:Q45"/>
    <mergeCell ref="I46:K46"/>
    <mergeCell ref="L46:N46"/>
    <mergeCell ref="O46:Q46"/>
    <mergeCell ref="I43:K43"/>
    <mergeCell ref="L43:N43"/>
    <mergeCell ref="O43:Q43"/>
    <mergeCell ref="I44:K44"/>
    <mergeCell ref="L44:N44"/>
    <mergeCell ref="O44:Q44"/>
    <mergeCell ref="I41:K41"/>
    <mergeCell ref="L41:N41"/>
    <mergeCell ref="O41:Q41"/>
    <mergeCell ref="I42:K42"/>
    <mergeCell ref="L42:N42"/>
    <mergeCell ref="O42:Q42"/>
    <mergeCell ref="I39:K39"/>
    <mergeCell ref="L39:N39"/>
    <mergeCell ref="O39:Q39"/>
    <mergeCell ref="I40:K40"/>
    <mergeCell ref="L40:N40"/>
    <mergeCell ref="O40:Q40"/>
    <mergeCell ref="I37:K37"/>
    <mergeCell ref="L37:N37"/>
    <mergeCell ref="O37:Q37"/>
    <mergeCell ref="I38:K38"/>
    <mergeCell ref="L38:N38"/>
    <mergeCell ref="O38:Q38"/>
    <mergeCell ref="I35:K35"/>
    <mergeCell ref="L35:N35"/>
    <mergeCell ref="O35:Q35"/>
    <mergeCell ref="I36:K36"/>
    <mergeCell ref="L36:N36"/>
    <mergeCell ref="O36:Q36"/>
    <mergeCell ref="I33:K33"/>
    <mergeCell ref="L33:N33"/>
    <mergeCell ref="O33:Q33"/>
    <mergeCell ref="I34:K34"/>
    <mergeCell ref="L34:N34"/>
    <mergeCell ref="O34:Q34"/>
    <mergeCell ref="I31:K31"/>
    <mergeCell ref="L31:N31"/>
    <mergeCell ref="O31:Q31"/>
    <mergeCell ref="I32:K32"/>
    <mergeCell ref="L32:N32"/>
    <mergeCell ref="O32:Q32"/>
    <mergeCell ref="I29:K29"/>
    <mergeCell ref="L29:N29"/>
    <mergeCell ref="O29:Q29"/>
    <mergeCell ref="I30:K30"/>
    <mergeCell ref="L30:N30"/>
    <mergeCell ref="O30:Q30"/>
    <mergeCell ref="I27:K27"/>
    <mergeCell ref="L27:N27"/>
    <mergeCell ref="O27:Q27"/>
    <mergeCell ref="I28:K28"/>
    <mergeCell ref="L28:N28"/>
    <mergeCell ref="O28:Q28"/>
    <mergeCell ref="I25:K25"/>
    <mergeCell ref="L25:N25"/>
    <mergeCell ref="O25:Q25"/>
    <mergeCell ref="I26:K26"/>
    <mergeCell ref="L26:N26"/>
    <mergeCell ref="O26:Q26"/>
    <mergeCell ref="I23:K23"/>
    <mergeCell ref="L23:N23"/>
    <mergeCell ref="O23:Q23"/>
    <mergeCell ref="I24:K24"/>
    <mergeCell ref="L24:N24"/>
    <mergeCell ref="O24:Q24"/>
    <mergeCell ref="F105:H105"/>
    <mergeCell ref="F106:H106"/>
    <mergeCell ref="F99:H99"/>
    <mergeCell ref="F100:H100"/>
    <mergeCell ref="F101:H101"/>
    <mergeCell ref="F102:H102"/>
    <mergeCell ref="F103:H103"/>
    <mergeCell ref="F104:H104"/>
    <mergeCell ref="F93:H93"/>
    <mergeCell ref="F94:H94"/>
    <mergeCell ref="F95:H95"/>
    <mergeCell ref="F96:H96"/>
    <mergeCell ref="F97:H97"/>
    <mergeCell ref="F98:H98"/>
    <mergeCell ref="F87:H87"/>
    <mergeCell ref="F88:H88"/>
    <mergeCell ref="F89:H89"/>
    <mergeCell ref="F90:H90"/>
    <mergeCell ref="F91:H91"/>
    <mergeCell ref="F92:H92"/>
    <mergeCell ref="F81:H81"/>
    <mergeCell ref="F82:H82"/>
    <mergeCell ref="F83:H83"/>
    <mergeCell ref="F84:H84"/>
    <mergeCell ref="F85:H85"/>
    <mergeCell ref="F86:H86"/>
    <mergeCell ref="F75:H75"/>
    <mergeCell ref="F76:H76"/>
    <mergeCell ref="F77:H77"/>
    <mergeCell ref="F78:H78"/>
    <mergeCell ref="F79:H79"/>
    <mergeCell ref="F80:H80"/>
    <mergeCell ref="F69:H69"/>
    <mergeCell ref="F70:H70"/>
    <mergeCell ref="F71:H71"/>
    <mergeCell ref="F72:H72"/>
    <mergeCell ref="F73:H73"/>
    <mergeCell ref="F74:H74"/>
    <mergeCell ref="F64:H64"/>
    <mergeCell ref="F65:H65"/>
    <mergeCell ref="F66:H66"/>
    <mergeCell ref="F67:H67"/>
    <mergeCell ref="F68:H68"/>
    <mergeCell ref="F57:H57"/>
    <mergeCell ref="F58:H58"/>
    <mergeCell ref="F59:H59"/>
    <mergeCell ref="F60:H60"/>
    <mergeCell ref="F61:H61"/>
    <mergeCell ref="F62:H62"/>
    <mergeCell ref="F55:H55"/>
    <mergeCell ref="F56:H56"/>
    <mergeCell ref="F45:H45"/>
    <mergeCell ref="F46:H46"/>
    <mergeCell ref="F47:H47"/>
    <mergeCell ref="F48:H48"/>
    <mergeCell ref="F49:H49"/>
    <mergeCell ref="F50:H50"/>
    <mergeCell ref="F63:H63"/>
    <mergeCell ref="F34:H34"/>
    <mergeCell ref="F35:H35"/>
    <mergeCell ref="F36:H36"/>
    <mergeCell ref="F37:H37"/>
    <mergeCell ref="F38:H38"/>
    <mergeCell ref="F51:H51"/>
    <mergeCell ref="F52:H52"/>
    <mergeCell ref="F53:H53"/>
    <mergeCell ref="F54:H54"/>
    <mergeCell ref="F39:H39"/>
    <mergeCell ref="F40:H40"/>
    <mergeCell ref="F41:H41"/>
    <mergeCell ref="F42:H42"/>
    <mergeCell ref="F43:H43"/>
    <mergeCell ref="F44:H44"/>
    <mergeCell ref="F112:H112"/>
    <mergeCell ref="F111:H111"/>
    <mergeCell ref="F110:H110"/>
    <mergeCell ref="F109:H109"/>
    <mergeCell ref="F108:H108"/>
    <mergeCell ref="F107:H107"/>
    <mergeCell ref="C111:E111"/>
    <mergeCell ref="C112:E112"/>
    <mergeCell ref="C113:E113"/>
    <mergeCell ref="C114:E114"/>
    <mergeCell ref="F114:H114"/>
    <mergeCell ref="C15:E15"/>
    <mergeCell ref="C16:E16"/>
    <mergeCell ref="C17:E17"/>
    <mergeCell ref="C18:E18"/>
    <mergeCell ref="F113:H113"/>
    <mergeCell ref="C105:E105"/>
    <mergeCell ref="C106:E106"/>
    <mergeCell ref="C107:E107"/>
    <mergeCell ref="C108:E108"/>
    <mergeCell ref="C109:E109"/>
    <mergeCell ref="C110:E110"/>
    <mergeCell ref="C99:E99"/>
    <mergeCell ref="C100:E100"/>
    <mergeCell ref="C101:E101"/>
    <mergeCell ref="C102:E102"/>
    <mergeCell ref="C103:E103"/>
    <mergeCell ref="C104:E104"/>
    <mergeCell ref="C93:E93"/>
    <mergeCell ref="C94:E94"/>
    <mergeCell ref="C95:E95"/>
    <mergeCell ref="C96:E96"/>
    <mergeCell ref="C97:E97"/>
    <mergeCell ref="C98:E98"/>
    <mergeCell ref="C87:E87"/>
    <mergeCell ref="C88:E88"/>
    <mergeCell ref="C89:E89"/>
    <mergeCell ref="C90:E90"/>
    <mergeCell ref="C91:E91"/>
    <mergeCell ref="C92:E92"/>
    <mergeCell ref="C81:E81"/>
    <mergeCell ref="C82:E82"/>
    <mergeCell ref="C83:E83"/>
    <mergeCell ref="C84:E84"/>
    <mergeCell ref="C85:E85"/>
    <mergeCell ref="C86:E86"/>
    <mergeCell ref="C75:E75"/>
    <mergeCell ref="C76:E76"/>
    <mergeCell ref="C77:E77"/>
    <mergeCell ref="C78:E78"/>
    <mergeCell ref="C79:E79"/>
    <mergeCell ref="C80:E80"/>
    <mergeCell ref="C69:E69"/>
    <mergeCell ref="C70:E70"/>
    <mergeCell ref="C71:E71"/>
    <mergeCell ref="C72:E72"/>
    <mergeCell ref="C73:E73"/>
    <mergeCell ref="C74:E74"/>
    <mergeCell ref="C65:E65"/>
    <mergeCell ref="C66:E66"/>
    <mergeCell ref="C67:E67"/>
    <mergeCell ref="C68:E68"/>
    <mergeCell ref="C57:E57"/>
    <mergeCell ref="C58:E58"/>
    <mergeCell ref="C59:E59"/>
    <mergeCell ref="C60:E60"/>
    <mergeCell ref="C61:E61"/>
    <mergeCell ref="C62:E62"/>
    <mergeCell ref="C56:E56"/>
    <mergeCell ref="C45:E45"/>
    <mergeCell ref="C46:E46"/>
    <mergeCell ref="C47:E47"/>
    <mergeCell ref="C48:E48"/>
    <mergeCell ref="C49:E49"/>
    <mergeCell ref="C50:E50"/>
    <mergeCell ref="C63:E63"/>
    <mergeCell ref="C64:E64"/>
    <mergeCell ref="C35:E35"/>
    <mergeCell ref="C36:E36"/>
    <mergeCell ref="C37:E37"/>
    <mergeCell ref="C38:E38"/>
    <mergeCell ref="C51:E51"/>
    <mergeCell ref="C52:E52"/>
    <mergeCell ref="C53:E53"/>
    <mergeCell ref="C54:E54"/>
    <mergeCell ref="C55:E55"/>
    <mergeCell ref="C39:E39"/>
    <mergeCell ref="C40:E40"/>
    <mergeCell ref="C41:E41"/>
    <mergeCell ref="C42:E42"/>
    <mergeCell ref="C43:E43"/>
    <mergeCell ref="C44:E44"/>
    <mergeCell ref="I22:K22"/>
    <mergeCell ref="L22:N22"/>
    <mergeCell ref="O22:Q22"/>
    <mergeCell ref="L18:N18"/>
    <mergeCell ref="O18:Q18"/>
    <mergeCell ref="I19:K19"/>
    <mergeCell ref="C21:E21"/>
    <mergeCell ref="C22:E22"/>
    <mergeCell ref="C23:E23"/>
    <mergeCell ref="F21:H21"/>
    <mergeCell ref="F22:H22"/>
    <mergeCell ref="F23:H23"/>
    <mergeCell ref="F33:H33"/>
    <mergeCell ref="C19:E19"/>
    <mergeCell ref="C20:E20"/>
    <mergeCell ref="F19:H19"/>
    <mergeCell ref="F20:H20"/>
    <mergeCell ref="C30:E30"/>
    <mergeCell ref="C31:E31"/>
    <mergeCell ref="C32:E32"/>
    <mergeCell ref="C25:E25"/>
    <mergeCell ref="C26:E26"/>
    <mergeCell ref="C33:E33"/>
    <mergeCell ref="F32:H32"/>
    <mergeCell ref="C27:E27"/>
    <mergeCell ref="C28:E28"/>
    <mergeCell ref="C29:E29"/>
    <mergeCell ref="F27:H27"/>
    <mergeCell ref="F28:H28"/>
    <mergeCell ref="F29:H29"/>
    <mergeCell ref="F24:H24"/>
    <mergeCell ref="F25:H25"/>
    <mergeCell ref="F26:H26"/>
    <mergeCell ref="C24:E24"/>
    <mergeCell ref="C34:E34"/>
    <mergeCell ref="A2:U3"/>
    <mergeCell ref="A4:U4"/>
    <mergeCell ref="A5:U5"/>
    <mergeCell ref="A6:U6"/>
    <mergeCell ref="A7:U7"/>
    <mergeCell ref="A8:U8"/>
    <mergeCell ref="A9:U9"/>
    <mergeCell ref="W108:Y108"/>
    <mergeCell ref="W84:Y84"/>
    <mergeCell ref="F15:H15"/>
    <mergeCell ref="I15:K15"/>
    <mergeCell ref="R15:S15"/>
    <mergeCell ref="F13:H13"/>
    <mergeCell ref="I13:K13"/>
    <mergeCell ref="L13:N13"/>
    <mergeCell ref="O13:Q13"/>
    <mergeCell ref="W52:Y52"/>
    <mergeCell ref="O72:Q72"/>
    <mergeCell ref="F16:H16"/>
    <mergeCell ref="F17:H17"/>
    <mergeCell ref="F18:H18"/>
    <mergeCell ref="F30:H30"/>
    <mergeCell ref="F31:H31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B741-8DEE-45AA-A396-9325E53BF0B6}">
  <sheetPr codeName="Sheet1"/>
  <dimension ref="A1:Q30"/>
  <sheetViews>
    <sheetView topLeftCell="A13" zoomScale="86" zoomScaleNormal="60" workbookViewId="0">
      <selection activeCell="F13" sqref="F13:F17"/>
    </sheetView>
  </sheetViews>
  <sheetFormatPr defaultRowHeight="14.5" x14ac:dyDescent="0.35"/>
  <cols>
    <col min="4" max="4" width="5.6328125" bestFit="1" customWidth="1"/>
    <col min="5" max="5" width="12" bestFit="1" customWidth="1"/>
    <col min="6" max="6" width="25.90625" bestFit="1" customWidth="1"/>
    <col min="7" max="7" width="12.6328125" customWidth="1"/>
    <col min="8" max="8" width="11.7265625" bestFit="1" customWidth="1"/>
    <col min="9" max="9" width="9.7265625" bestFit="1" customWidth="1"/>
    <col min="10" max="10" width="10.54296875" bestFit="1" customWidth="1"/>
    <col min="11" max="11" width="13.7265625" customWidth="1"/>
    <col min="12" max="12" width="8.90625" bestFit="1" customWidth="1"/>
    <col min="13" max="13" width="9.453125" bestFit="1" customWidth="1"/>
    <col min="14" max="14" width="10.54296875" bestFit="1" customWidth="1"/>
    <col min="15" max="15" width="13.1796875" customWidth="1"/>
  </cols>
  <sheetData>
    <row r="1" spans="1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1:17" x14ac:dyDescent="0.35">
      <c r="C2" s="35"/>
      <c r="D2" s="161" t="s">
        <v>0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1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1:17" ht="22" x14ac:dyDescent="0.6">
      <c r="C4" s="35"/>
      <c r="D4" s="162" t="s">
        <v>1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1:17" ht="23" x14ac:dyDescent="0.6">
      <c r="C5" s="35"/>
      <c r="D5" s="164" t="s">
        <v>2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1:17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1:17" ht="22" x14ac:dyDescent="0.6">
      <c r="C7" s="35"/>
      <c r="D7" s="35"/>
      <c r="E7" s="35"/>
      <c r="F7" s="35"/>
      <c r="G7" s="164" t="s">
        <v>4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1:17" ht="21" x14ac:dyDescent="0.5">
      <c r="C8" s="35"/>
      <c r="D8" s="160" t="s">
        <v>5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1:17" ht="21" x14ac:dyDescent="0.5">
      <c r="C9" s="7"/>
      <c r="D9" s="160" t="s">
        <v>6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0" spans="1:17" x14ac:dyDescent="0.35"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4.5" customHeight="1" x14ac:dyDescent="0.45">
      <c r="A11" s="195" t="s">
        <v>7</v>
      </c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</row>
    <row r="12" spans="1:17" x14ac:dyDescent="0.35">
      <c r="E12" s="1"/>
      <c r="F12" s="1"/>
      <c r="G12" s="1"/>
    </row>
    <row r="13" spans="1:17" ht="26" customHeight="1" x14ac:dyDescent="0.45">
      <c r="D13" s="196" t="s">
        <v>8</v>
      </c>
      <c r="E13" s="196" t="s">
        <v>9</v>
      </c>
      <c r="F13" s="196" t="s">
        <v>10</v>
      </c>
      <c r="G13" s="199" t="s">
        <v>11</v>
      </c>
      <c r="H13" s="200"/>
      <c r="I13" s="200"/>
      <c r="J13" s="200"/>
      <c r="K13" s="200"/>
      <c r="L13" s="201"/>
      <c r="M13" s="202" t="s">
        <v>12</v>
      </c>
      <c r="N13" s="182" t="s">
        <v>13</v>
      </c>
    </row>
    <row r="14" spans="1:17" x14ac:dyDescent="0.35">
      <c r="D14" s="197"/>
      <c r="E14" s="197"/>
      <c r="F14" s="197"/>
      <c r="G14" s="185" t="s">
        <v>14</v>
      </c>
      <c r="H14" s="186"/>
      <c r="I14" s="186"/>
      <c r="J14" s="187"/>
      <c r="K14" s="193" t="s">
        <v>15</v>
      </c>
      <c r="L14" s="194"/>
      <c r="M14" s="203"/>
      <c r="N14" s="183"/>
    </row>
    <row r="15" spans="1:17" x14ac:dyDescent="0.35">
      <c r="D15" s="197"/>
      <c r="E15" s="197"/>
      <c r="F15" s="197"/>
      <c r="G15" s="188" t="s">
        <v>16</v>
      </c>
      <c r="H15" s="189"/>
      <c r="I15" s="189"/>
      <c r="J15" s="190"/>
      <c r="K15" s="191" t="s">
        <v>17</v>
      </c>
      <c r="L15" s="192"/>
      <c r="M15" s="203"/>
      <c r="N15" s="183"/>
    </row>
    <row r="16" spans="1:17" ht="39" x14ac:dyDescent="0.35">
      <c r="D16" s="197"/>
      <c r="E16" s="197"/>
      <c r="F16" s="197"/>
      <c r="G16" s="14" t="s">
        <v>18</v>
      </c>
      <c r="H16" s="14" t="s">
        <v>19</v>
      </c>
      <c r="I16" s="13" t="s">
        <v>20</v>
      </c>
      <c r="J16" s="14" t="s">
        <v>21</v>
      </c>
      <c r="K16" s="25" t="s">
        <v>22</v>
      </c>
      <c r="L16" s="24" t="s">
        <v>23</v>
      </c>
      <c r="M16" s="204"/>
      <c r="N16" s="184"/>
    </row>
    <row r="17" spans="4:14" x14ac:dyDescent="0.35">
      <c r="D17" s="198"/>
      <c r="E17" s="198"/>
      <c r="F17" s="198"/>
      <c r="G17" s="12"/>
      <c r="H17" s="12"/>
      <c r="I17" s="13"/>
      <c r="J17" s="14"/>
      <c r="K17" s="17"/>
      <c r="L17" s="18"/>
      <c r="M17" s="10"/>
      <c r="N17" s="21"/>
    </row>
    <row r="18" spans="4:14" x14ac:dyDescent="0.35">
      <c r="D18" s="8">
        <v>1</v>
      </c>
      <c r="E18" s="8">
        <v>25241101</v>
      </c>
      <c r="F18" s="4" t="s">
        <v>24</v>
      </c>
      <c r="G18" s="15">
        <v>20</v>
      </c>
      <c r="H18" s="15">
        <v>20</v>
      </c>
      <c r="I18" s="15">
        <v>30</v>
      </c>
      <c r="J18" s="15">
        <v>30</v>
      </c>
      <c r="K18" s="19" t="s">
        <v>25</v>
      </c>
      <c r="L18" s="19" t="s">
        <v>25</v>
      </c>
      <c r="M18" s="8">
        <f>SUM(G18:L18)</f>
        <v>100</v>
      </c>
      <c r="N18" s="22">
        <v>3</v>
      </c>
    </row>
    <row r="19" spans="4:14" x14ac:dyDescent="0.35">
      <c r="D19" s="8">
        <v>2</v>
      </c>
      <c r="E19" s="8">
        <v>25241102</v>
      </c>
      <c r="F19" s="4" t="s">
        <v>26</v>
      </c>
      <c r="G19" s="15">
        <v>20</v>
      </c>
      <c r="H19" s="15">
        <v>20</v>
      </c>
      <c r="I19" s="15">
        <v>30</v>
      </c>
      <c r="J19" s="15">
        <v>30</v>
      </c>
      <c r="K19" s="19" t="s">
        <v>25</v>
      </c>
      <c r="L19" s="19" t="s">
        <v>25</v>
      </c>
      <c r="M19" s="8">
        <f t="shared" ref="M19:M28" si="0">SUM(G19:L19)</f>
        <v>100</v>
      </c>
      <c r="N19" s="22">
        <v>2</v>
      </c>
    </row>
    <row r="20" spans="4:14" x14ac:dyDescent="0.35">
      <c r="D20" s="8">
        <v>3</v>
      </c>
      <c r="E20" s="8">
        <v>25241103</v>
      </c>
      <c r="F20" s="4" t="s">
        <v>27</v>
      </c>
      <c r="G20" s="15">
        <v>20</v>
      </c>
      <c r="H20" s="15">
        <v>20</v>
      </c>
      <c r="I20" s="15">
        <v>30</v>
      </c>
      <c r="J20" s="15">
        <v>30</v>
      </c>
      <c r="K20" s="19" t="s">
        <v>25</v>
      </c>
      <c r="L20" s="19" t="s">
        <v>25</v>
      </c>
      <c r="M20" s="8">
        <f t="shared" si="0"/>
        <v>100</v>
      </c>
      <c r="N20" s="22">
        <v>3</v>
      </c>
    </row>
    <row r="21" spans="4:14" x14ac:dyDescent="0.35">
      <c r="D21" s="8">
        <v>4</v>
      </c>
      <c r="E21" s="8">
        <v>25241104</v>
      </c>
      <c r="F21" s="4" t="s">
        <v>28</v>
      </c>
      <c r="G21" s="15">
        <v>20</v>
      </c>
      <c r="H21" s="15">
        <v>20</v>
      </c>
      <c r="I21" s="15">
        <v>30</v>
      </c>
      <c r="J21" s="15">
        <v>30</v>
      </c>
      <c r="K21" s="19" t="s">
        <v>25</v>
      </c>
      <c r="L21" s="19" t="s">
        <v>25</v>
      </c>
      <c r="M21" s="8">
        <f t="shared" si="0"/>
        <v>100</v>
      </c>
      <c r="N21" s="22">
        <v>3</v>
      </c>
    </row>
    <row r="22" spans="4:14" x14ac:dyDescent="0.35">
      <c r="D22" s="8">
        <v>5</v>
      </c>
      <c r="E22" s="8">
        <v>25241105</v>
      </c>
      <c r="F22" s="4" t="s">
        <v>29</v>
      </c>
      <c r="G22" s="15">
        <v>20</v>
      </c>
      <c r="H22" s="15">
        <v>20</v>
      </c>
      <c r="I22" s="15">
        <v>30</v>
      </c>
      <c r="J22" s="15">
        <v>30</v>
      </c>
      <c r="K22" s="19" t="s">
        <v>25</v>
      </c>
      <c r="L22" s="19" t="s">
        <v>25</v>
      </c>
      <c r="M22" s="8">
        <f t="shared" si="0"/>
        <v>100</v>
      </c>
      <c r="N22" s="22">
        <v>3</v>
      </c>
    </row>
    <row r="23" spans="4:14" x14ac:dyDescent="0.35">
      <c r="D23" s="8">
        <v>6</v>
      </c>
      <c r="E23" s="8">
        <v>25241106</v>
      </c>
      <c r="F23" s="4" t="s">
        <v>30</v>
      </c>
      <c r="G23" s="15" t="s">
        <v>25</v>
      </c>
      <c r="H23" s="15" t="s">
        <v>25</v>
      </c>
      <c r="I23" s="15" t="s">
        <v>25</v>
      </c>
      <c r="J23" s="15" t="s">
        <v>25</v>
      </c>
      <c r="K23" s="19">
        <v>70</v>
      </c>
      <c r="L23" s="19">
        <v>30</v>
      </c>
      <c r="M23" s="8">
        <f t="shared" si="0"/>
        <v>100</v>
      </c>
      <c r="N23" s="22">
        <v>1</v>
      </c>
    </row>
    <row r="24" spans="4:14" x14ac:dyDescent="0.35">
      <c r="D24" s="8">
        <v>7</v>
      </c>
      <c r="E24" s="8">
        <v>25241107</v>
      </c>
      <c r="F24" s="4" t="s">
        <v>31</v>
      </c>
      <c r="G24" s="15" t="s">
        <v>25</v>
      </c>
      <c r="H24" s="15" t="s">
        <v>25</v>
      </c>
      <c r="I24" s="15" t="s">
        <v>25</v>
      </c>
      <c r="J24" s="15" t="s">
        <v>25</v>
      </c>
      <c r="K24" s="19">
        <v>70</v>
      </c>
      <c r="L24" s="19">
        <v>30</v>
      </c>
      <c r="M24" s="8">
        <f t="shared" si="0"/>
        <v>100</v>
      </c>
      <c r="N24" s="22">
        <v>1</v>
      </c>
    </row>
    <row r="25" spans="4:14" x14ac:dyDescent="0.35">
      <c r="D25" s="8">
        <v>8</v>
      </c>
      <c r="E25" s="8">
        <v>25241108</v>
      </c>
      <c r="F25" s="4" t="s">
        <v>32</v>
      </c>
      <c r="G25" s="15" t="s">
        <v>25</v>
      </c>
      <c r="H25" s="15" t="s">
        <v>25</v>
      </c>
      <c r="I25" s="15" t="s">
        <v>25</v>
      </c>
      <c r="J25" s="15" t="s">
        <v>25</v>
      </c>
      <c r="K25" s="19">
        <v>50</v>
      </c>
      <c r="L25" s="19" t="s">
        <v>25</v>
      </c>
      <c r="M25" s="8">
        <f t="shared" si="0"/>
        <v>50</v>
      </c>
      <c r="N25" s="22">
        <v>1</v>
      </c>
    </row>
    <row r="26" spans="4:14" x14ac:dyDescent="0.35">
      <c r="D26" s="8">
        <v>9</v>
      </c>
      <c r="E26" s="8">
        <v>25241109</v>
      </c>
      <c r="F26" s="4" t="s">
        <v>33</v>
      </c>
      <c r="G26" s="15" t="s">
        <v>25</v>
      </c>
      <c r="H26" s="15" t="s">
        <v>25</v>
      </c>
      <c r="I26" s="15" t="s">
        <v>25</v>
      </c>
      <c r="J26" s="15" t="s">
        <v>25</v>
      </c>
      <c r="K26" s="19">
        <v>70</v>
      </c>
      <c r="L26" s="19">
        <v>30</v>
      </c>
      <c r="M26" s="8">
        <f t="shared" si="0"/>
        <v>100</v>
      </c>
      <c r="N26" s="22">
        <v>1</v>
      </c>
    </row>
    <row r="27" spans="4:14" x14ac:dyDescent="0.35">
      <c r="D27" s="8">
        <v>10</v>
      </c>
      <c r="E27" s="8">
        <v>25241110</v>
      </c>
      <c r="F27" s="4" t="s">
        <v>34</v>
      </c>
      <c r="G27" s="15" t="s">
        <v>25</v>
      </c>
      <c r="H27" s="15" t="s">
        <v>25</v>
      </c>
      <c r="I27" s="15" t="s">
        <v>25</v>
      </c>
      <c r="J27" s="15" t="s">
        <v>25</v>
      </c>
      <c r="K27" s="19">
        <v>70</v>
      </c>
      <c r="L27" s="19">
        <v>30</v>
      </c>
      <c r="M27" s="8">
        <f t="shared" si="0"/>
        <v>100</v>
      </c>
      <c r="N27" s="22">
        <v>1</v>
      </c>
    </row>
    <row r="28" spans="4:14" x14ac:dyDescent="0.35">
      <c r="D28" s="8">
        <v>11</v>
      </c>
      <c r="E28" s="8" t="s">
        <v>35</v>
      </c>
      <c r="F28" s="4" t="s">
        <v>36</v>
      </c>
      <c r="G28" s="15" t="s">
        <v>25</v>
      </c>
      <c r="H28" s="15" t="s">
        <v>25</v>
      </c>
      <c r="I28" s="15" t="s">
        <v>25</v>
      </c>
      <c r="J28" s="15" t="s">
        <v>25</v>
      </c>
      <c r="K28" s="19" t="s">
        <v>25</v>
      </c>
      <c r="L28" s="19">
        <v>50</v>
      </c>
      <c r="M28" s="8">
        <f t="shared" si="0"/>
        <v>50</v>
      </c>
      <c r="N28" s="22">
        <v>1</v>
      </c>
    </row>
    <row r="29" spans="4:14" x14ac:dyDescent="0.35">
      <c r="D29" s="26" t="s">
        <v>37</v>
      </c>
      <c r="E29" s="27"/>
      <c r="F29" s="28"/>
      <c r="G29" s="23">
        <f>SUM(G18:G28)</f>
        <v>100</v>
      </c>
      <c r="H29" s="23">
        <f t="shared" ref="H29:N29" si="1">SUM(H18:H28)</f>
        <v>100</v>
      </c>
      <c r="I29" s="23">
        <f t="shared" si="1"/>
        <v>150</v>
      </c>
      <c r="J29" s="23">
        <f t="shared" si="1"/>
        <v>150</v>
      </c>
      <c r="K29" s="23">
        <f t="shared" si="1"/>
        <v>330</v>
      </c>
      <c r="L29" s="23">
        <f t="shared" si="1"/>
        <v>170</v>
      </c>
      <c r="M29" s="23">
        <f t="shared" si="1"/>
        <v>1000</v>
      </c>
      <c r="N29" s="23">
        <f t="shared" si="1"/>
        <v>20</v>
      </c>
    </row>
    <row r="30" spans="4:14" ht="39.5" x14ac:dyDescent="0.35">
      <c r="D30" s="9">
        <v>12</v>
      </c>
      <c r="E30" s="9">
        <v>25241111</v>
      </c>
      <c r="F30" s="5" t="s">
        <v>38</v>
      </c>
      <c r="G30" s="16">
        <v>20</v>
      </c>
      <c r="H30" s="16">
        <v>20</v>
      </c>
      <c r="I30" s="16">
        <v>30</v>
      </c>
      <c r="J30" s="16">
        <v>30</v>
      </c>
      <c r="K30" s="20"/>
      <c r="L30" s="20"/>
      <c r="M30" s="9">
        <v>100</v>
      </c>
      <c r="N30" s="21" t="s">
        <v>39</v>
      </c>
    </row>
  </sheetData>
  <mergeCells count="18">
    <mergeCell ref="D13:D17"/>
    <mergeCell ref="E13:E17"/>
    <mergeCell ref="F13:F17"/>
    <mergeCell ref="G13:L13"/>
    <mergeCell ref="M13:M16"/>
    <mergeCell ref="A11:Q11"/>
    <mergeCell ref="D9:Q9"/>
    <mergeCell ref="D2:Q3"/>
    <mergeCell ref="D4:Q4"/>
    <mergeCell ref="D5:Q5"/>
    <mergeCell ref="D6:Q6"/>
    <mergeCell ref="D8:Q8"/>
    <mergeCell ref="G7:L7"/>
    <mergeCell ref="N13:N16"/>
    <mergeCell ref="G14:J14"/>
    <mergeCell ref="G15:J15"/>
    <mergeCell ref="K15:L15"/>
    <mergeCell ref="K14:L1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38A9-314B-40A0-8983-34A0022A7F04}">
  <sheetPr codeName="Sheet2"/>
  <dimension ref="C1:W114"/>
  <sheetViews>
    <sheetView topLeftCell="B1" zoomScale="80" zoomScaleNormal="80" workbookViewId="0">
      <selection activeCell="G15" sqref="G15"/>
    </sheetView>
  </sheetViews>
  <sheetFormatPr defaultRowHeight="14.5" x14ac:dyDescent="0.35"/>
  <cols>
    <col min="4" max="4" width="6.54296875" customWidth="1"/>
    <col min="5" max="5" width="16.7265625" customWidth="1"/>
    <col min="6" max="6" width="16.8164062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  <col min="19" max="19" width="9.08984375" customWidth="1"/>
  </cols>
  <sheetData>
    <row r="1" spans="3:19" ht="11.5" customHeight="1" x14ac:dyDescent="0.35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3:19" x14ac:dyDescent="0.35">
      <c r="C2" s="35"/>
      <c r="D2" s="205" t="s">
        <v>84</v>
      </c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</row>
    <row r="3" spans="3:19" x14ac:dyDescent="0.35">
      <c r="C3" s="35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</row>
    <row r="4" spans="3:19" ht="22" x14ac:dyDescent="0.6">
      <c r="C4" s="35"/>
      <c r="D4" s="162" t="s">
        <v>85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9" ht="23" x14ac:dyDescent="0.6">
      <c r="C5" s="35"/>
      <c r="D5" s="164" t="s">
        <v>86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9" ht="22" x14ac:dyDescent="0.6">
      <c r="C6" s="35"/>
      <c r="D6" s="165" t="s">
        <v>87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9" ht="22" x14ac:dyDescent="0.6">
      <c r="C7" s="35"/>
      <c r="D7" s="34"/>
      <c r="E7" s="34"/>
      <c r="F7" s="34"/>
      <c r="G7" s="164" t="s">
        <v>88</v>
      </c>
      <c r="H7" s="166"/>
      <c r="I7" s="166"/>
      <c r="J7" s="166"/>
      <c r="K7" s="166"/>
      <c r="L7" s="166"/>
      <c r="M7" s="34"/>
      <c r="N7" s="34"/>
      <c r="O7" s="34"/>
      <c r="P7" s="34"/>
      <c r="Q7" s="40"/>
    </row>
    <row r="8" spans="3:19" ht="21" x14ac:dyDescent="0.5">
      <c r="C8" s="35"/>
      <c r="D8" s="160" t="s">
        <v>89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9" ht="21" x14ac:dyDescent="0.5">
      <c r="C9" s="7"/>
      <c r="D9" s="160" t="s">
        <v>90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9" ht="18.5" x14ac:dyDescent="0.45">
      <c r="D11" s="7"/>
      <c r="E11" s="30">
        <v>25241101</v>
      </c>
      <c r="F11" s="30" t="s">
        <v>40</v>
      </c>
      <c r="G11" s="30"/>
      <c r="H11" s="30" t="s">
        <v>41</v>
      </c>
      <c r="I11" s="30"/>
      <c r="J11" s="7"/>
      <c r="K11" s="7"/>
      <c r="L11" s="7"/>
      <c r="M11" s="7"/>
      <c r="N11" s="7"/>
    </row>
    <row r="12" spans="3:19" x14ac:dyDescent="0.35">
      <c r="D12" s="29" t="s">
        <v>42</v>
      </c>
      <c r="E12" s="29" t="s">
        <v>43</v>
      </c>
      <c r="F12" s="29" t="s">
        <v>44</v>
      </c>
      <c r="G12" s="29" t="s">
        <v>45</v>
      </c>
      <c r="H12" s="29" t="s">
        <v>46</v>
      </c>
      <c r="I12" s="29" t="s">
        <v>47</v>
      </c>
      <c r="J12" s="29" t="s">
        <v>48</v>
      </c>
      <c r="K12" s="29" t="s">
        <v>49</v>
      </c>
      <c r="L12" s="29" t="s">
        <v>50</v>
      </c>
      <c r="M12" s="29" t="s">
        <v>51</v>
      </c>
      <c r="N12" s="29" t="s">
        <v>52</v>
      </c>
    </row>
    <row r="13" spans="3:19" x14ac:dyDescent="0.35">
      <c r="D13" s="6"/>
      <c r="E13" s="6"/>
      <c r="F13" s="33">
        <v>20</v>
      </c>
      <c r="G13" s="33">
        <v>20</v>
      </c>
      <c r="H13" s="33">
        <v>10</v>
      </c>
      <c r="I13" s="33">
        <v>20</v>
      </c>
      <c r="J13" s="33">
        <v>30</v>
      </c>
      <c r="K13" s="33">
        <v>30</v>
      </c>
      <c r="L13" s="33">
        <v>100</v>
      </c>
      <c r="M13" s="33">
        <v>3</v>
      </c>
      <c r="N13" s="33" t="s">
        <v>53</v>
      </c>
    </row>
    <row r="14" spans="3:19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3:19" x14ac:dyDescent="0.35">
      <c r="D15" s="6">
        <v>1</v>
      </c>
      <c r="E15" s="6" t="s">
        <v>140</v>
      </c>
      <c r="F15" s="6">
        <v>1</v>
      </c>
      <c r="G15" s="6">
        <v>20</v>
      </c>
      <c r="H15" s="6">
        <v>10</v>
      </c>
      <c r="I15" s="6">
        <v>20</v>
      </c>
      <c r="J15" s="6">
        <f t="shared" ref="J15:J34" si="0">H15+I15</f>
        <v>30</v>
      </c>
      <c r="K15" s="6">
        <v>9</v>
      </c>
      <c r="L15" s="3">
        <f>F15+G15+J15+K15</f>
        <v>60</v>
      </c>
      <c r="M15" s="6">
        <f>IF(L15&gt;75,3,IF(L15&gt;50,2,IF(L15&gt;35,1,0)))</f>
        <v>2</v>
      </c>
      <c r="N15" s="6" t="str">
        <f>IF(L15&lt;35,"FAIL","PASS")</f>
        <v>PASS</v>
      </c>
    </row>
    <row r="16" spans="3:19" x14ac:dyDescent="0.35">
      <c r="D16" s="6">
        <v>2</v>
      </c>
      <c r="E16" s="6" t="s">
        <v>147</v>
      </c>
      <c r="F16" s="6">
        <v>2</v>
      </c>
      <c r="G16" s="6">
        <v>11</v>
      </c>
      <c r="H16" s="6">
        <v>6</v>
      </c>
      <c r="I16" s="6">
        <v>1</v>
      </c>
      <c r="J16" s="6">
        <f t="shared" si="0"/>
        <v>7</v>
      </c>
      <c r="K16" s="6">
        <v>6</v>
      </c>
      <c r="L16" s="3">
        <f t="shared" ref="L16:L79" si="1">F16+G16+J16+K16</f>
        <v>26</v>
      </c>
      <c r="M16" s="6">
        <f t="shared" ref="M16:M79" si="2">IF(L16&gt;75,3,IF(L16&gt;50,2,IF(L16&gt;35,1,0)))</f>
        <v>0</v>
      </c>
      <c r="N16" s="6" t="str">
        <f t="shared" ref="N16:N79" si="3">IF(L16&lt;35,"FAIL","PASS")</f>
        <v>FAIL</v>
      </c>
      <c r="P16" s="107" t="s">
        <v>660</v>
      </c>
      <c r="Q16" s="107"/>
      <c r="R16" s="211"/>
      <c r="S16" s="211"/>
    </row>
    <row r="17" spans="4:23" ht="14.5" customHeight="1" x14ac:dyDescent="0.35">
      <c r="D17" s="6">
        <v>3</v>
      </c>
      <c r="E17" s="6" t="s">
        <v>152</v>
      </c>
      <c r="F17" s="6">
        <v>17</v>
      </c>
      <c r="G17" s="6">
        <v>13</v>
      </c>
      <c r="H17" s="6">
        <v>5</v>
      </c>
      <c r="I17" s="6">
        <v>2</v>
      </c>
      <c r="J17" s="6">
        <f t="shared" si="0"/>
        <v>7</v>
      </c>
      <c r="K17" s="6">
        <v>7</v>
      </c>
      <c r="L17" s="3">
        <f t="shared" si="1"/>
        <v>44</v>
      </c>
      <c r="M17" s="6">
        <f t="shared" si="2"/>
        <v>1</v>
      </c>
      <c r="N17" s="6" t="str">
        <f t="shared" si="3"/>
        <v>PASS</v>
      </c>
      <c r="P17" s="210" t="s">
        <v>661</v>
      </c>
      <c r="Q17" s="211">
        <f>COUNTIF(N15:N114,N15)</f>
        <v>78</v>
      </c>
      <c r="R17" s="210"/>
      <c r="S17" s="210"/>
      <c r="U17" s="211"/>
      <c r="V17" s="211"/>
      <c r="W17" s="211"/>
    </row>
    <row r="18" spans="4:23" x14ac:dyDescent="0.35">
      <c r="D18" s="6">
        <v>4</v>
      </c>
      <c r="E18" s="6" t="s">
        <v>157</v>
      </c>
      <c r="F18" s="6">
        <v>13</v>
      </c>
      <c r="G18" s="6">
        <v>5</v>
      </c>
      <c r="H18" s="6">
        <v>1</v>
      </c>
      <c r="I18" s="6">
        <v>10</v>
      </c>
      <c r="J18" s="6">
        <f t="shared" si="0"/>
        <v>11</v>
      </c>
      <c r="K18" s="6">
        <v>28</v>
      </c>
      <c r="L18" s="3">
        <f t="shared" si="1"/>
        <v>57</v>
      </c>
      <c r="M18" s="6">
        <f t="shared" si="2"/>
        <v>2</v>
      </c>
      <c r="N18" s="6" t="str">
        <f>IF(L18&lt;35,"FAIL","PASS")</f>
        <v>PASS</v>
      </c>
      <c r="P18" s="211" t="s">
        <v>662</v>
      </c>
      <c r="Q18" s="211">
        <f>COUNTIF(N15:N114,N16)</f>
        <v>22</v>
      </c>
    </row>
    <row r="19" spans="4:23" x14ac:dyDescent="0.35">
      <c r="D19" s="6">
        <v>5</v>
      </c>
      <c r="E19" s="6" t="s">
        <v>162</v>
      </c>
      <c r="F19" s="6">
        <v>9</v>
      </c>
      <c r="G19" s="6">
        <v>17</v>
      </c>
      <c r="H19" s="6">
        <v>8</v>
      </c>
      <c r="I19" s="6">
        <v>3</v>
      </c>
      <c r="J19" s="6">
        <f t="shared" si="0"/>
        <v>11</v>
      </c>
      <c r="K19" s="6">
        <v>17</v>
      </c>
      <c r="L19" s="3">
        <f t="shared" si="1"/>
        <v>54</v>
      </c>
      <c r="M19" s="6">
        <f t="shared" si="2"/>
        <v>2</v>
      </c>
      <c r="N19" s="6" t="str">
        <f t="shared" si="3"/>
        <v>PASS</v>
      </c>
      <c r="R19" s="211"/>
      <c r="S19" s="211"/>
      <c r="U19" s="211"/>
      <c r="V19" s="211"/>
      <c r="W19" s="211"/>
    </row>
    <row r="20" spans="4:23" x14ac:dyDescent="0.35">
      <c r="D20" s="6">
        <v>6</v>
      </c>
      <c r="E20" s="6" t="s">
        <v>167</v>
      </c>
      <c r="F20" s="6">
        <v>13</v>
      </c>
      <c r="G20" s="6">
        <v>16</v>
      </c>
      <c r="H20" s="6">
        <v>3</v>
      </c>
      <c r="I20" s="6">
        <v>1</v>
      </c>
      <c r="J20" s="6">
        <f t="shared" si="0"/>
        <v>4</v>
      </c>
      <c r="K20" s="6">
        <v>9</v>
      </c>
      <c r="L20" s="3">
        <f t="shared" si="1"/>
        <v>42</v>
      </c>
      <c r="M20" s="6">
        <f t="shared" si="2"/>
        <v>1</v>
      </c>
      <c r="N20" s="6" t="str">
        <f t="shared" si="3"/>
        <v>PASS</v>
      </c>
    </row>
    <row r="21" spans="4:23" x14ac:dyDescent="0.35">
      <c r="D21" s="6">
        <v>7</v>
      </c>
      <c r="E21" s="6" t="s">
        <v>565</v>
      </c>
      <c r="F21" s="6">
        <v>8</v>
      </c>
      <c r="G21" s="6">
        <v>6</v>
      </c>
      <c r="H21" s="6">
        <v>0</v>
      </c>
      <c r="I21" s="6">
        <v>20</v>
      </c>
      <c r="J21" s="6">
        <f t="shared" si="0"/>
        <v>20</v>
      </c>
      <c r="K21" s="6">
        <v>23</v>
      </c>
      <c r="L21" s="3">
        <f t="shared" si="1"/>
        <v>57</v>
      </c>
      <c r="M21" s="6">
        <f t="shared" si="2"/>
        <v>2</v>
      </c>
      <c r="N21" s="6" t="str">
        <f t="shared" si="3"/>
        <v>PASS</v>
      </c>
    </row>
    <row r="22" spans="4:23" x14ac:dyDescent="0.35">
      <c r="D22" s="6">
        <v>8</v>
      </c>
      <c r="E22" s="6" t="s">
        <v>566</v>
      </c>
      <c r="F22" s="6">
        <v>7</v>
      </c>
      <c r="G22" s="6">
        <v>18</v>
      </c>
      <c r="H22" s="6">
        <v>0</v>
      </c>
      <c r="I22" s="6">
        <v>2</v>
      </c>
      <c r="J22" s="6">
        <f t="shared" si="0"/>
        <v>2</v>
      </c>
      <c r="K22" s="6">
        <v>16</v>
      </c>
      <c r="L22" s="3">
        <f t="shared" si="1"/>
        <v>43</v>
      </c>
      <c r="M22" s="6">
        <f t="shared" si="2"/>
        <v>1</v>
      </c>
      <c r="N22" s="6" t="str">
        <f t="shared" si="3"/>
        <v>PASS</v>
      </c>
    </row>
    <row r="23" spans="4:23" x14ac:dyDescent="0.35">
      <c r="D23" s="6">
        <v>9</v>
      </c>
      <c r="E23" s="6" t="s">
        <v>176</v>
      </c>
      <c r="F23" s="6">
        <v>14</v>
      </c>
      <c r="G23" s="6">
        <v>18</v>
      </c>
      <c r="H23" s="6">
        <v>5</v>
      </c>
      <c r="I23" s="6">
        <v>16</v>
      </c>
      <c r="J23" s="6">
        <f t="shared" si="0"/>
        <v>21</v>
      </c>
      <c r="K23" s="6">
        <v>17</v>
      </c>
      <c r="L23" s="3">
        <f t="shared" si="1"/>
        <v>70</v>
      </c>
      <c r="M23" s="6">
        <f t="shared" si="2"/>
        <v>2</v>
      </c>
      <c r="N23" s="6" t="str">
        <f t="shared" si="3"/>
        <v>PASS</v>
      </c>
    </row>
    <row r="24" spans="4:23" x14ac:dyDescent="0.35">
      <c r="D24" s="6">
        <v>10</v>
      </c>
      <c r="E24" s="6" t="s">
        <v>181</v>
      </c>
      <c r="F24" s="6">
        <v>7</v>
      </c>
      <c r="G24" s="6">
        <v>13</v>
      </c>
      <c r="H24" s="6">
        <v>4</v>
      </c>
      <c r="I24" s="6">
        <v>9</v>
      </c>
      <c r="J24" s="6">
        <f t="shared" si="0"/>
        <v>13</v>
      </c>
      <c r="K24" s="6">
        <v>20</v>
      </c>
      <c r="L24" s="3">
        <f t="shared" si="1"/>
        <v>53</v>
      </c>
      <c r="M24" s="6">
        <f t="shared" si="2"/>
        <v>2</v>
      </c>
      <c r="N24" s="6" t="str">
        <f t="shared" si="3"/>
        <v>PASS</v>
      </c>
    </row>
    <row r="25" spans="4:23" x14ac:dyDescent="0.35">
      <c r="D25" s="6">
        <v>11</v>
      </c>
      <c r="E25" s="6" t="s">
        <v>186</v>
      </c>
      <c r="F25" s="6">
        <v>1</v>
      </c>
      <c r="G25" s="6">
        <v>5</v>
      </c>
      <c r="H25" s="6">
        <v>5</v>
      </c>
      <c r="I25" s="6">
        <v>18</v>
      </c>
      <c r="J25" s="6">
        <f t="shared" si="0"/>
        <v>23</v>
      </c>
      <c r="K25" s="6">
        <v>4</v>
      </c>
      <c r="L25" s="3">
        <f t="shared" si="1"/>
        <v>33</v>
      </c>
      <c r="M25" s="6">
        <f t="shared" si="2"/>
        <v>0</v>
      </c>
      <c r="N25" s="6" t="str">
        <f t="shared" si="3"/>
        <v>FAIL</v>
      </c>
    </row>
    <row r="26" spans="4:23" x14ac:dyDescent="0.35">
      <c r="D26" s="6">
        <v>12</v>
      </c>
      <c r="E26" s="6" t="s">
        <v>191</v>
      </c>
      <c r="F26" s="6">
        <v>8</v>
      </c>
      <c r="G26" s="6">
        <v>3</v>
      </c>
      <c r="H26" s="6">
        <v>10</v>
      </c>
      <c r="I26" s="6">
        <v>2</v>
      </c>
      <c r="J26" s="6">
        <f t="shared" si="0"/>
        <v>12</v>
      </c>
      <c r="K26" s="6">
        <v>4</v>
      </c>
      <c r="L26" s="3">
        <f t="shared" si="1"/>
        <v>27</v>
      </c>
      <c r="M26" s="6">
        <f t="shared" si="2"/>
        <v>0</v>
      </c>
      <c r="N26" s="6" t="str">
        <f t="shared" si="3"/>
        <v>FAIL</v>
      </c>
    </row>
    <row r="27" spans="4:23" x14ac:dyDescent="0.35">
      <c r="D27" s="6">
        <v>13</v>
      </c>
      <c r="E27" s="6" t="s">
        <v>196</v>
      </c>
      <c r="F27" s="6">
        <v>10</v>
      </c>
      <c r="G27" s="6">
        <v>2</v>
      </c>
      <c r="H27" s="6">
        <v>2</v>
      </c>
      <c r="I27" s="6">
        <v>19</v>
      </c>
      <c r="J27" s="6">
        <f t="shared" si="0"/>
        <v>21</v>
      </c>
      <c r="K27" s="6">
        <v>7</v>
      </c>
      <c r="L27" s="3">
        <f t="shared" si="1"/>
        <v>40</v>
      </c>
      <c r="M27" s="6">
        <f t="shared" si="2"/>
        <v>1</v>
      </c>
      <c r="N27" s="6" t="str">
        <f t="shared" si="3"/>
        <v>PASS</v>
      </c>
    </row>
    <row r="28" spans="4:23" x14ac:dyDescent="0.35">
      <c r="D28" s="6">
        <v>14</v>
      </c>
      <c r="E28" s="6" t="s">
        <v>567</v>
      </c>
      <c r="F28" s="6">
        <v>17</v>
      </c>
      <c r="G28" s="6">
        <v>1</v>
      </c>
      <c r="H28" s="6">
        <v>6</v>
      </c>
      <c r="I28" s="6">
        <v>15</v>
      </c>
      <c r="J28" s="6">
        <f t="shared" si="0"/>
        <v>21</v>
      </c>
      <c r="K28" s="6">
        <v>9</v>
      </c>
      <c r="L28" s="3">
        <f t="shared" si="1"/>
        <v>48</v>
      </c>
      <c r="M28" s="6">
        <f t="shared" si="2"/>
        <v>1</v>
      </c>
      <c r="N28" s="6" t="str">
        <f t="shared" si="3"/>
        <v>PASS</v>
      </c>
    </row>
    <row r="29" spans="4:23" x14ac:dyDescent="0.35">
      <c r="D29" s="6">
        <v>15</v>
      </c>
      <c r="E29" s="6" t="s">
        <v>568</v>
      </c>
      <c r="F29" s="6">
        <v>2</v>
      </c>
      <c r="G29" s="6">
        <v>12</v>
      </c>
      <c r="H29" s="6">
        <v>6</v>
      </c>
      <c r="I29" s="6">
        <v>4</v>
      </c>
      <c r="J29" s="6">
        <f t="shared" si="0"/>
        <v>10</v>
      </c>
      <c r="K29" s="6">
        <v>9</v>
      </c>
      <c r="L29" s="3">
        <f t="shared" si="1"/>
        <v>33</v>
      </c>
      <c r="M29" s="6">
        <f t="shared" si="2"/>
        <v>0</v>
      </c>
      <c r="N29" s="6" t="str">
        <f t="shared" si="3"/>
        <v>FAIL</v>
      </c>
    </row>
    <row r="30" spans="4:23" x14ac:dyDescent="0.35">
      <c r="D30" s="6">
        <v>16</v>
      </c>
      <c r="E30" s="6" t="s">
        <v>204</v>
      </c>
      <c r="F30" s="6">
        <v>13</v>
      </c>
      <c r="G30" s="6">
        <v>17</v>
      </c>
      <c r="H30" s="6">
        <v>2</v>
      </c>
      <c r="I30" s="6">
        <v>12</v>
      </c>
      <c r="J30" s="6">
        <f t="shared" si="0"/>
        <v>14</v>
      </c>
      <c r="K30" s="6">
        <v>13</v>
      </c>
      <c r="L30" s="3">
        <f t="shared" si="1"/>
        <v>57</v>
      </c>
      <c r="M30" s="6">
        <f t="shared" si="2"/>
        <v>2</v>
      </c>
      <c r="N30" s="6" t="str">
        <f t="shared" si="3"/>
        <v>PASS</v>
      </c>
    </row>
    <row r="31" spans="4:23" x14ac:dyDescent="0.35">
      <c r="D31" s="6">
        <v>17</v>
      </c>
      <c r="E31" s="6" t="s">
        <v>209</v>
      </c>
      <c r="F31" s="6">
        <v>11</v>
      </c>
      <c r="G31" s="6">
        <v>18</v>
      </c>
      <c r="H31" s="6">
        <v>5</v>
      </c>
      <c r="I31" s="6">
        <v>9</v>
      </c>
      <c r="J31" s="6">
        <f t="shared" si="0"/>
        <v>14</v>
      </c>
      <c r="K31" s="6">
        <v>28</v>
      </c>
      <c r="L31" s="3">
        <f t="shared" si="1"/>
        <v>71</v>
      </c>
      <c r="M31" s="6">
        <f t="shared" si="2"/>
        <v>2</v>
      </c>
      <c r="N31" s="6" t="str">
        <f t="shared" si="3"/>
        <v>PASS</v>
      </c>
    </row>
    <row r="32" spans="4:23" x14ac:dyDescent="0.35">
      <c r="D32" s="6">
        <v>18</v>
      </c>
      <c r="E32" s="6" t="s">
        <v>214</v>
      </c>
      <c r="F32" s="6">
        <v>1</v>
      </c>
      <c r="G32" s="6">
        <v>16</v>
      </c>
      <c r="H32" s="6">
        <v>8</v>
      </c>
      <c r="I32" s="6">
        <v>1</v>
      </c>
      <c r="J32" s="6">
        <f t="shared" si="0"/>
        <v>9</v>
      </c>
      <c r="K32" s="6">
        <v>18</v>
      </c>
      <c r="L32" s="3">
        <f t="shared" si="1"/>
        <v>44</v>
      </c>
      <c r="M32" s="6">
        <f t="shared" si="2"/>
        <v>1</v>
      </c>
      <c r="N32" s="6" t="str">
        <f t="shared" si="3"/>
        <v>PASS</v>
      </c>
    </row>
    <row r="33" spans="4:14" x14ac:dyDescent="0.35">
      <c r="D33" s="6">
        <v>19</v>
      </c>
      <c r="E33" s="6" t="s">
        <v>219</v>
      </c>
      <c r="F33" s="6">
        <v>16</v>
      </c>
      <c r="G33" s="6">
        <v>10</v>
      </c>
      <c r="H33" s="6">
        <v>5</v>
      </c>
      <c r="I33" s="6">
        <v>7</v>
      </c>
      <c r="J33" s="6">
        <f t="shared" si="0"/>
        <v>12</v>
      </c>
      <c r="K33" s="6">
        <v>4</v>
      </c>
      <c r="L33" s="3">
        <f t="shared" si="1"/>
        <v>42</v>
      </c>
      <c r="M33" s="6">
        <f t="shared" si="2"/>
        <v>1</v>
      </c>
      <c r="N33" s="6" t="str">
        <f t="shared" si="3"/>
        <v>PASS</v>
      </c>
    </row>
    <row r="34" spans="4:14" x14ac:dyDescent="0.35">
      <c r="D34" s="6">
        <v>20</v>
      </c>
      <c r="E34" s="6" t="s">
        <v>224</v>
      </c>
      <c r="F34" s="6">
        <v>5</v>
      </c>
      <c r="G34" s="6">
        <v>8</v>
      </c>
      <c r="H34" s="6">
        <v>4</v>
      </c>
      <c r="I34" s="6">
        <v>1</v>
      </c>
      <c r="J34" s="6">
        <f t="shared" si="0"/>
        <v>5</v>
      </c>
      <c r="K34" s="6">
        <v>28</v>
      </c>
      <c r="L34" s="3">
        <f t="shared" si="1"/>
        <v>46</v>
      </c>
      <c r="M34" s="6">
        <f t="shared" si="2"/>
        <v>1</v>
      </c>
      <c r="N34" s="6" t="str">
        <f t="shared" si="3"/>
        <v>PASS</v>
      </c>
    </row>
    <row r="35" spans="4:14" x14ac:dyDescent="0.35">
      <c r="D35" s="6">
        <v>21</v>
      </c>
      <c r="E35" s="6" t="s">
        <v>569</v>
      </c>
      <c r="F35" s="6">
        <v>18</v>
      </c>
      <c r="G35" s="6">
        <v>18</v>
      </c>
      <c r="H35" s="6">
        <v>5</v>
      </c>
      <c r="I35" s="6">
        <v>10</v>
      </c>
      <c r="J35" s="6">
        <f>H35+I35</f>
        <v>15</v>
      </c>
      <c r="K35" s="6">
        <v>16</v>
      </c>
      <c r="L35" s="3">
        <f t="shared" si="1"/>
        <v>67</v>
      </c>
      <c r="M35" s="6">
        <f t="shared" si="2"/>
        <v>2</v>
      </c>
      <c r="N35" s="6" t="str">
        <f t="shared" si="3"/>
        <v>PASS</v>
      </c>
    </row>
    <row r="36" spans="4:14" x14ac:dyDescent="0.35">
      <c r="D36" s="6">
        <v>22</v>
      </c>
      <c r="E36" s="6" t="s">
        <v>229</v>
      </c>
      <c r="F36" s="6">
        <v>2</v>
      </c>
      <c r="G36" s="6">
        <v>12</v>
      </c>
      <c r="H36" s="6">
        <v>9</v>
      </c>
      <c r="I36" s="6">
        <v>1</v>
      </c>
      <c r="J36" s="6">
        <f t="shared" ref="J36:J99" si="4">H36+I36</f>
        <v>10</v>
      </c>
      <c r="K36" s="6">
        <v>8</v>
      </c>
      <c r="L36" s="3">
        <f t="shared" si="1"/>
        <v>32</v>
      </c>
      <c r="M36" s="6">
        <f t="shared" si="2"/>
        <v>0</v>
      </c>
      <c r="N36" s="6" t="str">
        <f t="shared" si="3"/>
        <v>FAIL</v>
      </c>
    </row>
    <row r="37" spans="4:14" x14ac:dyDescent="0.35">
      <c r="D37" s="6">
        <v>23</v>
      </c>
      <c r="E37" s="6" t="s">
        <v>234</v>
      </c>
      <c r="F37" s="6">
        <v>14</v>
      </c>
      <c r="G37" s="6">
        <v>7</v>
      </c>
      <c r="H37" s="6">
        <v>10</v>
      </c>
      <c r="I37" s="6">
        <v>12</v>
      </c>
      <c r="J37" s="6">
        <f t="shared" si="4"/>
        <v>22</v>
      </c>
      <c r="K37" s="6">
        <v>4</v>
      </c>
      <c r="L37" s="3">
        <f t="shared" si="1"/>
        <v>47</v>
      </c>
      <c r="M37" s="6">
        <f t="shared" si="2"/>
        <v>1</v>
      </c>
      <c r="N37" s="6" t="str">
        <f t="shared" si="3"/>
        <v>PASS</v>
      </c>
    </row>
    <row r="38" spans="4:14" x14ac:dyDescent="0.35">
      <c r="D38" s="6">
        <v>24</v>
      </c>
      <c r="E38" s="6" t="s">
        <v>239</v>
      </c>
      <c r="F38" s="6">
        <v>0</v>
      </c>
      <c r="G38" s="6">
        <v>10</v>
      </c>
      <c r="H38" s="6">
        <v>10</v>
      </c>
      <c r="I38" s="6">
        <v>18</v>
      </c>
      <c r="J38" s="6">
        <f t="shared" si="4"/>
        <v>28</v>
      </c>
      <c r="K38" s="6">
        <v>3</v>
      </c>
      <c r="L38" s="3">
        <f t="shared" si="1"/>
        <v>41</v>
      </c>
      <c r="M38" s="6">
        <f t="shared" si="2"/>
        <v>1</v>
      </c>
      <c r="N38" s="6" t="str">
        <f t="shared" si="3"/>
        <v>PASS</v>
      </c>
    </row>
    <row r="39" spans="4:14" x14ac:dyDescent="0.35">
      <c r="D39" s="6">
        <v>25</v>
      </c>
      <c r="E39" s="6" t="s">
        <v>244</v>
      </c>
      <c r="F39" s="6">
        <v>4</v>
      </c>
      <c r="G39" s="6">
        <v>17</v>
      </c>
      <c r="H39" s="6">
        <v>0</v>
      </c>
      <c r="I39" s="6">
        <v>18</v>
      </c>
      <c r="J39" s="6">
        <f t="shared" si="4"/>
        <v>18</v>
      </c>
      <c r="K39" s="6">
        <v>4</v>
      </c>
      <c r="L39" s="3">
        <f t="shared" si="1"/>
        <v>43</v>
      </c>
      <c r="M39" s="6">
        <f t="shared" si="2"/>
        <v>1</v>
      </c>
      <c r="N39" s="6" t="str">
        <f t="shared" si="3"/>
        <v>PASS</v>
      </c>
    </row>
    <row r="40" spans="4:14" x14ac:dyDescent="0.35">
      <c r="D40" s="6">
        <v>26</v>
      </c>
      <c r="E40" s="6" t="s">
        <v>249</v>
      </c>
      <c r="F40" s="6">
        <v>16</v>
      </c>
      <c r="G40" s="6">
        <v>19</v>
      </c>
      <c r="H40" s="6">
        <v>5</v>
      </c>
      <c r="I40" s="6">
        <v>8</v>
      </c>
      <c r="J40" s="6">
        <f t="shared" si="4"/>
        <v>13</v>
      </c>
      <c r="K40" s="6">
        <v>11</v>
      </c>
      <c r="L40" s="3">
        <f t="shared" si="1"/>
        <v>59</v>
      </c>
      <c r="M40" s="6">
        <f t="shared" si="2"/>
        <v>2</v>
      </c>
      <c r="N40" s="6" t="str">
        <f t="shared" si="3"/>
        <v>PASS</v>
      </c>
    </row>
    <row r="41" spans="4:14" x14ac:dyDescent="0.35">
      <c r="D41" s="6">
        <v>27</v>
      </c>
      <c r="E41" s="6" t="s">
        <v>254</v>
      </c>
      <c r="F41" s="6">
        <v>16</v>
      </c>
      <c r="G41" s="6">
        <v>1</v>
      </c>
      <c r="H41" s="6">
        <v>3</v>
      </c>
      <c r="I41" s="6">
        <v>15</v>
      </c>
      <c r="J41" s="6">
        <f t="shared" si="4"/>
        <v>18</v>
      </c>
      <c r="K41" s="6">
        <v>2</v>
      </c>
      <c r="L41" s="3">
        <f t="shared" si="1"/>
        <v>37</v>
      </c>
      <c r="M41" s="6">
        <f t="shared" si="2"/>
        <v>1</v>
      </c>
      <c r="N41" s="6" t="str">
        <f t="shared" si="3"/>
        <v>PASS</v>
      </c>
    </row>
    <row r="42" spans="4:14" x14ac:dyDescent="0.35">
      <c r="D42" s="6">
        <v>28</v>
      </c>
      <c r="E42" s="6" t="s">
        <v>570</v>
      </c>
      <c r="F42" s="6">
        <v>11</v>
      </c>
      <c r="G42" s="6">
        <v>0</v>
      </c>
      <c r="H42" s="6">
        <v>9</v>
      </c>
      <c r="I42" s="6">
        <v>15</v>
      </c>
      <c r="J42" s="6">
        <f t="shared" si="4"/>
        <v>24</v>
      </c>
      <c r="K42" s="6">
        <v>11</v>
      </c>
      <c r="L42" s="3">
        <f t="shared" si="1"/>
        <v>46</v>
      </c>
      <c r="M42" s="6">
        <f t="shared" si="2"/>
        <v>1</v>
      </c>
      <c r="N42" s="6" t="str">
        <f t="shared" si="3"/>
        <v>PASS</v>
      </c>
    </row>
    <row r="43" spans="4:14" x14ac:dyDescent="0.35">
      <c r="D43" s="6">
        <v>29</v>
      </c>
      <c r="E43" s="6" t="s">
        <v>263</v>
      </c>
      <c r="F43" s="6">
        <v>12</v>
      </c>
      <c r="G43" s="6">
        <v>0</v>
      </c>
      <c r="H43" s="6">
        <v>2</v>
      </c>
      <c r="I43" s="6">
        <v>16</v>
      </c>
      <c r="J43" s="6">
        <f t="shared" si="4"/>
        <v>18</v>
      </c>
      <c r="K43" s="6">
        <v>20</v>
      </c>
      <c r="L43" s="3">
        <f t="shared" si="1"/>
        <v>50</v>
      </c>
      <c r="M43" s="6">
        <f t="shared" si="2"/>
        <v>1</v>
      </c>
      <c r="N43" s="6" t="str">
        <f t="shared" si="3"/>
        <v>PASS</v>
      </c>
    </row>
    <row r="44" spans="4:14" x14ac:dyDescent="0.35">
      <c r="D44" s="6">
        <v>30</v>
      </c>
      <c r="E44" s="6" t="s">
        <v>571</v>
      </c>
      <c r="F44" s="6">
        <v>11</v>
      </c>
      <c r="G44" s="6">
        <v>17</v>
      </c>
      <c r="H44" s="6">
        <v>3</v>
      </c>
      <c r="I44" s="6">
        <v>4</v>
      </c>
      <c r="J44" s="6">
        <f t="shared" si="4"/>
        <v>7</v>
      </c>
      <c r="K44" s="6">
        <v>3</v>
      </c>
      <c r="L44" s="3">
        <f t="shared" si="1"/>
        <v>38</v>
      </c>
      <c r="M44" s="6">
        <f t="shared" si="2"/>
        <v>1</v>
      </c>
      <c r="N44" s="6" t="str">
        <f t="shared" si="3"/>
        <v>PASS</v>
      </c>
    </row>
    <row r="45" spans="4:14" x14ac:dyDescent="0.35">
      <c r="D45" s="6">
        <v>31</v>
      </c>
      <c r="E45" s="6" t="s">
        <v>269</v>
      </c>
      <c r="F45" s="6">
        <v>12</v>
      </c>
      <c r="G45" s="6">
        <v>6</v>
      </c>
      <c r="H45" s="6">
        <v>10</v>
      </c>
      <c r="I45" s="6">
        <v>12</v>
      </c>
      <c r="J45" s="6">
        <f t="shared" si="4"/>
        <v>22</v>
      </c>
      <c r="K45" s="6">
        <v>13</v>
      </c>
      <c r="L45" s="3">
        <f t="shared" si="1"/>
        <v>53</v>
      </c>
      <c r="M45" s="6">
        <f t="shared" si="2"/>
        <v>2</v>
      </c>
      <c r="N45" s="6" t="str">
        <f t="shared" si="3"/>
        <v>PASS</v>
      </c>
    </row>
    <row r="46" spans="4:14" x14ac:dyDescent="0.35">
      <c r="D46" s="6">
        <v>32</v>
      </c>
      <c r="E46" s="6" t="s">
        <v>572</v>
      </c>
      <c r="F46" s="6">
        <v>1</v>
      </c>
      <c r="G46" s="6">
        <v>1</v>
      </c>
      <c r="H46" s="6">
        <v>0</v>
      </c>
      <c r="I46" s="6">
        <v>12</v>
      </c>
      <c r="J46" s="6">
        <f t="shared" si="4"/>
        <v>12</v>
      </c>
      <c r="K46" s="6">
        <v>8</v>
      </c>
      <c r="L46" s="3">
        <f t="shared" si="1"/>
        <v>22</v>
      </c>
      <c r="M46" s="6">
        <f t="shared" si="2"/>
        <v>0</v>
      </c>
      <c r="N46" s="6" t="str">
        <f t="shared" si="3"/>
        <v>FAIL</v>
      </c>
    </row>
    <row r="47" spans="4:14" x14ac:dyDescent="0.35">
      <c r="D47" s="6">
        <v>33</v>
      </c>
      <c r="E47" s="6" t="s">
        <v>573</v>
      </c>
      <c r="F47" s="6">
        <v>19</v>
      </c>
      <c r="G47" s="6">
        <v>6</v>
      </c>
      <c r="H47" s="6">
        <v>2</v>
      </c>
      <c r="I47" s="6">
        <v>14</v>
      </c>
      <c r="J47" s="6">
        <f t="shared" si="4"/>
        <v>16</v>
      </c>
      <c r="K47" s="6">
        <v>30</v>
      </c>
      <c r="L47" s="3">
        <f t="shared" si="1"/>
        <v>71</v>
      </c>
      <c r="M47" s="6">
        <f t="shared" si="2"/>
        <v>2</v>
      </c>
      <c r="N47" s="6" t="str">
        <f t="shared" si="3"/>
        <v>PASS</v>
      </c>
    </row>
    <row r="48" spans="4:14" x14ac:dyDescent="0.35">
      <c r="D48" s="6">
        <v>34</v>
      </c>
      <c r="E48" s="6" t="s">
        <v>278</v>
      </c>
      <c r="F48" s="6">
        <v>15</v>
      </c>
      <c r="G48" s="6">
        <v>1</v>
      </c>
      <c r="H48" s="6">
        <v>3</v>
      </c>
      <c r="I48" s="6">
        <v>14</v>
      </c>
      <c r="J48" s="6">
        <f t="shared" si="4"/>
        <v>17</v>
      </c>
      <c r="K48" s="6">
        <v>6</v>
      </c>
      <c r="L48" s="3">
        <f t="shared" si="1"/>
        <v>39</v>
      </c>
      <c r="M48" s="6">
        <f t="shared" si="2"/>
        <v>1</v>
      </c>
      <c r="N48" s="6" t="str">
        <f t="shared" si="3"/>
        <v>PASS</v>
      </c>
    </row>
    <row r="49" spans="4:14" x14ac:dyDescent="0.35">
      <c r="D49" s="6">
        <v>35</v>
      </c>
      <c r="E49" s="6" t="s">
        <v>283</v>
      </c>
      <c r="F49" s="6">
        <v>10</v>
      </c>
      <c r="G49" s="6">
        <v>16</v>
      </c>
      <c r="H49" s="6">
        <v>7</v>
      </c>
      <c r="I49" s="6">
        <v>11</v>
      </c>
      <c r="J49" s="6">
        <f t="shared" si="4"/>
        <v>18</v>
      </c>
      <c r="K49" s="6">
        <v>18</v>
      </c>
      <c r="L49" s="3">
        <f t="shared" si="1"/>
        <v>62</v>
      </c>
      <c r="M49" s="6">
        <f t="shared" si="2"/>
        <v>2</v>
      </c>
      <c r="N49" s="6" t="str">
        <f t="shared" si="3"/>
        <v>PASS</v>
      </c>
    </row>
    <row r="50" spans="4:14" x14ac:dyDescent="0.35">
      <c r="D50" s="6">
        <v>36</v>
      </c>
      <c r="E50" s="6" t="s">
        <v>574</v>
      </c>
      <c r="F50" s="6">
        <v>17</v>
      </c>
      <c r="G50" s="6">
        <v>5</v>
      </c>
      <c r="H50" s="6">
        <v>6</v>
      </c>
      <c r="I50" s="6">
        <v>18</v>
      </c>
      <c r="J50" s="6">
        <f t="shared" si="4"/>
        <v>24</v>
      </c>
      <c r="K50" s="6">
        <v>4</v>
      </c>
      <c r="L50" s="3">
        <f t="shared" si="1"/>
        <v>50</v>
      </c>
      <c r="M50" s="6">
        <f t="shared" si="2"/>
        <v>1</v>
      </c>
      <c r="N50" s="6" t="str">
        <f t="shared" si="3"/>
        <v>PASS</v>
      </c>
    </row>
    <row r="51" spans="4:14" x14ac:dyDescent="0.35">
      <c r="D51" s="6">
        <v>37</v>
      </c>
      <c r="E51" s="6" t="s">
        <v>288</v>
      </c>
      <c r="F51" s="6">
        <v>16</v>
      </c>
      <c r="G51" s="6">
        <v>14</v>
      </c>
      <c r="H51" s="6">
        <v>4</v>
      </c>
      <c r="I51" s="6">
        <v>6</v>
      </c>
      <c r="J51" s="6">
        <f t="shared" si="4"/>
        <v>10</v>
      </c>
      <c r="K51" s="6">
        <v>26</v>
      </c>
      <c r="L51" s="3">
        <f t="shared" si="1"/>
        <v>66</v>
      </c>
      <c r="M51" s="6">
        <f t="shared" si="2"/>
        <v>2</v>
      </c>
      <c r="N51" s="6" t="str">
        <f t="shared" si="3"/>
        <v>PASS</v>
      </c>
    </row>
    <row r="52" spans="4:14" x14ac:dyDescent="0.35">
      <c r="D52" s="6">
        <v>38</v>
      </c>
      <c r="E52" s="6" t="s">
        <v>293</v>
      </c>
      <c r="F52" s="6">
        <v>6</v>
      </c>
      <c r="G52" s="6">
        <v>10</v>
      </c>
      <c r="H52" s="6">
        <v>4</v>
      </c>
      <c r="I52" s="6">
        <v>0</v>
      </c>
      <c r="J52" s="6">
        <f t="shared" si="4"/>
        <v>4</v>
      </c>
      <c r="K52" s="6">
        <v>9</v>
      </c>
      <c r="L52" s="3">
        <f t="shared" si="1"/>
        <v>29</v>
      </c>
      <c r="M52" s="6">
        <f t="shared" si="2"/>
        <v>0</v>
      </c>
      <c r="N52" s="6" t="str">
        <f t="shared" si="3"/>
        <v>FAIL</v>
      </c>
    </row>
    <row r="53" spans="4:14" x14ac:dyDescent="0.35">
      <c r="D53" s="6">
        <v>39</v>
      </c>
      <c r="E53" s="6" t="s">
        <v>575</v>
      </c>
      <c r="F53" s="6">
        <v>12</v>
      </c>
      <c r="G53" s="6">
        <v>5</v>
      </c>
      <c r="H53" s="6">
        <v>8</v>
      </c>
      <c r="I53" s="6">
        <v>4</v>
      </c>
      <c r="J53" s="6">
        <f t="shared" si="4"/>
        <v>12</v>
      </c>
      <c r="K53" s="6">
        <v>15</v>
      </c>
      <c r="L53" s="3">
        <f t="shared" si="1"/>
        <v>44</v>
      </c>
      <c r="M53" s="6">
        <f t="shared" si="2"/>
        <v>1</v>
      </c>
      <c r="N53" s="6" t="str">
        <f t="shared" si="3"/>
        <v>PASS</v>
      </c>
    </row>
    <row r="54" spans="4:14" x14ac:dyDescent="0.35">
      <c r="D54" s="6">
        <v>40</v>
      </c>
      <c r="E54" s="6" t="s">
        <v>298</v>
      </c>
      <c r="F54" s="6">
        <v>1</v>
      </c>
      <c r="G54" s="6">
        <v>5</v>
      </c>
      <c r="H54" s="6">
        <v>9</v>
      </c>
      <c r="I54" s="6">
        <v>6</v>
      </c>
      <c r="J54" s="6">
        <f t="shared" si="4"/>
        <v>15</v>
      </c>
      <c r="K54" s="6">
        <v>1</v>
      </c>
      <c r="L54" s="3">
        <f t="shared" si="1"/>
        <v>22</v>
      </c>
      <c r="M54" s="6">
        <f t="shared" si="2"/>
        <v>0</v>
      </c>
      <c r="N54" s="6" t="str">
        <f t="shared" si="3"/>
        <v>FAIL</v>
      </c>
    </row>
    <row r="55" spans="4:14" x14ac:dyDescent="0.35">
      <c r="D55" s="6">
        <v>41</v>
      </c>
      <c r="E55" s="6" t="s">
        <v>576</v>
      </c>
      <c r="F55" s="6">
        <v>11</v>
      </c>
      <c r="G55" s="6">
        <v>1</v>
      </c>
      <c r="H55" s="6">
        <v>1</v>
      </c>
      <c r="I55" s="6">
        <v>6</v>
      </c>
      <c r="J55" s="6">
        <f t="shared" si="4"/>
        <v>7</v>
      </c>
      <c r="K55" s="6">
        <v>15</v>
      </c>
      <c r="L55" s="3">
        <f t="shared" si="1"/>
        <v>34</v>
      </c>
      <c r="M55" s="6">
        <f t="shared" si="2"/>
        <v>0</v>
      </c>
      <c r="N55" s="6" t="str">
        <f t="shared" si="3"/>
        <v>FAIL</v>
      </c>
    </row>
    <row r="56" spans="4:14" x14ac:dyDescent="0.35">
      <c r="D56" s="6">
        <v>42</v>
      </c>
      <c r="E56" s="6" t="s">
        <v>577</v>
      </c>
      <c r="F56" s="6">
        <v>9</v>
      </c>
      <c r="G56" s="6">
        <v>19</v>
      </c>
      <c r="H56" s="6">
        <v>3</v>
      </c>
      <c r="I56" s="6">
        <v>5</v>
      </c>
      <c r="J56" s="6">
        <f t="shared" si="4"/>
        <v>8</v>
      </c>
      <c r="K56" s="6">
        <v>23</v>
      </c>
      <c r="L56" s="3">
        <f t="shared" si="1"/>
        <v>59</v>
      </c>
      <c r="M56" s="6">
        <f t="shared" si="2"/>
        <v>2</v>
      </c>
      <c r="N56" s="6" t="str">
        <f t="shared" si="3"/>
        <v>PASS</v>
      </c>
    </row>
    <row r="57" spans="4:14" x14ac:dyDescent="0.35">
      <c r="D57" s="6">
        <v>43</v>
      </c>
      <c r="E57" s="6" t="s">
        <v>307</v>
      </c>
      <c r="F57" s="6">
        <v>14</v>
      </c>
      <c r="G57" s="6">
        <v>7</v>
      </c>
      <c r="H57" s="6">
        <v>9</v>
      </c>
      <c r="I57" s="6">
        <v>1</v>
      </c>
      <c r="J57" s="6">
        <f t="shared" si="4"/>
        <v>10</v>
      </c>
      <c r="K57" s="6">
        <v>1</v>
      </c>
      <c r="L57" s="3">
        <f t="shared" si="1"/>
        <v>32</v>
      </c>
      <c r="M57" s="6">
        <f t="shared" si="2"/>
        <v>0</v>
      </c>
      <c r="N57" s="6" t="str">
        <f t="shared" si="3"/>
        <v>FAIL</v>
      </c>
    </row>
    <row r="58" spans="4:14" x14ac:dyDescent="0.35">
      <c r="D58" s="6">
        <v>44</v>
      </c>
      <c r="E58" s="6" t="s">
        <v>312</v>
      </c>
      <c r="F58" s="6">
        <v>18</v>
      </c>
      <c r="G58" s="6">
        <v>8</v>
      </c>
      <c r="H58" s="6">
        <v>3</v>
      </c>
      <c r="I58" s="6">
        <v>6</v>
      </c>
      <c r="J58" s="6">
        <f t="shared" si="4"/>
        <v>9</v>
      </c>
      <c r="K58" s="6">
        <v>24</v>
      </c>
      <c r="L58" s="3">
        <f t="shared" si="1"/>
        <v>59</v>
      </c>
      <c r="M58" s="6">
        <f t="shared" si="2"/>
        <v>2</v>
      </c>
      <c r="N58" s="6" t="str">
        <f t="shared" si="3"/>
        <v>PASS</v>
      </c>
    </row>
    <row r="59" spans="4:14" x14ac:dyDescent="0.35">
      <c r="D59" s="6">
        <v>45</v>
      </c>
      <c r="E59" s="6" t="s">
        <v>578</v>
      </c>
      <c r="F59" s="6">
        <v>7</v>
      </c>
      <c r="G59" s="6">
        <v>3</v>
      </c>
      <c r="H59" s="6">
        <v>5</v>
      </c>
      <c r="I59" s="6">
        <v>9</v>
      </c>
      <c r="J59" s="6">
        <f t="shared" si="4"/>
        <v>14</v>
      </c>
      <c r="K59" s="6">
        <v>27</v>
      </c>
      <c r="L59" s="3">
        <f t="shared" si="1"/>
        <v>51</v>
      </c>
      <c r="M59" s="6">
        <f t="shared" si="2"/>
        <v>2</v>
      </c>
      <c r="N59" s="6" t="str">
        <f t="shared" si="3"/>
        <v>PASS</v>
      </c>
    </row>
    <row r="60" spans="4:14" x14ac:dyDescent="0.35">
      <c r="D60" s="6">
        <v>46</v>
      </c>
      <c r="E60" s="6" t="s">
        <v>314</v>
      </c>
      <c r="F60" s="6">
        <v>3</v>
      </c>
      <c r="G60" s="6">
        <v>17</v>
      </c>
      <c r="H60" s="6">
        <v>1</v>
      </c>
      <c r="I60" s="6">
        <v>13</v>
      </c>
      <c r="J60" s="6">
        <f t="shared" si="4"/>
        <v>14</v>
      </c>
      <c r="K60" s="6">
        <v>0</v>
      </c>
      <c r="L60" s="3">
        <f t="shared" si="1"/>
        <v>34</v>
      </c>
      <c r="M60" s="6">
        <f t="shared" si="2"/>
        <v>0</v>
      </c>
      <c r="N60" s="6" t="str">
        <f t="shared" si="3"/>
        <v>FAIL</v>
      </c>
    </row>
    <row r="61" spans="4:14" x14ac:dyDescent="0.35">
      <c r="D61" s="6">
        <v>47</v>
      </c>
      <c r="E61" s="6" t="s">
        <v>579</v>
      </c>
      <c r="F61" s="6">
        <v>4</v>
      </c>
      <c r="G61" s="6">
        <v>11</v>
      </c>
      <c r="H61" s="6">
        <v>0</v>
      </c>
      <c r="I61" s="6">
        <v>12</v>
      </c>
      <c r="J61" s="6">
        <f t="shared" si="4"/>
        <v>12</v>
      </c>
      <c r="K61" s="6">
        <v>0</v>
      </c>
      <c r="L61" s="3">
        <f t="shared" si="1"/>
        <v>27</v>
      </c>
      <c r="M61" s="6">
        <f t="shared" si="2"/>
        <v>0</v>
      </c>
      <c r="N61" s="6" t="str">
        <f t="shared" si="3"/>
        <v>FAIL</v>
      </c>
    </row>
    <row r="62" spans="4:14" x14ac:dyDescent="0.35">
      <c r="D62" s="6">
        <v>48</v>
      </c>
      <c r="E62" s="6" t="s">
        <v>323</v>
      </c>
      <c r="F62" s="6">
        <v>3</v>
      </c>
      <c r="G62" s="6">
        <v>18</v>
      </c>
      <c r="H62" s="6">
        <v>1</v>
      </c>
      <c r="I62" s="6">
        <v>17</v>
      </c>
      <c r="J62" s="6">
        <f t="shared" si="4"/>
        <v>18</v>
      </c>
      <c r="K62" s="6">
        <v>19</v>
      </c>
      <c r="L62" s="3">
        <f t="shared" si="1"/>
        <v>58</v>
      </c>
      <c r="M62" s="6">
        <f t="shared" si="2"/>
        <v>2</v>
      </c>
      <c r="N62" s="6" t="str">
        <f t="shared" si="3"/>
        <v>PASS</v>
      </c>
    </row>
    <row r="63" spans="4:14" x14ac:dyDescent="0.35">
      <c r="D63" s="6">
        <v>49</v>
      </c>
      <c r="E63" s="6" t="s">
        <v>580</v>
      </c>
      <c r="F63" s="6">
        <v>10</v>
      </c>
      <c r="G63" s="6">
        <v>16</v>
      </c>
      <c r="H63" s="6">
        <v>6</v>
      </c>
      <c r="I63" s="6">
        <v>12</v>
      </c>
      <c r="J63" s="6">
        <f t="shared" si="4"/>
        <v>18</v>
      </c>
      <c r="K63" s="6">
        <v>3</v>
      </c>
      <c r="L63" s="3">
        <f t="shared" si="1"/>
        <v>47</v>
      </c>
      <c r="M63" s="6">
        <f t="shared" si="2"/>
        <v>1</v>
      </c>
      <c r="N63" s="6" t="str">
        <f t="shared" si="3"/>
        <v>PASS</v>
      </c>
    </row>
    <row r="64" spans="4:14" x14ac:dyDescent="0.35">
      <c r="D64" s="6">
        <v>50</v>
      </c>
      <c r="E64" s="6" t="s">
        <v>581</v>
      </c>
      <c r="F64" s="6">
        <v>7</v>
      </c>
      <c r="G64" s="6">
        <v>1</v>
      </c>
      <c r="H64" s="6">
        <v>6</v>
      </c>
      <c r="I64" s="6">
        <v>7</v>
      </c>
      <c r="J64" s="6">
        <f t="shared" si="4"/>
        <v>13</v>
      </c>
      <c r="K64" s="6">
        <v>23</v>
      </c>
      <c r="L64" s="3">
        <f t="shared" si="1"/>
        <v>44</v>
      </c>
      <c r="M64" s="6">
        <f t="shared" si="2"/>
        <v>1</v>
      </c>
      <c r="N64" s="6" t="str">
        <f t="shared" si="3"/>
        <v>PASS</v>
      </c>
    </row>
    <row r="65" spans="4:14" x14ac:dyDescent="0.35">
      <c r="D65" s="6">
        <v>51</v>
      </c>
      <c r="E65" s="6" t="s">
        <v>332</v>
      </c>
      <c r="F65" s="6">
        <v>8</v>
      </c>
      <c r="G65" s="6">
        <v>17</v>
      </c>
      <c r="H65" s="6">
        <v>3</v>
      </c>
      <c r="I65" s="6">
        <v>14</v>
      </c>
      <c r="J65" s="6">
        <f t="shared" si="4"/>
        <v>17</v>
      </c>
      <c r="K65" s="6">
        <v>11</v>
      </c>
      <c r="L65" s="3">
        <f t="shared" si="1"/>
        <v>53</v>
      </c>
      <c r="M65" s="6">
        <f t="shared" si="2"/>
        <v>2</v>
      </c>
      <c r="N65" s="6" t="str">
        <f t="shared" si="3"/>
        <v>PASS</v>
      </c>
    </row>
    <row r="66" spans="4:14" x14ac:dyDescent="0.35">
      <c r="D66" s="6">
        <v>52</v>
      </c>
      <c r="E66" s="6" t="s">
        <v>582</v>
      </c>
      <c r="F66" s="6">
        <v>11</v>
      </c>
      <c r="G66" s="6">
        <v>10</v>
      </c>
      <c r="H66" s="6">
        <v>8</v>
      </c>
      <c r="I66" s="6">
        <v>17</v>
      </c>
      <c r="J66" s="6">
        <f t="shared" si="4"/>
        <v>25</v>
      </c>
      <c r="K66" s="6">
        <v>16</v>
      </c>
      <c r="L66" s="3">
        <f t="shared" si="1"/>
        <v>62</v>
      </c>
      <c r="M66" s="6">
        <f t="shared" si="2"/>
        <v>2</v>
      </c>
      <c r="N66" s="6" t="str">
        <f t="shared" si="3"/>
        <v>PASS</v>
      </c>
    </row>
    <row r="67" spans="4:14" x14ac:dyDescent="0.35">
      <c r="D67" s="6">
        <v>53</v>
      </c>
      <c r="E67" s="6" t="s">
        <v>341</v>
      </c>
      <c r="F67" s="6">
        <v>17</v>
      </c>
      <c r="G67" s="6">
        <v>2</v>
      </c>
      <c r="H67" s="6">
        <v>9</v>
      </c>
      <c r="I67" s="6">
        <v>1</v>
      </c>
      <c r="J67" s="6">
        <f t="shared" si="4"/>
        <v>10</v>
      </c>
      <c r="K67" s="6">
        <v>11</v>
      </c>
      <c r="L67" s="3">
        <f t="shared" si="1"/>
        <v>40</v>
      </c>
      <c r="M67" s="6">
        <f t="shared" si="2"/>
        <v>1</v>
      </c>
      <c r="N67" s="6" t="str">
        <f t="shared" si="3"/>
        <v>PASS</v>
      </c>
    </row>
    <row r="68" spans="4:14" x14ac:dyDescent="0.35">
      <c r="D68" s="6">
        <v>54</v>
      </c>
      <c r="E68" s="6" t="s">
        <v>346</v>
      </c>
      <c r="F68" s="6">
        <v>4</v>
      </c>
      <c r="G68" s="6">
        <v>16</v>
      </c>
      <c r="H68" s="6">
        <v>7</v>
      </c>
      <c r="I68" s="6">
        <v>8</v>
      </c>
      <c r="J68" s="6">
        <f t="shared" si="4"/>
        <v>15</v>
      </c>
      <c r="K68" s="6">
        <v>9</v>
      </c>
      <c r="L68" s="3">
        <f t="shared" si="1"/>
        <v>44</v>
      </c>
      <c r="M68" s="6">
        <f t="shared" si="2"/>
        <v>1</v>
      </c>
      <c r="N68" s="6" t="str">
        <f t="shared" si="3"/>
        <v>PASS</v>
      </c>
    </row>
    <row r="69" spans="4:14" x14ac:dyDescent="0.35">
      <c r="D69" s="6">
        <v>55</v>
      </c>
      <c r="E69" s="6" t="s">
        <v>583</v>
      </c>
      <c r="F69" s="6">
        <v>13</v>
      </c>
      <c r="G69" s="6">
        <v>20</v>
      </c>
      <c r="H69" s="6">
        <v>7</v>
      </c>
      <c r="I69" s="6">
        <v>17</v>
      </c>
      <c r="J69" s="6">
        <f t="shared" si="4"/>
        <v>24</v>
      </c>
      <c r="K69" s="6">
        <v>22</v>
      </c>
      <c r="L69" s="3">
        <f t="shared" si="1"/>
        <v>79</v>
      </c>
      <c r="M69" s="6">
        <f t="shared" si="2"/>
        <v>3</v>
      </c>
      <c r="N69" s="6" t="str">
        <f t="shared" si="3"/>
        <v>PASS</v>
      </c>
    </row>
    <row r="70" spans="4:14" x14ac:dyDescent="0.35">
      <c r="D70" s="6">
        <v>56</v>
      </c>
      <c r="E70" s="6" t="s">
        <v>355</v>
      </c>
      <c r="F70" s="6">
        <v>9</v>
      </c>
      <c r="G70" s="6">
        <v>19</v>
      </c>
      <c r="H70" s="6">
        <v>3</v>
      </c>
      <c r="I70" s="6">
        <v>17</v>
      </c>
      <c r="J70" s="6">
        <f t="shared" si="4"/>
        <v>20</v>
      </c>
      <c r="K70" s="6">
        <v>20</v>
      </c>
      <c r="L70" s="3">
        <f t="shared" si="1"/>
        <v>68</v>
      </c>
      <c r="M70" s="6">
        <f t="shared" si="2"/>
        <v>2</v>
      </c>
      <c r="N70" s="6" t="str">
        <f t="shared" si="3"/>
        <v>PASS</v>
      </c>
    </row>
    <row r="71" spans="4:14" x14ac:dyDescent="0.35">
      <c r="D71" s="6">
        <v>57</v>
      </c>
      <c r="E71" s="6" t="s">
        <v>584</v>
      </c>
      <c r="F71" s="6">
        <v>12</v>
      </c>
      <c r="G71" s="6">
        <v>12</v>
      </c>
      <c r="H71" s="6">
        <v>1</v>
      </c>
      <c r="I71" s="6">
        <v>14</v>
      </c>
      <c r="J71" s="6">
        <f t="shared" si="4"/>
        <v>15</v>
      </c>
      <c r="K71" s="6">
        <v>18</v>
      </c>
      <c r="L71" s="3">
        <f t="shared" si="1"/>
        <v>57</v>
      </c>
      <c r="M71" s="6">
        <f t="shared" si="2"/>
        <v>2</v>
      </c>
      <c r="N71" s="6" t="str">
        <f t="shared" si="3"/>
        <v>PASS</v>
      </c>
    </row>
    <row r="72" spans="4:14" x14ac:dyDescent="0.35">
      <c r="D72" s="6">
        <v>58</v>
      </c>
      <c r="E72" s="6" t="s">
        <v>364</v>
      </c>
      <c r="F72" s="6">
        <v>19</v>
      </c>
      <c r="G72" s="6">
        <v>0</v>
      </c>
      <c r="H72" s="6">
        <v>3</v>
      </c>
      <c r="I72" s="6">
        <v>13</v>
      </c>
      <c r="J72" s="6">
        <f t="shared" si="4"/>
        <v>16</v>
      </c>
      <c r="K72" s="6">
        <v>30</v>
      </c>
      <c r="L72" s="3">
        <f t="shared" si="1"/>
        <v>65</v>
      </c>
      <c r="M72" s="6">
        <f t="shared" si="2"/>
        <v>2</v>
      </c>
      <c r="N72" s="6" t="str">
        <f t="shared" si="3"/>
        <v>PASS</v>
      </c>
    </row>
    <row r="73" spans="4:14" x14ac:dyDescent="0.35">
      <c r="D73" s="6">
        <v>59</v>
      </c>
      <c r="E73" s="6" t="s">
        <v>369</v>
      </c>
      <c r="F73" s="6">
        <v>9</v>
      </c>
      <c r="G73" s="6">
        <v>14</v>
      </c>
      <c r="H73" s="6">
        <v>5</v>
      </c>
      <c r="I73" s="6">
        <v>11</v>
      </c>
      <c r="J73" s="6">
        <f t="shared" si="4"/>
        <v>16</v>
      </c>
      <c r="K73" s="6">
        <v>16</v>
      </c>
      <c r="L73" s="3">
        <f t="shared" si="1"/>
        <v>55</v>
      </c>
      <c r="M73" s="6">
        <f t="shared" si="2"/>
        <v>2</v>
      </c>
      <c r="N73" s="6" t="str">
        <f t="shared" si="3"/>
        <v>PASS</v>
      </c>
    </row>
    <row r="74" spans="4:14" x14ac:dyDescent="0.35">
      <c r="D74" s="6">
        <v>60</v>
      </c>
      <c r="E74" s="6" t="s">
        <v>585</v>
      </c>
      <c r="F74" s="6">
        <v>13</v>
      </c>
      <c r="G74" s="6">
        <v>9</v>
      </c>
      <c r="H74" s="6">
        <v>3</v>
      </c>
      <c r="I74" s="6">
        <v>15</v>
      </c>
      <c r="J74" s="6">
        <f t="shared" si="4"/>
        <v>18</v>
      </c>
      <c r="K74" s="6">
        <v>10</v>
      </c>
      <c r="L74" s="3">
        <f t="shared" si="1"/>
        <v>50</v>
      </c>
      <c r="M74" s="6">
        <f t="shared" si="2"/>
        <v>1</v>
      </c>
      <c r="N74" s="6" t="str">
        <f t="shared" si="3"/>
        <v>PASS</v>
      </c>
    </row>
    <row r="75" spans="4:14" x14ac:dyDescent="0.35">
      <c r="D75" s="6">
        <v>61</v>
      </c>
      <c r="E75" s="6" t="s">
        <v>378</v>
      </c>
      <c r="F75" s="6">
        <v>10</v>
      </c>
      <c r="G75" s="6">
        <v>9</v>
      </c>
      <c r="H75" s="6">
        <v>0</v>
      </c>
      <c r="I75" s="6">
        <v>5</v>
      </c>
      <c r="J75" s="6">
        <f t="shared" si="4"/>
        <v>5</v>
      </c>
      <c r="K75" s="6">
        <v>20</v>
      </c>
      <c r="L75" s="3">
        <f t="shared" si="1"/>
        <v>44</v>
      </c>
      <c r="M75" s="6">
        <f t="shared" si="2"/>
        <v>1</v>
      </c>
      <c r="N75" s="6" t="str">
        <f t="shared" si="3"/>
        <v>PASS</v>
      </c>
    </row>
    <row r="76" spans="4:14" x14ac:dyDescent="0.35">
      <c r="D76" s="6">
        <v>62</v>
      </c>
      <c r="E76" s="6" t="s">
        <v>383</v>
      </c>
      <c r="F76" s="6">
        <v>2</v>
      </c>
      <c r="G76" s="6">
        <v>7</v>
      </c>
      <c r="H76" s="6">
        <v>2</v>
      </c>
      <c r="I76" s="6">
        <v>2</v>
      </c>
      <c r="J76" s="6">
        <f t="shared" si="4"/>
        <v>4</v>
      </c>
      <c r="K76" s="6">
        <v>5</v>
      </c>
      <c r="L76" s="3">
        <f t="shared" si="1"/>
        <v>18</v>
      </c>
      <c r="M76" s="6">
        <f t="shared" si="2"/>
        <v>0</v>
      </c>
      <c r="N76" s="6" t="str">
        <f t="shared" si="3"/>
        <v>FAIL</v>
      </c>
    </row>
    <row r="77" spans="4:14" x14ac:dyDescent="0.35">
      <c r="D77" s="6">
        <v>63</v>
      </c>
      <c r="E77" s="6" t="s">
        <v>388</v>
      </c>
      <c r="F77" s="6">
        <v>4</v>
      </c>
      <c r="G77" s="6">
        <v>10</v>
      </c>
      <c r="H77" s="6">
        <v>3</v>
      </c>
      <c r="I77" s="6">
        <v>3</v>
      </c>
      <c r="J77" s="6">
        <f t="shared" si="4"/>
        <v>6</v>
      </c>
      <c r="K77" s="6">
        <v>2</v>
      </c>
      <c r="L77" s="3">
        <f t="shared" si="1"/>
        <v>22</v>
      </c>
      <c r="M77" s="6">
        <f t="shared" si="2"/>
        <v>0</v>
      </c>
      <c r="N77" s="6" t="str">
        <f t="shared" si="3"/>
        <v>FAIL</v>
      </c>
    </row>
    <row r="78" spans="4:14" x14ac:dyDescent="0.35">
      <c r="D78" s="6">
        <v>64</v>
      </c>
      <c r="E78" s="6" t="s">
        <v>586</v>
      </c>
      <c r="F78" s="6">
        <v>3</v>
      </c>
      <c r="G78" s="6">
        <v>1</v>
      </c>
      <c r="H78" s="6">
        <v>2</v>
      </c>
      <c r="I78" s="6">
        <v>15</v>
      </c>
      <c r="J78" s="6">
        <f t="shared" si="4"/>
        <v>17</v>
      </c>
      <c r="K78" s="6">
        <v>1</v>
      </c>
      <c r="L78" s="3">
        <f t="shared" si="1"/>
        <v>22</v>
      </c>
      <c r="M78" s="6">
        <f t="shared" si="2"/>
        <v>0</v>
      </c>
      <c r="N78" s="6" t="s">
        <v>91</v>
      </c>
    </row>
    <row r="79" spans="4:14" x14ac:dyDescent="0.35">
      <c r="D79" s="6">
        <v>65</v>
      </c>
      <c r="E79" s="6" t="s">
        <v>587</v>
      </c>
      <c r="F79" s="6">
        <v>6</v>
      </c>
      <c r="G79" s="6">
        <v>2</v>
      </c>
      <c r="H79" s="6">
        <v>7</v>
      </c>
      <c r="I79" s="6">
        <v>12</v>
      </c>
      <c r="J79" s="6">
        <f t="shared" si="4"/>
        <v>19</v>
      </c>
      <c r="K79" s="6">
        <v>21</v>
      </c>
      <c r="L79" s="3">
        <f t="shared" si="1"/>
        <v>48</v>
      </c>
      <c r="M79" s="6">
        <f t="shared" si="2"/>
        <v>1</v>
      </c>
      <c r="N79" s="6" t="str">
        <f t="shared" si="3"/>
        <v>PASS</v>
      </c>
    </row>
    <row r="80" spans="4:14" x14ac:dyDescent="0.35">
      <c r="D80" s="6">
        <v>66</v>
      </c>
      <c r="E80" s="6" t="s">
        <v>588</v>
      </c>
      <c r="F80" s="6">
        <v>13</v>
      </c>
      <c r="G80" s="6">
        <v>20</v>
      </c>
      <c r="H80" s="6">
        <v>7</v>
      </c>
      <c r="I80" s="6">
        <v>3</v>
      </c>
      <c r="J80" s="6">
        <f t="shared" si="4"/>
        <v>10</v>
      </c>
      <c r="K80" s="6">
        <v>10</v>
      </c>
      <c r="L80" s="3">
        <f t="shared" ref="L80:L114" si="5">F80+G80+J80+K80</f>
        <v>53</v>
      </c>
      <c r="M80" s="6">
        <f t="shared" ref="M80:M114" si="6">IF(L80&gt;75,3,IF(L80&gt;50,2,IF(L80&gt;35,1,0)))</f>
        <v>2</v>
      </c>
      <c r="N80" s="6" t="str">
        <f t="shared" ref="N80:N114" si="7">IF(L80&lt;35,"FAIL","PASS")</f>
        <v>PASS</v>
      </c>
    </row>
    <row r="81" spans="4:14" x14ac:dyDescent="0.35">
      <c r="D81" s="6">
        <v>67</v>
      </c>
      <c r="E81" s="6" t="s">
        <v>589</v>
      </c>
      <c r="F81" s="6">
        <v>13</v>
      </c>
      <c r="G81" s="6">
        <v>16</v>
      </c>
      <c r="H81" s="6">
        <v>1</v>
      </c>
      <c r="I81" s="6">
        <v>0</v>
      </c>
      <c r="J81" s="6">
        <f t="shared" si="4"/>
        <v>1</v>
      </c>
      <c r="K81" s="6">
        <v>14</v>
      </c>
      <c r="L81" s="3">
        <f t="shared" si="5"/>
        <v>44</v>
      </c>
      <c r="M81" s="6">
        <f t="shared" si="6"/>
        <v>1</v>
      </c>
      <c r="N81" s="6" t="str">
        <f t="shared" si="7"/>
        <v>PASS</v>
      </c>
    </row>
    <row r="82" spans="4:14" x14ac:dyDescent="0.35">
      <c r="D82" s="6">
        <v>68</v>
      </c>
      <c r="E82" s="6" t="s">
        <v>590</v>
      </c>
      <c r="F82" s="6">
        <v>6</v>
      </c>
      <c r="G82" s="6">
        <v>12</v>
      </c>
      <c r="H82" s="6">
        <v>1</v>
      </c>
      <c r="I82" s="6">
        <v>8</v>
      </c>
      <c r="J82" s="6">
        <f t="shared" si="4"/>
        <v>9</v>
      </c>
      <c r="K82" s="6">
        <v>19</v>
      </c>
      <c r="L82" s="3">
        <f t="shared" si="5"/>
        <v>46</v>
      </c>
      <c r="M82" s="6">
        <f t="shared" si="6"/>
        <v>1</v>
      </c>
      <c r="N82" s="6" t="str">
        <f t="shared" si="7"/>
        <v>PASS</v>
      </c>
    </row>
    <row r="83" spans="4:14" x14ac:dyDescent="0.35">
      <c r="D83" s="6">
        <v>69</v>
      </c>
      <c r="E83" s="6" t="s">
        <v>591</v>
      </c>
      <c r="F83" s="6">
        <v>1</v>
      </c>
      <c r="G83" s="6">
        <v>16</v>
      </c>
      <c r="H83" s="6">
        <v>2</v>
      </c>
      <c r="I83" s="6">
        <v>4</v>
      </c>
      <c r="J83" s="6">
        <f t="shared" si="4"/>
        <v>6</v>
      </c>
      <c r="K83" s="6">
        <v>22</v>
      </c>
      <c r="L83" s="3">
        <f t="shared" si="5"/>
        <v>45</v>
      </c>
      <c r="M83" s="6">
        <f t="shared" si="6"/>
        <v>1</v>
      </c>
      <c r="N83" s="6" t="str">
        <f t="shared" si="7"/>
        <v>PASS</v>
      </c>
    </row>
    <row r="84" spans="4:14" x14ac:dyDescent="0.35">
      <c r="D84" s="6">
        <v>70</v>
      </c>
      <c r="E84" s="6" t="s">
        <v>403</v>
      </c>
      <c r="F84" s="6">
        <v>7</v>
      </c>
      <c r="G84" s="6">
        <v>19</v>
      </c>
      <c r="H84" s="6">
        <v>5</v>
      </c>
      <c r="I84" s="6">
        <v>12</v>
      </c>
      <c r="J84" s="6">
        <f t="shared" si="4"/>
        <v>17</v>
      </c>
      <c r="K84" s="6">
        <v>8</v>
      </c>
      <c r="L84" s="3">
        <f t="shared" si="5"/>
        <v>51</v>
      </c>
      <c r="M84" s="6">
        <f t="shared" si="6"/>
        <v>2</v>
      </c>
      <c r="N84" s="6" t="str">
        <f t="shared" si="7"/>
        <v>PASS</v>
      </c>
    </row>
    <row r="85" spans="4:14" x14ac:dyDescent="0.35">
      <c r="D85" s="6">
        <v>71</v>
      </c>
      <c r="E85" s="6" t="s">
        <v>408</v>
      </c>
      <c r="F85" s="6">
        <v>13</v>
      </c>
      <c r="G85" s="6">
        <v>8</v>
      </c>
      <c r="H85" s="6">
        <v>7</v>
      </c>
      <c r="I85" s="6">
        <v>8</v>
      </c>
      <c r="J85" s="6">
        <f t="shared" si="4"/>
        <v>15</v>
      </c>
      <c r="K85" s="6">
        <v>30</v>
      </c>
      <c r="L85" s="3">
        <f t="shared" si="5"/>
        <v>66</v>
      </c>
      <c r="M85" s="6">
        <f t="shared" si="6"/>
        <v>2</v>
      </c>
      <c r="N85" s="6" t="str">
        <f t="shared" si="7"/>
        <v>PASS</v>
      </c>
    </row>
    <row r="86" spans="4:14" x14ac:dyDescent="0.35">
      <c r="D86" s="6">
        <v>72</v>
      </c>
      <c r="E86" s="6" t="s">
        <v>592</v>
      </c>
      <c r="F86" s="6">
        <v>15</v>
      </c>
      <c r="G86" s="6">
        <v>7</v>
      </c>
      <c r="H86" s="6">
        <v>2</v>
      </c>
      <c r="I86" s="6">
        <v>6</v>
      </c>
      <c r="J86" s="6">
        <f t="shared" si="4"/>
        <v>8</v>
      </c>
      <c r="K86" s="6">
        <v>18</v>
      </c>
      <c r="L86" s="3">
        <f t="shared" si="5"/>
        <v>48</v>
      </c>
      <c r="M86" s="6">
        <f t="shared" si="6"/>
        <v>1</v>
      </c>
      <c r="N86" s="6" t="str">
        <f t="shared" si="7"/>
        <v>PASS</v>
      </c>
    </row>
    <row r="87" spans="4:14" x14ac:dyDescent="0.35">
      <c r="D87" s="6">
        <v>73</v>
      </c>
      <c r="E87" s="6" t="s">
        <v>416</v>
      </c>
      <c r="F87" s="6">
        <v>13</v>
      </c>
      <c r="G87" s="6">
        <v>4</v>
      </c>
      <c r="H87" s="6">
        <v>2</v>
      </c>
      <c r="I87" s="6">
        <v>1</v>
      </c>
      <c r="J87" s="6">
        <f t="shared" si="4"/>
        <v>3</v>
      </c>
      <c r="K87" s="6">
        <v>28</v>
      </c>
      <c r="L87" s="3">
        <f t="shared" si="5"/>
        <v>48</v>
      </c>
      <c r="M87" s="6">
        <f t="shared" si="6"/>
        <v>1</v>
      </c>
      <c r="N87" s="6" t="str">
        <f t="shared" si="7"/>
        <v>PASS</v>
      </c>
    </row>
    <row r="88" spans="4:14" x14ac:dyDescent="0.35">
      <c r="D88" s="6">
        <v>74</v>
      </c>
      <c r="E88" s="6" t="s">
        <v>421</v>
      </c>
      <c r="F88" s="6">
        <v>3</v>
      </c>
      <c r="G88" s="6">
        <v>17</v>
      </c>
      <c r="H88" s="6">
        <v>9</v>
      </c>
      <c r="I88" s="6">
        <v>2</v>
      </c>
      <c r="J88" s="6">
        <f t="shared" si="4"/>
        <v>11</v>
      </c>
      <c r="K88" s="6">
        <v>1</v>
      </c>
      <c r="L88" s="3">
        <f t="shared" si="5"/>
        <v>32</v>
      </c>
      <c r="M88" s="6">
        <f t="shared" si="6"/>
        <v>0</v>
      </c>
      <c r="N88" s="6" t="str">
        <f t="shared" si="7"/>
        <v>FAIL</v>
      </c>
    </row>
    <row r="89" spans="4:14" x14ac:dyDescent="0.35">
      <c r="D89" s="6">
        <v>75</v>
      </c>
      <c r="E89" s="6" t="s">
        <v>426</v>
      </c>
      <c r="F89" s="6">
        <v>18</v>
      </c>
      <c r="G89" s="6">
        <v>17</v>
      </c>
      <c r="H89" s="6">
        <v>10</v>
      </c>
      <c r="I89" s="6">
        <v>16</v>
      </c>
      <c r="J89" s="6">
        <f t="shared" si="4"/>
        <v>26</v>
      </c>
      <c r="K89" s="6">
        <v>29</v>
      </c>
      <c r="L89" s="3">
        <f t="shared" si="5"/>
        <v>90</v>
      </c>
      <c r="M89" s="6">
        <f t="shared" si="6"/>
        <v>3</v>
      </c>
      <c r="N89" s="6" t="str">
        <f t="shared" si="7"/>
        <v>PASS</v>
      </c>
    </row>
    <row r="90" spans="4:14" x14ac:dyDescent="0.35">
      <c r="D90" s="6">
        <v>76</v>
      </c>
      <c r="E90" s="6" t="s">
        <v>431</v>
      </c>
      <c r="F90" s="6">
        <v>10</v>
      </c>
      <c r="G90" s="6">
        <v>8</v>
      </c>
      <c r="H90" s="6">
        <v>1</v>
      </c>
      <c r="I90" s="6">
        <v>10</v>
      </c>
      <c r="J90" s="6">
        <f t="shared" si="4"/>
        <v>11</v>
      </c>
      <c r="K90" s="6">
        <v>19</v>
      </c>
      <c r="L90" s="3">
        <f t="shared" si="5"/>
        <v>48</v>
      </c>
      <c r="M90" s="6">
        <f t="shared" si="6"/>
        <v>1</v>
      </c>
      <c r="N90" s="6" t="str">
        <f t="shared" si="7"/>
        <v>PASS</v>
      </c>
    </row>
    <row r="91" spans="4:14" x14ac:dyDescent="0.35">
      <c r="D91" s="6">
        <v>77</v>
      </c>
      <c r="E91" s="6" t="s">
        <v>436</v>
      </c>
      <c r="F91" s="6">
        <v>20</v>
      </c>
      <c r="G91" s="6">
        <v>3</v>
      </c>
      <c r="H91" s="6">
        <v>7</v>
      </c>
      <c r="I91" s="6">
        <v>6</v>
      </c>
      <c r="J91" s="6">
        <f t="shared" si="4"/>
        <v>13</v>
      </c>
      <c r="K91" s="6">
        <v>6</v>
      </c>
      <c r="L91" s="3">
        <f t="shared" si="5"/>
        <v>42</v>
      </c>
      <c r="M91" s="6">
        <f t="shared" si="6"/>
        <v>1</v>
      </c>
      <c r="N91" s="6" t="str">
        <f t="shared" si="7"/>
        <v>PASS</v>
      </c>
    </row>
    <row r="92" spans="4:14" x14ac:dyDescent="0.35">
      <c r="D92" s="6">
        <v>78</v>
      </c>
      <c r="E92" s="6" t="s">
        <v>593</v>
      </c>
      <c r="F92" s="6">
        <v>9</v>
      </c>
      <c r="G92" s="6">
        <v>13</v>
      </c>
      <c r="H92" s="6">
        <v>4</v>
      </c>
      <c r="I92" s="6">
        <v>11</v>
      </c>
      <c r="J92" s="6">
        <f t="shared" si="4"/>
        <v>15</v>
      </c>
      <c r="K92" s="6">
        <v>15</v>
      </c>
      <c r="L92" s="3">
        <f t="shared" si="5"/>
        <v>52</v>
      </c>
      <c r="M92" s="6">
        <f t="shared" si="6"/>
        <v>2</v>
      </c>
      <c r="N92" s="6" t="str">
        <f t="shared" si="7"/>
        <v>PASS</v>
      </c>
    </row>
    <row r="93" spans="4:14" x14ac:dyDescent="0.35">
      <c r="D93" s="6">
        <v>79</v>
      </c>
      <c r="E93" s="6" t="s">
        <v>442</v>
      </c>
      <c r="F93" s="6">
        <v>15</v>
      </c>
      <c r="G93" s="6">
        <v>19</v>
      </c>
      <c r="H93" s="6">
        <v>5</v>
      </c>
      <c r="I93" s="6">
        <v>9</v>
      </c>
      <c r="J93" s="6">
        <f t="shared" si="4"/>
        <v>14</v>
      </c>
      <c r="K93" s="6">
        <v>25</v>
      </c>
      <c r="L93" s="3">
        <f t="shared" si="5"/>
        <v>73</v>
      </c>
      <c r="M93" s="6">
        <f t="shared" si="6"/>
        <v>2</v>
      </c>
      <c r="N93" s="6" t="str">
        <f t="shared" si="7"/>
        <v>PASS</v>
      </c>
    </row>
    <row r="94" spans="4:14" x14ac:dyDescent="0.35">
      <c r="D94" s="6">
        <v>80</v>
      </c>
      <c r="E94" s="6" t="s">
        <v>447</v>
      </c>
      <c r="F94" s="6">
        <v>1</v>
      </c>
      <c r="G94" s="6">
        <v>10</v>
      </c>
      <c r="H94" s="6">
        <v>9</v>
      </c>
      <c r="I94" s="6">
        <v>12</v>
      </c>
      <c r="J94" s="6">
        <f t="shared" si="4"/>
        <v>21</v>
      </c>
      <c r="K94" s="6">
        <v>28</v>
      </c>
      <c r="L94" s="3">
        <f t="shared" si="5"/>
        <v>60</v>
      </c>
      <c r="M94" s="6">
        <f t="shared" si="6"/>
        <v>2</v>
      </c>
      <c r="N94" s="6" t="str">
        <f t="shared" si="7"/>
        <v>PASS</v>
      </c>
    </row>
    <row r="95" spans="4:14" x14ac:dyDescent="0.35">
      <c r="D95" s="6">
        <v>81</v>
      </c>
      <c r="E95" s="6" t="s">
        <v>452</v>
      </c>
      <c r="F95" s="6">
        <v>5</v>
      </c>
      <c r="G95" s="6">
        <v>10</v>
      </c>
      <c r="H95" s="6">
        <v>10</v>
      </c>
      <c r="I95" s="6">
        <v>0</v>
      </c>
      <c r="J95" s="6">
        <f t="shared" si="4"/>
        <v>10</v>
      </c>
      <c r="K95" s="6">
        <v>2</v>
      </c>
      <c r="L95" s="3">
        <f t="shared" si="5"/>
        <v>27</v>
      </c>
      <c r="M95" s="6">
        <f t="shared" si="6"/>
        <v>0</v>
      </c>
      <c r="N95" s="6" t="str">
        <f t="shared" si="7"/>
        <v>FAIL</v>
      </c>
    </row>
    <row r="96" spans="4:14" x14ac:dyDescent="0.35">
      <c r="D96" s="6">
        <v>82</v>
      </c>
      <c r="E96" s="6" t="s">
        <v>594</v>
      </c>
      <c r="F96" s="6">
        <v>4</v>
      </c>
      <c r="G96" s="6">
        <v>15</v>
      </c>
      <c r="H96" s="6">
        <v>4</v>
      </c>
      <c r="I96" s="6">
        <v>0</v>
      </c>
      <c r="J96" s="6">
        <f t="shared" si="4"/>
        <v>4</v>
      </c>
      <c r="K96" s="6">
        <v>5</v>
      </c>
      <c r="L96" s="3">
        <f t="shared" si="5"/>
        <v>28</v>
      </c>
      <c r="M96" s="6">
        <f t="shared" si="6"/>
        <v>0</v>
      </c>
      <c r="N96" s="6" t="str">
        <f t="shared" si="7"/>
        <v>FAIL</v>
      </c>
    </row>
    <row r="97" spans="4:14" x14ac:dyDescent="0.35">
      <c r="D97" s="6">
        <v>83</v>
      </c>
      <c r="E97" s="6" t="s">
        <v>595</v>
      </c>
      <c r="F97" s="6">
        <v>8</v>
      </c>
      <c r="G97" s="6">
        <v>5</v>
      </c>
      <c r="H97" s="6">
        <v>6</v>
      </c>
      <c r="I97" s="6">
        <v>11</v>
      </c>
      <c r="J97" s="6">
        <f t="shared" si="4"/>
        <v>17</v>
      </c>
      <c r="K97" s="6">
        <v>1</v>
      </c>
      <c r="L97" s="3">
        <f t="shared" si="5"/>
        <v>31</v>
      </c>
      <c r="M97" s="6">
        <f t="shared" si="6"/>
        <v>0</v>
      </c>
      <c r="N97" s="6" t="str">
        <f t="shared" si="7"/>
        <v>FAIL</v>
      </c>
    </row>
    <row r="98" spans="4:14" x14ac:dyDescent="0.35">
      <c r="D98" s="6">
        <v>84</v>
      </c>
      <c r="E98" s="6" t="s">
        <v>464</v>
      </c>
      <c r="F98" s="6">
        <v>20</v>
      </c>
      <c r="G98" s="6">
        <v>5</v>
      </c>
      <c r="H98" s="6">
        <v>4</v>
      </c>
      <c r="I98" s="6">
        <v>12</v>
      </c>
      <c r="J98" s="6">
        <f t="shared" si="4"/>
        <v>16</v>
      </c>
      <c r="K98" s="6">
        <v>17</v>
      </c>
      <c r="L98" s="3">
        <f t="shared" si="5"/>
        <v>58</v>
      </c>
      <c r="M98" s="6">
        <f t="shared" si="6"/>
        <v>2</v>
      </c>
      <c r="N98" s="6" t="str">
        <f t="shared" si="7"/>
        <v>PASS</v>
      </c>
    </row>
    <row r="99" spans="4:14" x14ac:dyDescent="0.35">
      <c r="D99" s="6">
        <v>85</v>
      </c>
      <c r="E99" s="6" t="s">
        <v>596</v>
      </c>
      <c r="F99" s="6">
        <v>1</v>
      </c>
      <c r="G99" s="6">
        <v>0</v>
      </c>
      <c r="H99" s="6">
        <v>2</v>
      </c>
      <c r="I99" s="6">
        <v>12</v>
      </c>
      <c r="J99" s="6">
        <f t="shared" si="4"/>
        <v>14</v>
      </c>
      <c r="K99" s="6">
        <v>24</v>
      </c>
      <c r="L99" s="3">
        <f t="shared" si="5"/>
        <v>39</v>
      </c>
      <c r="M99" s="6">
        <f t="shared" si="6"/>
        <v>1</v>
      </c>
      <c r="N99" s="6" t="str">
        <f t="shared" si="7"/>
        <v>PASS</v>
      </c>
    </row>
    <row r="100" spans="4:14" x14ac:dyDescent="0.35">
      <c r="D100" s="6">
        <v>86</v>
      </c>
      <c r="E100" s="6" t="s">
        <v>473</v>
      </c>
      <c r="F100" s="6">
        <v>16</v>
      </c>
      <c r="G100" s="6">
        <v>2</v>
      </c>
      <c r="H100" s="6">
        <v>8</v>
      </c>
      <c r="I100" s="6">
        <v>1</v>
      </c>
      <c r="J100" s="6">
        <f t="shared" ref="J100:J114" si="8">H100+I100</f>
        <v>9</v>
      </c>
      <c r="K100" s="6">
        <v>22</v>
      </c>
      <c r="L100" s="3">
        <f t="shared" si="5"/>
        <v>49</v>
      </c>
      <c r="M100" s="6">
        <f t="shared" si="6"/>
        <v>1</v>
      </c>
      <c r="N100" s="6" t="str">
        <f t="shared" si="7"/>
        <v>PASS</v>
      </c>
    </row>
    <row r="101" spans="4:14" x14ac:dyDescent="0.35">
      <c r="D101" s="6">
        <v>87</v>
      </c>
      <c r="E101" s="6" t="s">
        <v>597</v>
      </c>
      <c r="F101" s="6">
        <v>19</v>
      </c>
      <c r="G101" s="6">
        <v>19</v>
      </c>
      <c r="H101" s="6">
        <v>10</v>
      </c>
      <c r="I101" s="6">
        <v>20</v>
      </c>
      <c r="J101" s="6">
        <f>H101+I101</f>
        <v>30</v>
      </c>
      <c r="K101" s="6">
        <v>29</v>
      </c>
      <c r="L101" s="3">
        <f t="shared" si="5"/>
        <v>97</v>
      </c>
      <c r="M101" s="6">
        <f t="shared" si="6"/>
        <v>3</v>
      </c>
      <c r="N101" s="6" t="str">
        <f t="shared" si="7"/>
        <v>PASS</v>
      </c>
    </row>
    <row r="102" spans="4:14" x14ac:dyDescent="0.35">
      <c r="D102" s="6">
        <v>88</v>
      </c>
      <c r="E102" s="6" t="s">
        <v>598</v>
      </c>
      <c r="F102" s="6">
        <v>15</v>
      </c>
      <c r="G102" s="6">
        <v>19</v>
      </c>
      <c r="H102" s="6">
        <v>9</v>
      </c>
      <c r="I102" s="6">
        <v>14</v>
      </c>
      <c r="J102" s="6">
        <f t="shared" si="8"/>
        <v>23</v>
      </c>
      <c r="K102" s="6">
        <v>25</v>
      </c>
      <c r="L102" s="3">
        <f t="shared" si="5"/>
        <v>82</v>
      </c>
      <c r="M102" s="6">
        <f t="shared" si="6"/>
        <v>3</v>
      </c>
      <c r="N102" s="6" t="str">
        <f t="shared" si="7"/>
        <v>PASS</v>
      </c>
    </row>
    <row r="103" spans="4:14" x14ac:dyDescent="0.35">
      <c r="D103" s="6">
        <v>89</v>
      </c>
      <c r="E103" s="6" t="s">
        <v>486</v>
      </c>
      <c r="F103" s="6">
        <v>16</v>
      </c>
      <c r="G103" s="6">
        <v>13</v>
      </c>
      <c r="H103" s="6">
        <v>2</v>
      </c>
      <c r="I103" s="6">
        <v>5</v>
      </c>
      <c r="J103" s="6">
        <f t="shared" si="8"/>
        <v>7</v>
      </c>
      <c r="K103" s="6">
        <v>21</v>
      </c>
      <c r="L103" s="3">
        <f t="shared" si="5"/>
        <v>57</v>
      </c>
      <c r="M103" s="6">
        <f t="shared" si="6"/>
        <v>2</v>
      </c>
      <c r="N103" s="6" t="str">
        <f t="shared" si="7"/>
        <v>PASS</v>
      </c>
    </row>
    <row r="104" spans="4:14" x14ac:dyDescent="0.35">
      <c r="D104" s="6">
        <v>90</v>
      </c>
      <c r="E104" s="6" t="s">
        <v>491</v>
      </c>
      <c r="F104" s="6">
        <v>8</v>
      </c>
      <c r="G104" s="6">
        <v>4</v>
      </c>
      <c r="H104" s="6">
        <v>3</v>
      </c>
      <c r="I104" s="6">
        <v>12</v>
      </c>
      <c r="J104" s="6">
        <f t="shared" si="8"/>
        <v>15</v>
      </c>
      <c r="K104" s="6">
        <v>24</v>
      </c>
      <c r="L104" s="3">
        <f t="shared" si="5"/>
        <v>51</v>
      </c>
      <c r="M104" s="6">
        <f t="shared" si="6"/>
        <v>2</v>
      </c>
      <c r="N104" s="6" t="str">
        <f t="shared" si="7"/>
        <v>PASS</v>
      </c>
    </row>
    <row r="105" spans="4:14" x14ac:dyDescent="0.35">
      <c r="D105" s="6">
        <v>91</v>
      </c>
      <c r="E105" s="6" t="s">
        <v>599</v>
      </c>
      <c r="F105" s="6">
        <v>11</v>
      </c>
      <c r="G105" s="6">
        <v>1</v>
      </c>
      <c r="H105" s="6">
        <v>9</v>
      </c>
      <c r="I105" s="6">
        <v>9</v>
      </c>
      <c r="J105" s="6">
        <f t="shared" si="8"/>
        <v>18</v>
      </c>
      <c r="K105" s="6">
        <v>17</v>
      </c>
      <c r="L105" s="3">
        <f t="shared" si="5"/>
        <v>47</v>
      </c>
      <c r="M105" s="6">
        <f t="shared" si="6"/>
        <v>1</v>
      </c>
      <c r="N105" s="6" t="str">
        <f t="shared" si="7"/>
        <v>PASS</v>
      </c>
    </row>
    <row r="106" spans="4:14" x14ac:dyDescent="0.35">
      <c r="D106" s="6">
        <v>92</v>
      </c>
      <c r="E106" s="6" t="s">
        <v>500</v>
      </c>
      <c r="F106" s="6">
        <v>2</v>
      </c>
      <c r="G106" s="6">
        <v>13</v>
      </c>
      <c r="H106" s="6">
        <v>0</v>
      </c>
      <c r="I106" s="6">
        <v>13</v>
      </c>
      <c r="J106" s="6">
        <f t="shared" si="8"/>
        <v>13</v>
      </c>
      <c r="K106" s="6">
        <v>0</v>
      </c>
      <c r="L106" s="3">
        <f t="shared" si="5"/>
        <v>28</v>
      </c>
      <c r="M106" s="6">
        <f t="shared" si="6"/>
        <v>0</v>
      </c>
      <c r="N106" s="6" t="str">
        <f t="shared" si="7"/>
        <v>FAIL</v>
      </c>
    </row>
    <row r="107" spans="4:14" x14ac:dyDescent="0.35">
      <c r="D107" s="6">
        <v>93</v>
      </c>
      <c r="E107" s="6" t="s">
        <v>505</v>
      </c>
      <c r="F107" s="6">
        <v>3</v>
      </c>
      <c r="G107" s="6">
        <v>13</v>
      </c>
      <c r="H107" s="6">
        <v>8</v>
      </c>
      <c r="I107" s="6">
        <v>18</v>
      </c>
      <c r="J107" s="6">
        <f t="shared" si="8"/>
        <v>26</v>
      </c>
      <c r="K107" s="6">
        <v>13</v>
      </c>
      <c r="L107" s="3">
        <f t="shared" si="5"/>
        <v>55</v>
      </c>
      <c r="M107" s="6">
        <f t="shared" si="6"/>
        <v>2</v>
      </c>
      <c r="N107" s="6" t="str">
        <f t="shared" si="7"/>
        <v>PASS</v>
      </c>
    </row>
    <row r="108" spans="4:14" x14ac:dyDescent="0.35">
      <c r="D108" s="6">
        <v>94</v>
      </c>
      <c r="E108" s="6" t="s">
        <v>510</v>
      </c>
      <c r="F108" s="6">
        <v>9</v>
      </c>
      <c r="G108" s="6">
        <v>8</v>
      </c>
      <c r="H108" s="6">
        <v>4</v>
      </c>
      <c r="I108" s="6">
        <v>16</v>
      </c>
      <c r="J108" s="6">
        <f t="shared" si="8"/>
        <v>20</v>
      </c>
      <c r="K108" s="6">
        <v>19</v>
      </c>
      <c r="L108" s="3">
        <f t="shared" si="5"/>
        <v>56</v>
      </c>
      <c r="M108" s="6">
        <f t="shared" si="6"/>
        <v>2</v>
      </c>
      <c r="N108" s="6" t="str">
        <f t="shared" si="7"/>
        <v>PASS</v>
      </c>
    </row>
    <row r="109" spans="4:14" x14ac:dyDescent="0.35">
      <c r="D109" s="6">
        <v>95</v>
      </c>
      <c r="E109" s="6" t="s">
        <v>600</v>
      </c>
      <c r="F109" s="6">
        <v>12</v>
      </c>
      <c r="G109" s="6">
        <v>15</v>
      </c>
      <c r="H109" s="6">
        <v>4</v>
      </c>
      <c r="I109" s="6">
        <v>19</v>
      </c>
      <c r="J109" s="6">
        <f t="shared" si="8"/>
        <v>23</v>
      </c>
      <c r="K109" s="6">
        <v>13</v>
      </c>
      <c r="L109" s="3">
        <f t="shared" si="5"/>
        <v>63</v>
      </c>
      <c r="M109" s="6">
        <f t="shared" si="6"/>
        <v>2</v>
      </c>
      <c r="N109" s="6" t="str">
        <f t="shared" si="7"/>
        <v>PASS</v>
      </c>
    </row>
    <row r="110" spans="4:14" x14ac:dyDescent="0.35">
      <c r="D110" s="6">
        <v>96</v>
      </c>
      <c r="E110" s="6" t="s">
        <v>516</v>
      </c>
      <c r="F110" s="6">
        <v>0</v>
      </c>
      <c r="G110" s="6">
        <v>15</v>
      </c>
      <c r="H110" s="6">
        <v>1</v>
      </c>
      <c r="I110" s="6">
        <v>20</v>
      </c>
      <c r="J110" s="6">
        <f t="shared" si="8"/>
        <v>21</v>
      </c>
      <c r="K110" s="6">
        <v>15</v>
      </c>
      <c r="L110" s="3">
        <f t="shared" si="5"/>
        <v>51</v>
      </c>
      <c r="M110" s="6">
        <f t="shared" si="6"/>
        <v>2</v>
      </c>
      <c r="N110" s="6" t="str">
        <f t="shared" si="7"/>
        <v>PASS</v>
      </c>
    </row>
    <row r="111" spans="4:14" x14ac:dyDescent="0.35">
      <c r="D111" s="6">
        <v>97</v>
      </c>
      <c r="E111" s="6" t="s">
        <v>521</v>
      </c>
      <c r="F111" s="6">
        <v>14</v>
      </c>
      <c r="G111" s="6">
        <v>4</v>
      </c>
      <c r="H111" s="6">
        <v>5</v>
      </c>
      <c r="I111" s="6">
        <v>8</v>
      </c>
      <c r="J111" s="6">
        <f t="shared" si="8"/>
        <v>13</v>
      </c>
      <c r="K111" s="6">
        <v>28</v>
      </c>
      <c r="L111" s="3">
        <f t="shared" si="5"/>
        <v>59</v>
      </c>
      <c r="M111" s="6">
        <f t="shared" si="6"/>
        <v>2</v>
      </c>
      <c r="N111" s="6" t="str">
        <f t="shared" si="7"/>
        <v>PASS</v>
      </c>
    </row>
    <row r="112" spans="4:14" x14ac:dyDescent="0.35">
      <c r="D112" s="6">
        <v>98</v>
      </c>
      <c r="E112" s="6" t="s">
        <v>526</v>
      </c>
      <c r="F112" s="6">
        <v>15</v>
      </c>
      <c r="G112" s="6">
        <v>2</v>
      </c>
      <c r="H112" s="6">
        <v>0</v>
      </c>
      <c r="I112" s="6">
        <v>6</v>
      </c>
      <c r="J112" s="6">
        <f t="shared" si="8"/>
        <v>6</v>
      </c>
      <c r="K112" s="6">
        <v>5</v>
      </c>
      <c r="L112" s="3">
        <f t="shared" si="5"/>
        <v>28</v>
      </c>
      <c r="M112" s="6">
        <f t="shared" si="6"/>
        <v>0</v>
      </c>
      <c r="N112" s="6" t="str">
        <f t="shared" si="7"/>
        <v>FAIL</v>
      </c>
    </row>
    <row r="113" spans="4:14" x14ac:dyDescent="0.35">
      <c r="D113" s="6">
        <v>99</v>
      </c>
      <c r="E113" s="6" t="s">
        <v>601</v>
      </c>
      <c r="F113" s="6">
        <v>16</v>
      </c>
      <c r="G113" s="6">
        <v>4</v>
      </c>
      <c r="H113" s="6">
        <v>7</v>
      </c>
      <c r="I113" s="6">
        <v>17</v>
      </c>
      <c r="J113" s="6">
        <f t="shared" si="8"/>
        <v>24</v>
      </c>
      <c r="K113" s="6">
        <v>14</v>
      </c>
      <c r="L113" s="3">
        <f t="shared" si="5"/>
        <v>58</v>
      </c>
      <c r="M113" s="6">
        <f t="shared" si="6"/>
        <v>2</v>
      </c>
      <c r="N113" s="6" t="str">
        <f t="shared" si="7"/>
        <v>PASS</v>
      </c>
    </row>
    <row r="114" spans="4:14" x14ac:dyDescent="0.35">
      <c r="D114" s="6">
        <v>100</v>
      </c>
      <c r="E114" s="6" t="s">
        <v>535</v>
      </c>
      <c r="F114" s="6">
        <v>0</v>
      </c>
      <c r="G114" s="6">
        <v>1</v>
      </c>
      <c r="H114" s="6">
        <v>5</v>
      </c>
      <c r="I114" s="6">
        <v>4</v>
      </c>
      <c r="J114" s="6">
        <f t="shared" si="8"/>
        <v>9</v>
      </c>
      <c r="K114" s="6">
        <v>18</v>
      </c>
      <c r="L114" s="3">
        <f t="shared" si="5"/>
        <v>28</v>
      </c>
      <c r="M114" s="6">
        <f t="shared" si="6"/>
        <v>0</v>
      </c>
      <c r="N114" s="6" t="str">
        <f t="shared" si="7"/>
        <v>FAIL</v>
      </c>
    </row>
  </sheetData>
  <mergeCells count="8">
    <mergeCell ref="D2:Q3"/>
    <mergeCell ref="D4:Q4"/>
    <mergeCell ref="D5:Q5"/>
    <mergeCell ref="D6:Q6"/>
    <mergeCell ref="D8:Q8"/>
    <mergeCell ref="G7:L7"/>
    <mergeCell ref="D9:Q9"/>
    <mergeCell ref="P16:Q16"/>
  </mergeCells>
  <phoneticPr fontId="2" type="noConversion"/>
  <conditionalFormatting sqref="N15:N114">
    <cfRule type="containsText" dxfId="11" priority="1" operator="containsText" text="FAIL">
      <formula>NOT(ISERROR(SEARCH("FAIL",N15)))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1157-CAAB-4784-9DA8-92DAF677DB9E}">
  <sheetPr codeName="Sheet3"/>
  <dimension ref="C1:R114"/>
  <sheetViews>
    <sheetView tabSelected="1" zoomScale="74" zoomScaleNormal="80" workbookViewId="0">
      <selection activeCell="K20" sqref="K20"/>
    </sheetView>
  </sheetViews>
  <sheetFormatPr defaultRowHeight="14.5" x14ac:dyDescent="0.35"/>
  <cols>
    <col min="4" max="4" width="19.453125" customWidth="1"/>
    <col min="5" max="5" width="16.7265625" customWidth="1"/>
    <col min="6" max="6" width="16.81640625" customWidth="1"/>
    <col min="7" max="7" width="28" customWidth="1"/>
    <col min="8" max="8" width="11.453125" customWidth="1"/>
    <col min="9" max="9" width="18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7"/>
      <c r="Q2" s="7"/>
    </row>
    <row r="3" spans="3:17" x14ac:dyDescent="0.35">
      <c r="C3" s="35"/>
      <c r="D3" s="205" t="s">
        <v>101</v>
      </c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</row>
    <row r="4" spans="3:17" x14ac:dyDescent="0.35">
      <c r="C4" s="35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</row>
    <row r="5" spans="3:17" ht="22" x14ac:dyDescent="0.6">
      <c r="C5" s="35"/>
      <c r="D5" s="162" t="s">
        <v>100</v>
      </c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</row>
    <row r="6" spans="3:17" ht="23" x14ac:dyDescent="0.6">
      <c r="C6" s="35"/>
      <c r="D6" s="164" t="s">
        <v>99</v>
      </c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</row>
    <row r="7" spans="3:17" ht="22" x14ac:dyDescent="0.6">
      <c r="C7" s="35"/>
      <c r="D7" s="165" t="s">
        <v>98</v>
      </c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</row>
    <row r="8" spans="3:17" ht="22" x14ac:dyDescent="0.6">
      <c r="C8" s="35"/>
      <c r="D8" s="34"/>
      <c r="E8" s="34"/>
      <c r="F8" s="34"/>
      <c r="G8" s="164" t="s">
        <v>88</v>
      </c>
      <c r="H8" s="166"/>
      <c r="I8" s="166"/>
      <c r="J8" s="166"/>
      <c r="K8" s="166"/>
      <c r="L8" s="166"/>
      <c r="M8" s="34"/>
      <c r="N8" s="34"/>
      <c r="O8" s="34"/>
      <c r="P8" s="34"/>
      <c r="Q8" s="40"/>
    </row>
    <row r="9" spans="3:17" ht="21" x14ac:dyDescent="0.5">
      <c r="C9" s="35"/>
      <c r="D9" s="160" t="s">
        <v>102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0" spans="3:17" ht="21" x14ac:dyDescent="0.5">
      <c r="C10" s="7"/>
      <c r="D10" s="160" t="s">
        <v>103</v>
      </c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</row>
    <row r="11" spans="3:17" ht="18.5" x14ac:dyDescent="0.45">
      <c r="D11" s="31">
        <v>25241102</v>
      </c>
      <c r="E11" s="32" t="s">
        <v>54</v>
      </c>
      <c r="G11" s="32" t="s">
        <v>55</v>
      </c>
      <c r="N11" s="7"/>
    </row>
    <row r="12" spans="3:17" x14ac:dyDescent="0.35">
      <c r="C12" s="29" t="s">
        <v>42</v>
      </c>
      <c r="D12" s="29" t="s">
        <v>43</v>
      </c>
      <c r="E12" s="29" t="s">
        <v>44</v>
      </c>
      <c r="F12" s="29" t="s">
        <v>45</v>
      </c>
      <c r="G12" s="29" t="s">
        <v>46</v>
      </c>
      <c r="H12" s="29" t="s">
        <v>47</v>
      </c>
      <c r="I12" s="29" t="s">
        <v>48</v>
      </c>
      <c r="J12" s="29" t="s">
        <v>49</v>
      </c>
      <c r="K12" s="29" t="s">
        <v>50</v>
      </c>
      <c r="L12" s="29" t="s">
        <v>51</v>
      </c>
      <c r="M12" s="29" t="s">
        <v>52</v>
      </c>
      <c r="N12" s="7"/>
    </row>
    <row r="13" spans="3:17" x14ac:dyDescent="0.35">
      <c r="C13" s="6"/>
      <c r="D13" s="6"/>
      <c r="E13" s="33">
        <v>20</v>
      </c>
      <c r="F13" s="33">
        <v>20</v>
      </c>
      <c r="G13" s="33">
        <v>10</v>
      </c>
      <c r="H13" s="33">
        <v>20</v>
      </c>
      <c r="I13" s="33">
        <v>30</v>
      </c>
      <c r="J13" s="33">
        <v>30</v>
      </c>
      <c r="K13" s="33">
        <v>100</v>
      </c>
      <c r="L13" s="33">
        <v>2</v>
      </c>
      <c r="M13" s="33" t="s">
        <v>53</v>
      </c>
      <c r="N13" s="7"/>
    </row>
    <row r="14" spans="3:17" x14ac:dyDescent="0.35"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3:17" x14ac:dyDescent="0.35">
      <c r="C15" s="6">
        <v>1</v>
      </c>
      <c r="D15" s="6" t="s">
        <v>140</v>
      </c>
      <c r="E15" s="6">
        <v>4</v>
      </c>
      <c r="F15" s="6">
        <v>20</v>
      </c>
      <c r="G15" s="6">
        <v>10</v>
      </c>
      <c r="H15" s="6">
        <v>1</v>
      </c>
      <c r="I15" s="6">
        <f t="shared" ref="I15:I34" si="0">G15+H15</f>
        <v>11</v>
      </c>
      <c r="J15" s="6">
        <v>27</v>
      </c>
      <c r="K15" s="6">
        <f>J15+I15+F15+E15</f>
        <v>62</v>
      </c>
      <c r="L15" s="6">
        <f>IF(K15&gt;50,2,IF(K15&gt;35,1,0))</f>
        <v>2</v>
      </c>
      <c r="M15" s="6" t="str">
        <f>IF(K15&lt;35,"FAIL","PASS")</f>
        <v>PASS</v>
      </c>
      <c r="N15" s="7"/>
      <c r="O15" s="107" t="s">
        <v>660</v>
      </c>
      <c r="P15" s="107"/>
    </row>
    <row r="16" spans="3:17" x14ac:dyDescent="0.35">
      <c r="C16" s="6">
        <v>2</v>
      </c>
      <c r="D16" s="6" t="s">
        <v>147</v>
      </c>
      <c r="E16" s="6">
        <v>14</v>
      </c>
      <c r="F16" s="6">
        <v>1</v>
      </c>
      <c r="G16" s="6">
        <v>0</v>
      </c>
      <c r="H16" s="6">
        <v>18</v>
      </c>
      <c r="I16" s="6">
        <f t="shared" si="0"/>
        <v>18</v>
      </c>
      <c r="J16" s="6">
        <v>23</v>
      </c>
      <c r="K16" s="6">
        <f t="shared" ref="K16:K33" si="1">J16+I16+F16+E16</f>
        <v>56</v>
      </c>
      <c r="L16" s="6">
        <f t="shared" ref="L16:L79" si="2">IF(K16&gt;50,2,IF(K16&gt;35,1,0))</f>
        <v>2</v>
      </c>
      <c r="M16" s="6" t="str">
        <f t="shared" ref="M16:M79" si="3">IF(K16&lt;35,"FAIL","PASS")</f>
        <v>PASS</v>
      </c>
      <c r="N16" s="7"/>
      <c r="O16" t="s">
        <v>663</v>
      </c>
      <c r="P16" s="212">
        <f>COUNTIF(M15:M114,M15)</f>
        <v>86</v>
      </c>
    </row>
    <row r="17" spans="3:18" x14ac:dyDescent="0.35">
      <c r="C17" s="6">
        <v>3</v>
      </c>
      <c r="D17" s="6" t="s">
        <v>152</v>
      </c>
      <c r="E17" s="6">
        <v>14</v>
      </c>
      <c r="F17" s="6">
        <v>8</v>
      </c>
      <c r="G17" s="6">
        <v>10</v>
      </c>
      <c r="H17" s="6">
        <v>8</v>
      </c>
      <c r="I17" s="6">
        <f t="shared" si="0"/>
        <v>18</v>
      </c>
      <c r="J17" s="6">
        <v>5</v>
      </c>
      <c r="K17" s="6">
        <f t="shared" si="1"/>
        <v>45</v>
      </c>
      <c r="L17" s="6">
        <f t="shared" si="2"/>
        <v>1</v>
      </c>
      <c r="M17" s="6" t="str">
        <f t="shared" si="3"/>
        <v>PASS</v>
      </c>
      <c r="N17" s="7"/>
      <c r="O17" t="s">
        <v>664</v>
      </c>
      <c r="P17" s="212">
        <f>COUNTIF(M15:M114,M32)</f>
        <v>14</v>
      </c>
    </row>
    <row r="18" spans="3:18" x14ac:dyDescent="0.35">
      <c r="C18" s="6">
        <v>4</v>
      </c>
      <c r="D18" s="6" t="s">
        <v>157</v>
      </c>
      <c r="E18" s="6">
        <v>5</v>
      </c>
      <c r="F18" s="6">
        <v>8</v>
      </c>
      <c r="G18" s="6">
        <v>1</v>
      </c>
      <c r="H18" s="6">
        <v>15</v>
      </c>
      <c r="I18" s="6">
        <f t="shared" si="0"/>
        <v>16</v>
      </c>
      <c r="J18" s="6">
        <v>14</v>
      </c>
      <c r="K18" s="6">
        <f t="shared" si="1"/>
        <v>43</v>
      </c>
      <c r="L18" s="6">
        <f t="shared" si="2"/>
        <v>1</v>
      </c>
      <c r="M18" s="6" t="str">
        <f>IF(K18&lt;35,"FAIL","PASS")</f>
        <v>PASS</v>
      </c>
      <c r="N18" s="7"/>
      <c r="O18" s="213"/>
      <c r="P18" s="213"/>
      <c r="Q18" s="213"/>
      <c r="R18" s="213"/>
    </row>
    <row r="19" spans="3:18" x14ac:dyDescent="0.35">
      <c r="C19" s="6">
        <v>5</v>
      </c>
      <c r="D19" s="6" t="s">
        <v>162</v>
      </c>
      <c r="E19" s="6">
        <v>1</v>
      </c>
      <c r="F19" s="6">
        <v>16</v>
      </c>
      <c r="G19" s="6">
        <v>8</v>
      </c>
      <c r="H19" s="6">
        <v>20</v>
      </c>
      <c r="I19" s="6">
        <f t="shared" si="0"/>
        <v>28</v>
      </c>
      <c r="J19" s="6">
        <v>2</v>
      </c>
      <c r="K19" s="6">
        <f t="shared" si="1"/>
        <v>47</v>
      </c>
      <c r="L19" s="6">
        <f t="shared" si="2"/>
        <v>1</v>
      </c>
      <c r="M19" s="6" t="str">
        <f t="shared" si="3"/>
        <v>PASS</v>
      </c>
      <c r="N19" s="7"/>
      <c r="P19" s="212"/>
      <c r="Q19" s="212"/>
      <c r="R19" s="212"/>
    </row>
    <row r="20" spans="3:18" x14ac:dyDescent="0.35">
      <c r="C20" s="6">
        <v>6</v>
      </c>
      <c r="D20" s="6" t="s">
        <v>167</v>
      </c>
      <c r="E20" s="6">
        <v>15</v>
      </c>
      <c r="F20" s="6">
        <v>14</v>
      </c>
      <c r="G20" s="6">
        <v>5</v>
      </c>
      <c r="H20" s="6">
        <v>0</v>
      </c>
      <c r="I20" s="6">
        <f t="shared" si="0"/>
        <v>5</v>
      </c>
      <c r="J20" s="6">
        <v>22</v>
      </c>
      <c r="K20" s="6">
        <f t="shared" si="1"/>
        <v>56</v>
      </c>
      <c r="L20" s="6">
        <f t="shared" si="2"/>
        <v>2</v>
      </c>
      <c r="M20" s="6" t="str">
        <f t="shared" si="3"/>
        <v>PASS</v>
      </c>
      <c r="N20" s="7"/>
      <c r="O20" s="212"/>
      <c r="P20" s="212"/>
      <c r="Q20" s="212"/>
      <c r="R20" s="212"/>
    </row>
    <row r="21" spans="3:18" x14ac:dyDescent="0.35">
      <c r="C21" s="6">
        <v>7</v>
      </c>
      <c r="D21" s="6" t="s">
        <v>565</v>
      </c>
      <c r="E21" s="6">
        <v>18</v>
      </c>
      <c r="F21" s="6">
        <v>3</v>
      </c>
      <c r="G21" s="6">
        <v>6</v>
      </c>
      <c r="H21" s="6">
        <v>2</v>
      </c>
      <c r="I21" s="6">
        <f t="shared" si="0"/>
        <v>8</v>
      </c>
      <c r="J21" s="6">
        <v>15</v>
      </c>
      <c r="K21" s="6">
        <f t="shared" si="1"/>
        <v>44</v>
      </c>
      <c r="L21" s="6">
        <f t="shared" si="2"/>
        <v>1</v>
      </c>
      <c r="M21" s="6" t="str">
        <f t="shared" si="3"/>
        <v>PASS</v>
      </c>
      <c r="N21" s="7"/>
      <c r="O21" s="213"/>
      <c r="P21" s="213"/>
      <c r="Q21" s="213"/>
      <c r="R21" s="213"/>
    </row>
    <row r="22" spans="3:18" x14ac:dyDescent="0.35">
      <c r="C22" s="6">
        <v>8</v>
      </c>
      <c r="D22" s="6" t="s">
        <v>566</v>
      </c>
      <c r="E22" s="6">
        <v>8</v>
      </c>
      <c r="F22" s="6">
        <v>1</v>
      </c>
      <c r="G22" s="6">
        <v>1</v>
      </c>
      <c r="H22" s="6">
        <v>3</v>
      </c>
      <c r="I22" s="6">
        <f t="shared" si="0"/>
        <v>4</v>
      </c>
      <c r="J22" s="6">
        <v>27</v>
      </c>
      <c r="K22" s="6">
        <f t="shared" si="1"/>
        <v>40</v>
      </c>
      <c r="L22" s="6">
        <f t="shared" si="2"/>
        <v>1</v>
      </c>
      <c r="M22" s="6" t="str">
        <f t="shared" si="3"/>
        <v>PASS</v>
      </c>
      <c r="N22" s="7"/>
      <c r="P22" s="212"/>
      <c r="Q22" s="212"/>
      <c r="R22" s="212"/>
    </row>
    <row r="23" spans="3:18" x14ac:dyDescent="0.35">
      <c r="C23" s="6">
        <v>9</v>
      </c>
      <c r="D23" s="6" t="s">
        <v>176</v>
      </c>
      <c r="E23" s="6">
        <v>10</v>
      </c>
      <c r="F23" s="6">
        <v>18</v>
      </c>
      <c r="G23" s="6">
        <v>7</v>
      </c>
      <c r="H23" s="6">
        <v>9</v>
      </c>
      <c r="I23" s="6">
        <f t="shared" si="0"/>
        <v>16</v>
      </c>
      <c r="J23" s="6">
        <v>13</v>
      </c>
      <c r="K23" s="6">
        <f t="shared" si="1"/>
        <v>57</v>
      </c>
      <c r="L23" s="6">
        <f t="shared" si="2"/>
        <v>2</v>
      </c>
      <c r="M23" s="6" t="str">
        <f t="shared" si="3"/>
        <v>PASS</v>
      </c>
      <c r="N23" s="7"/>
    </row>
    <row r="24" spans="3:18" x14ac:dyDescent="0.35">
      <c r="C24" s="6">
        <v>10</v>
      </c>
      <c r="D24" s="6" t="s">
        <v>181</v>
      </c>
      <c r="E24" s="6">
        <v>9</v>
      </c>
      <c r="F24" s="6">
        <v>13</v>
      </c>
      <c r="G24" s="6">
        <v>1</v>
      </c>
      <c r="H24" s="6">
        <v>2</v>
      </c>
      <c r="I24" s="6">
        <f t="shared" si="0"/>
        <v>3</v>
      </c>
      <c r="J24" s="6">
        <v>22</v>
      </c>
      <c r="K24" s="6">
        <f t="shared" si="1"/>
        <v>47</v>
      </c>
      <c r="L24" s="6">
        <f t="shared" si="2"/>
        <v>1</v>
      </c>
      <c r="M24" s="6" t="str">
        <f t="shared" si="3"/>
        <v>PASS</v>
      </c>
      <c r="N24" s="7"/>
    </row>
    <row r="25" spans="3:18" x14ac:dyDescent="0.35">
      <c r="C25" s="6">
        <v>11</v>
      </c>
      <c r="D25" s="6" t="s">
        <v>186</v>
      </c>
      <c r="E25" s="6">
        <v>19</v>
      </c>
      <c r="F25" s="6">
        <v>7</v>
      </c>
      <c r="G25" s="6">
        <v>3</v>
      </c>
      <c r="H25" s="6">
        <v>10</v>
      </c>
      <c r="I25" s="6">
        <f t="shared" si="0"/>
        <v>13</v>
      </c>
      <c r="J25" s="6">
        <v>7</v>
      </c>
      <c r="K25" s="6">
        <f t="shared" si="1"/>
        <v>46</v>
      </c>
      <c r="L25" s="6">
        <f t="shared" si="2"/>
        <v>1</v>
      </c>
      <c r="M25" s="6" t="str">
        <f t="shared" si="3"/>
        <v>PASS</v>
      </c>
      <c r="N25" s="7"/>
    </row>
    <row r="26" spans="3:18" x14ac:dyDescent="0.35">
      <c r="C26" s="6">
        <v>12</v>
      </c>
      <c r="D26" s="6" t="s">
        <v>191</v>
      </c>
      <c r="E26" s="6">
        <v>3</v>
      </c>
      <c r="F26" s="6">
        <v>14</v>
      </c>
      <c r="G26" s="6">
        <v>1</v>
      </c>
      <c r="H26" s="6">
        <v>8</v>
      </c>
      <c r="I26" s="6">
        <f t="shared" si="0"/>
        <v>9</v>
      </c>
      <c r="J26" s="6">
        <v>10</v>
      </c>
      <c r="K26" s="6">
        <f t="shared" si="1"/>
        <v>36</v>
      </c>
      <c r="L26" s="6">
        <f t="shared" si="2"/>
        <v>1</v>
      </c>
      <c r="M26" s="6" t="str">
        <f t="shared" si="3"/>
        <v>PASS</v>
      </c>
      <c r="N26" s="7"/>
    </row>
    <row r="27" spans="3:18" x14ac:dyDescent="0.35">
      <c r="C27" s="6">
        <v>13</v>
      </c>
      <c r="D27" s="6" t="s">
        <v>196</v>
      </c>
      <c r="E27" s="6">
        <v>2</v>
      </c>
      <c r="F27" s="6">
        <v>8</v>
      </c>
      <c r="G27" s="6">
        <v>10</v>
      </c>
      <c r="H27" s="6">
        <v>20</v>
      </c>
      <c r="I27" s="6">
        <f t="shared" si="0"/>
        <v>30</v>
      </c>
      <c r="J27" s="6">
        <v>5</v>
      </c>
      <c r="K27" s="6">
        <f t="shared" si="1"/>
        <v>45</v>
      </c>
      <c r="L27" s="6">
        <f t="shared" si="2"/>
        <v>1</v>
      </c>
      <c r="M27" s="6" t="str">
        <f t="shared" si="3"/>
        <v>PASS</v>
      </c>
      <c r="N27" s="7"/>
    </row>
    <row r="28" spans="3:18" x14ac:dyDescent="0.35">
      <c r="C28" s="6">
        <v>14</v>
      </c>
      <c r="D28" s="6" t="s">
        <v>567</v>
      </c>
      <c r="E28" s="6">
        <v>11</v>
      </c>
      <c r="F28" s="6">
        <v>20</v>
      </c>
      <c r="G28" s="6">
        <v>5</v>
      </c>
      <c r="H28" s="6">
        <v>2</v>
      </c>
      <c r="I28" s="6">
        <f t="shared" si="0"/>
        <v>7</v>
      </c>
      <c r="J28" s="6">
        <v>6</v>
      </c>
      <c r="K28" s="6">
        <f t="shared" si="1"/>
        <v>44</v>
      </c>
      <c r="L28" s="6">
        <f t="shared" si="2"/>
        <v>1</v>
      </c>
      <c r="M28" s="6" t="str">
        <f t="shared" si="3"/>
        <v>PASS</v>
      </c>
      <c r="N28" s="7"/>
    </row>
    <row r="29" spans="3:18" x14ac:dyDescent="0.35">
      <c r="C29" s="6">
        <v>15</v>
      </c>
      <c r="D29" s="6" t="s">
        <v>568</v>
      </c>
      <c r="E29" s="6">
        <v>11</v>
      </c>
      <c r="F29" s="6">
        <v>16</v>
      </c>
      <c r="G29" s="6">
        <v>5</v>
      </c>
      <c r="H29" s="6">
        <v>14</v>
      </c>
      <c r="I29" s="6">
        <f t="shared" si="0"/>
        <v>19</v>
      </c>
      <c r="J29" s="6">
        <v>26</v>
      </c>
      <c r="K29" s="6">
        <f t="shared" si="1"/>
        <v>72</v>
      </c>
      <c r="L29" s="6">
        <f t="shared" si="2"/>
        <v>2</v>
      </c>
      <c r="M29" s="6" t="str">
        <f t="shared" si="3"/>
        <v>PASS</v>
      </c>
      <c r="N29" s="7"/>
    </row>
    <row r="30" spans="3:18" x14ac:dyDescent="0.35">
      <c r="C30" s="6">
        <v>16</v>
      </c>
      <c r="D30" s="6" t="s">
        <v>204</v>
      </c>
      <c r="E30" s="6">
        <v>0</v>
      </c>
      <c r="F30" s="6">
        <v>18</v>
      </c>
      <c r="G30" s="6">
        <v>10</v>
      </c>
      <c r="H30" s="6">
        <v>10</v>
      </c>
      <c r="I30" s="6">
        <f t="shared" si="0"/>
        <v>20</v>
      </c>
      <c r="J30" s="6">
        <v>25</v>
      </c>
      <c r="K30" s="6">
        <f t="shared" si="1"/>
        <v>63</v>
      </c>
      <c r="L30" s="6">
        <f t="shared" si="2"/>
        <v>2</v>
      </c>
      <c r="M30" s="6" t="str">
        <f t="shared" si="3"/>
        <v>PASS</v>
      </c>
      <c r="N30" s="7"/>
    </row>
    <row r="31" spans="3:18" x14ac:dyDescent="0.35">
      <c r="C31" s="6">
        <v>17</v>
      </c>
      <c r="D31" s="6" t="s">
        <v>209</v>
      </c>
      <c r="E31" s="6">
        <v>11</v>
      </c>
      <c r="F31" s="6">
        <v>19</v>
      </c>
      <c r="G31" s="6">
        <v>2</v>
      </c>
      <c r="H31" s="6">
        <v>9</v>
      </c>
      <c r="I31" s="6">
        <f t="shared" si="0"/>
        <v>11</v>
      </c>
      <c r="J31" s="6">
        <v>14</v>
      </c>
      <c r="K31" s="6">
        <f t="shared" si="1"/>
        <v>55</v>
      </c>
      <c r="L31" s="6">
        <f t="shared" si="2"/>
        <v>2</v>
      </c>
      <c r="M31" s="6" t="str">
        <f t="shared" si="3"/>
        <v>PASS</v>
      </c>
      <c r="N31" s="7"/>
    </row>
    <row r="32" spans="3:18" x14ac:dyDescent="0.35">
      <c r="C32" s="6">
        <v>18</v>
      </c>
      <c r="D32" s="6" t="s">
        <v>214</v>
      </c>
      <c r="E32" s="6">
        <v>4</v>
      </c>
      <c r="F32" s="6">
        <v>4</v>
      </c>
      <c r="G32" s="6">
        <v>7</v>
      </c>
      <c r="H32" s="6">
        <v>2</v>
      </c>
      <c r="I32" s="6">
        <f t="shared" si="0"/>
        <v>9</v>
      </c>
      <c r="J32" s="6">
        <v>1</v>
      </c>
      <c r="K32" s="6">
        <f t="shared" si="1"/>
        <v>18</v>
      </c>
      <c r="L32" s="6">
        <f t="shared" si="2"/>
        <v>0</v>
      </c>
      <c r="M32" s="6" t="str">
        <f t="shared" si="3"/>
        <v>FAIL</v>
      </c>
      <c r="N32" s="7"/>
    </row>
    <row r="33" spans="3:14" x14ac:dyDescent="0.35">
      <c r="C33" s="6">
        <v>19</v>
      </c>
      <c r="D33" s="6" t="s">
        <v>219</v>
      </c>
      <c r="E33" s="6">
        <v>8</v>
      </c>
      <c r="F33" s="6">
        <v>5</v>
      </c>
      <c r="G33" s="6">
        <v>9</v>
      </c>
      <c r="H33" s="6">
        <v>18</v>
      </c>
      <c r="I33" s="6">
        <f t="shared" si="0"/>
        <v>27</v>
      </c>
      <c r="J33" s="6">
        <v>13</v>
      </c>
      <c r="K33" s="6">
        <f t="shared" si="1"/>
        <v>53</v>
      </c>
      <c r="L33" s="6">
        <f t="shared" si="2"/>
        <v>2</v>
      </c>
      <c r="M33" s="6" t="str">
        <f t="shared" si="3"/>
        <v>PASS</v>
      </c>
      <c r="N33" s="7"/>
    </row>
    <row r="34" spans="3:14" x14ac:dyDescent="0.35">
      <c r="C34" s="6">
        <v>20</v>
      </c>
      <c r="D34" s="6" t="s">
        <v>224</v>
      </c>
      <c r="E34" s="6">
        <v>6</v>
      </c>
      <c r="F34" s="6">
        <v>20</v>
      </c>
      <c r="G34" s="6">
        <v>4</v>
      </c>
      <c r="H34" s="6">
        <v>5</v>
      </c>
      <c r="I34" s="6">
        <f t="shared" si="0"/>
        <v>9</v>
      </c>
      <c r="J34" s="6">
        <v>29</v>
      </c>
      <c r="K34" s="6">
        <f>J34+I34+F34+E34</f>
        <v>64</v>
      </c>
      <c r="L34" s="6">
        <f t="shared" si="2"/>
        <v>2</v>
      </c>
      <c r="M34" s="6" t="str">
        <f t="shared" si="3"/>
        <v>PASS</v>
      </c>
      <c r="N34" s="7"/>
    </row>
    <row r="35" spans="3:14" x14ac:dyDescent="0.35">
      <c r="C35" s="6">
        <v>21</v>
      </c>
      <c r="D35" s="6" t="s">
        <v>569</v>
      </c>
      <c r="E35" s="6">
        <v>15</v>
      </c>
      <c r="F35" s="6">
        <v>15</v>
      </c>
      <c r="G35" s="6">
        <v>8</v>
      </c>
      <c r="H35" s="6">
        <v>14</v>
      </c>
      <c r="I35" s="6">
        <f>G35+H35</f>
        <v>22</v>
      </c>
      <c r="J35" s="6">
        <v>25</v>
      </c>
      <c r="K35" s="6">
        <f>E35+F35+I35+J35</f>
        <v>77</v>
      </c>
      <c r="L35" s="6">
        <f t="shared" si="2"/>
        <v>2</v>
      </c>
      <c r="M35" s="6" t="str">
        <f t="shared" si="3"/>
        <v>PASS</v>
      </c>
    </row>
    <row r="36" spans="3:14" x14ac:dyDescent="0.35">
      <c r="C36" s="6">
        <v>22</v>
      </c>
      <c r="D36" s="6" t="s">
        <v>229</v>
      </c>
      <c r="E36" s="6">
        <v>1</v>
      </c>
      <c r="F36" s="6">
        <v>12</v>
      </c>
      <c r="G36" s="6">
        <v>1</v>
      </c>
      <c r="H36" s="6">
        <v>14</v>
      </c>
      <c r="I36" s="6">
        <f t="shared" ref="I36:I99" si="4">G36+H36</f>
        <v>15</v>
      </c>
      <c r="J36" s="6">
        <v>20</v>
      </c>
      <c r="K36" s="6">
        <f t="shared" ref="K36:K99" si="5">E36+F36+I36+J36</f>
        <v>48</v>
      </c>
      <c r="L36" s="6">
        <f t="shared" si="2"/>
        <v>1</v>
      </c>
      <c r="M36" s="6" t="str">
        <f t="shared" si="3"/>
        <v>PASS</v>
      </c>
    </row>
    <row r="37" spans="3:14" x14ac:dyDescent="0.35">
      <c r="C37" s="6">
        <v>23</v>
      </c>
      <c r="D37" s="6" t="s">
        <v>234</v>
      </c>
      <c r="E37" s="6">
        <v>19</v>
      </c>
      <c r="F37" s="6">
        <v>17</v>
      </c>
      <c r="G37" s="6">
        <v>10</v>
      </c>
      <c r="H37" s="6">
        <v>19</v>
      </c>
      <c r="I37" s="6">
        <f t="shared" si="4"/>
        <v>29</v>
      </c>
      <c r="J37" s="6">
        <v>12</v>
      </c>
      <c r="K37" s="6">
        <f t="shared" si="5"/>
        <v>77</v>
      </c>
      <c r="L37" s="6">
        <f t="shared" si="2"/>
        <v>2</v>
      </c>
      <c r="M37" s="6" t="str">
        <f t="shared" si="3"/>
        <v>PASS</v>
      </c>
    </row>
    <row r="38" spans="3:14" x14ac:dyDescent="0.35">
      <c r="C38" s="6">
        <v>24</v>
      </c>
      <c r="D38" s="6" t="s">
        <v>239</v>
      </c>
      <c r="E38" s="6">
        <v>0</v>
      </c>
      <c r="F38" s="6">
        <v>5</v>
      </c>
      <c r="G38" s="6">
        <v>4</v>
      </c>
      <c r="H38" s="6">
        <v>5</v>
      </c>
      <c r="I38" s="6">
        <f t="shared" si="4"/>
        <v>9</v>
      </c>
      <c r="J38" s="6">
        <v>13</v>
      </c>
      <c r="K38" s="6">
        <f t="shared" si="5"/>
        <v>27</v>
      </c>
      <c r="L38" s="6">
        <f t="shared" si="2"/>
        <v>0</v>
      </c>
      <c r="M38" s="6" t="str">
        <f t="shared" si="3"/>
        <v>FAIL</v>
      </c>
    </row>
    <row r="39" spans="3:14" x14ac:dyDescent="0.35">
      <c r="C39" s="6">
        <v>25</v>
      </c>
      <c r="D39" s="6" t="s">
        <v>244</v>
      </c>
      <c r="E39" s="6">
        <v>11</v>
      </c>
      <c r="F39" s="6">
        <v>15</v>
      </c>
      <c r="G39" s="6">
        <v>8</v>
      </c>
      <c r="H39" s="6">
        <v>10</v>
      </c>
      <c r="I39" s="6">
        <f t="shared" si="4"/>
        <v>18</v>
      </c>
      <c r="J39" s="6">
        <v>5</v>
      </c>
      <c r="K39" s="6">
        <f t="shared" si="5"/>
        <v>49</v>
      </c>
      <c r="L39" s="6">
        <f t="shared" si="2"/>
        <v>1</v>
      </c>
      <c r="M39" s="6" t="str">
        <f t="shared" si="3"/>
        <v>PASS</v>
      </c>
    </row>
    <row r="40" spans="3:14" x14ac:dyDescent="0.35">
      <c r="C40" s="6">
        <v>26</v>
      </c>
      <c r="D40" s="6" t="s">
        <v>249</v>
      </c>
      <c r="E40" s="6">
        <v>18</v>
      </c>
      <c r="F40" s="6">
        <v>13</v>
      </c>
      <c r="G40" s="6">
        <v>0</v>
      </c>
      <c r="H40" s="6">
        <v>20</v>
      </c>
      <c r="I40" s="6">
        <f t="shared" si="4"/>
        <v>20</v>
      </c>
      <c r="J40" s="6">
        <v>27</v>
      </c>
      <c r="K40" s="6">
        <f t="shared" si="5"/>
        <v>78</v>
      </c>
      <c r="L40" s="6">
        <f t="shared" si="2"/>
        <v>2</v>
      </c>
      <c r="M40" s="6" t="str">
        <f t="shared" si="3"/>
        <v>PASS</v>
      </c>
    </row>
    <row r="41" spans="3:14" x14ac:dyDescent="0.35">
      <c r="C41" s="6">
        <v>27</v>
      </c>
      <c r="D41" s="6" t="s">
        <v>254</v>
      </c>
      <c r="E41" s="6">
        <v>19</v>
      </c>
      <c r="F41" s="6">
        <v>9</v>
      </c>
      <c r="G41" s="6">
        <v>4</v>
      </c>
      <c r="H41" s="6">
        <v>9</v>
      </c>
      <c r="I41" s="6">
        <f t="shared" si="4"/>
        <v>13</v>
      </c>
      <c r="J41" s="6">
        <v>5</v>
      </c>
      <c r="K41" s="6">
        <f t="shared" si="5"/>
        <v>46</v>
      </c>
      <c r="L41" s="6">
        <f t="shared" si="2"/>
        <v>1</v>
      </c>
      <c r="M41" s="6" t="str">
        <f t="shared" si="3"/>
        <v>PASS</v>
      </c>
    </row>
    <row r="42" spans="3:14" x14ac:dyDescent="0.35">
      <c r="C42" s="6">
        <v>28</v>
      </c>
      <c r="D42" s="6" t="s">
        <v>570</v>
      </c>
      <c r="E42" s="6">
        <v>17</v>
      </c>
      <c r="F42" s="6">
        <v>0</v>
      </c>
      <c r="G42" s="6">
        <v>9</v>
      </c>
      <c r="H42" s="6">
        <v>1</v>
      </c>
      <c r="I42" s="6">
        <f t="shared" si="4"/>
        <v>10</v>
      </c>
      <c r="J42" s="6">
        <v>30</v>
      </c>
      <c r="K42" s="6">
        <f t="shared" si="5"/>
        <v>57</v>
      </c>
      <c r="L42" s="6">
        <f t="shared" si="2"/>
        <v>2</v>
      </c>
      <c r="M42" s="6" t="str">
        <f t="shared" si="3"/>
        <v>PASS</v>
      </c>
    </row>
    <row r="43" spans="3:14" x14ac:dyDescent="0.35">
      <c r="C43" s="6">
        <v>29</v>
      </c>
      <c r="D43" s="6" t="s">
        <v>263</v>
      </c>
      <c r="E43" s="6">
        <v>18</v>
      </c>
      <c r="F43" s="6">
        <v>13</v>
      </c>
      <c r="G43" s="6">
        <v>8</v>
      </c>
      <c r="H43" s="6">
        <v>0</v>
      </c>
      <c r="I43" s="6">
        <f t="shared" si="4"/>
        <v>8</v>
      </c>
      <c r="J43" s="6">
        <v>10</v>
      </c>
      <c r="K43" s="6">
        <f t="shared" si="5"/>
        <v>49</v>
      </c>
      <c r="L43" s="6">
        <f t="shared" si="2"/>
        <v>1</v>
      </c>
      <c r="M43" s="6" t="str">
        <f t="shared" si="3"/>
        <v>PASS</v>
      </c>
    </row>
    <row r="44" spans="3:14" x14ac:dyDescent="0.35">
      <c r="C44" s="6">
        <v>30</v>
      </c>
      <c r="D44" s="6" t="s">
        <v>571</v>
      </c>
      <c r="E44" s="6">
        <v>5</v>
      </c>
      <c r="F44" s="6">
        <v>16</v>
      </c>
      <c r="G44" s="6">
        <v>8</v>
      </c>
      <c r="H44" s="6">
        <v>14</v>
      </c>
      <c r="I44" s="6">
        <f t="shared" si="4"/>
        <v>22</v>
      </c>
      <c r="J44" s="6">
        <v>28</v>
      </c>
      <c r="K44" s="6">
        <f t="shared" si="5"/>
        <v>71</v>
      </c>
      <c r="L44" s="6">
        <f t="shared" si="2"/>
        <v>2</v>
      </c>
      <c r="M44" s="6" t="str">
        <f t="shared" si="3"/>
        <v>PASS</v>
      </c>
    </row>
    <row r="45" spans="3:14" x14ac:dyDescent="0.35">
      <c r="C45" s="6">
        <v>31</v>
      </c>
      <c r="D45" s="6" t="s">
        <v>269</v>
      </c>
      <c r="E45" s="6">
        <v>0</v>
      </c>
      <c r="F45" s="6">
        <v>16</v>
      </c>
      <c r="G45" s="6">
        <v>10</v>
      </c>
      <c r="H45" s="6">
        <v>1</v>
      </c>
      <c r="I45" s="6">
        <f t="shared" si="4"/>
        <v>11</v>
      </c>
      <c r="J45" s="6">
        <v>19</v>
      </c>
      <c r="K45" s="6">
        <f t="shared" si="5"/>
        <v>46</v>
      </c>
      <c r="L45" s="6">
        <f t="shared" si="2"/>
        <v>1</v>
      </c>
      <c r="M45" s="6" t="str">
        <f t="shared" si="3"/>
        <v>PASS</v>
      </c>
    </row>
    <row r="46" spans="3:14" x14ac:dyDescent="0.35">
      <c r="C46" s="6">
        <v>32</v>
      </c>
      <c r="D46" s="6" t="s">
        <v>572</v>
      </c>
      <c r="E46" s="6">
        <v>17</v>
      </c>
      <c r="F46" s="6">
        <v>5</v>
      </c>
      <c r="G46" s="6">
        <v>8</v>
      </c>
      <c r="H46" s="6">
        <v>9</v>
      </c>
      <c r="I46" s="6">
        <f t="shared" si="4"/>
        <v>17</v>
      </c>
      <c r="J46" s="6">
        <v>16</v>
      </c>
      <c r="K46" s="6">
        <f t="shared" si="5"/>
        <v>55</v>
      </c>
      <c r="L46" s="6">
        <f t="shared" si="2"/>
        <v>2</v>
      </c>
      <c r="M46" s="6" t="str">
        <f t="shared" si="3"/>
        <v>PASS</v>
      </c>
    </row>
    <row r="47" spans="3:14" x14ac:dyDescent="0.35">
      <c r="C47" s="6">
        <v>33</v>
      </c>
      <c r="D47" s="6" t="s">
        <v>573</v>
      </c>
      <c r="E47" s="6">
        <v>18</v>
      </c>
      <c r="F47" s="6">
        <v>1</v>
      </c>
      <c r="G47" s="6">
        <v>7</v>
      </c>
      <c r="H47" s="6">
        <v>3</v>
      </c>
      <c r="I47" s="6">
        <f t="shared" si="4"/>
        <v>10</v>
      </c>
      <c r="J47" s="6">
        <v>5</v>
      </c>
      <c r="K47" s="6">
        <f t="shared" si="5"/>
        <v>34</v>
      </c>
      <c r="L47" s="6">
        <f t="shared" si="2"/>
        <v>0</v>
      </c>
      <c r="M47" s="6" t="str">
        <f t="shared" si="3"/>
        <v>FAIL</v>
      </c>
    </row>
    <row r="48" spans="3:14" x14ac:dyDescent="0.35">
      <c r="C48" s="6">
        <v>34</v>
      </c>
      <c r="D48" s="6" t="s">
        <v>278</v>
      </c>
      <c r="E48" s="6">
        <v>9</v>
      </c>
      <c r="F48" s="6">
        <v>14</v>
      </c>
      <c r="G48" s="6">
        <v>4</v>
      </c>
      <c r="H48" s="6">
        <v>8</v>
      </c>
      <c r="I48" s="6">
        <f t="shared" si="4"/>
        <v>12</v>
      </c>
      <c r="J48" s="6">
        <v>10</v>
      </c>
      <c r="K48" s="6">
        <f t="shared" si="5"/>
        <v>45</v>
      </c>
      <c r="L48" s="6">
        <f t="shared" si="2"/>
        <v>1</v>
      </c>
      <c r="M48" s="6" t="str">
        <f t="shared" si="3"/>
        <v>PASS</v>
      </c>
    </row>
    <row r="49" spans="3:13" x14ac:dyDescent="0.35">
      <c r="C49" s="6">
        <v>35</v>
      </c>
      <c r="D49" s="6" t="s">
        <v>283</v>
      </c>
      <c r="E49" s="6">
        <v>8</v>
      </c>
      <c r="F49" s="6">
        <v>2</v>
      </c>
      <c r="G49" s="6">
        <v>0</v>
      </c>
      <c r="H49" s="6">
        <v>5</v>
      </c>
      <c r="I49" s="6">
        <f t="shared" si="4"/>
        <v>5</v>
      </c>
      <c r="J49" s="6">
        <v>5</v>
      </c>
      <c r="K49" s="6">
        <f t="shared" si="5"/>
        <v>20</v>
      </c>
      <c r="L49" s="6">
        <f t="shared" si="2"/>
        <v>0</v>
      </c>
      <c r="M49" s="6" t="str">
        <f t="shared" si="3"/>
        <v>FAIL</v>
      </c>
    </row>
    <row r="50" spans="3:13" x14ac:dyDescent="0.35">
      <c r="C50" s="6">
        <v>36</v>
      </c>
      <c r="D50" s="6" t="s">
        <v>574</v>
      </c>
      <c r="E50" s="6">
        <v>14</v>
      </c>
      <c r="F50" s="6">
        <v>12</v>
      </c>
      <c r="G50" s="6">
        <v>5</v>
      </c>
      <c r="H50" s="6">
        <v>16</v>
      </c>
      <c r="I50" s="6">
        <f t="shared" si="4"/>
        <v>21</v>
      </c>
      <c r="J50" s="6">
        <v>1</v>
      </c>
      <c r="K50" s="6">
        <f t="shared" si="5"/>
        <v>48</v>
      </c>
      <c r="L50" s="6">
        <f t="shared" si="2"/>
        <v>1</v>
      </c>
      <c r="M50" s="6" t="str">
        <f t="shared" si="3"/>
        <v>PASS</v>
      </c>
    </row>
    <row r="51" spans="3:13" x14ac:dyDescent="0.35">
      <c r="C51" s="6">
        <v>37</v>
      </c>
      <c r="D51" s="6" t="s">
        <v>288</v>
      </c>
      <c r="E51" s="6">
        <v>0</v>
      </c>
      <c r="F51" s="6">
        <v>13</v>
      </c>
      <c r="G51" s="6">
        <v>2</v>
      </c>
      <c r="H51" s="6">
        <v>8</v>
      </c>
      <c r="I51" s="6">
        <f t="shared" si="4"/>
        <v>10</v>
      </c>
      <c r="J51" s="6">
        <v>23</v>
      </c>
      <c r="K51" s="6">
        <f t="shared" si="5"/>
        <v>46</v>
      </c>
      <c r="L51" s="6">
        <f t="shared" si="2"/>
        <v>1</v>
      </c>
      <c r="M51" s="6" t="str">
        <f t="shared" si="3"/>
        <v>PASS</v>
      </c>
    </row>
    <row r="52" spans="3:13" x14ac:dyDescent="0.35">
      <c r="C52" s="6">
        <v>38</v>
      </c>
      <c r="D52" s="6" t="s">
        <v>293</v>
      </c>
      <c r="E52" s="6">
        <v>17</v>
      </c>
      <c r="F52" s="6">
        <v>9</v>
      </c>
      <c r="G52" s="6">
        <v>2</v>
      </c>
      <c r="H52" s="6">
        <v>5</v>
      </c>
      <c r="I52" s="6">
        <f t="shared" si="4"/>
        <v>7</v>
      </c>
      <c r="J52" s="6">
        <v>30</v>
      </c>
      <c r="K52" s="6">
        <f t="shared" si="5"/>
        <v>63</v>
      </c>
      <c r="L52" s="6">
        <f t="shared" si="2"/>
        <v>2</v>
      </c>
      <c r="M52" s="6" t="str">
        <f t="shared" si="3"/>
        <v>PASS</v>
      </c>
    </row>
    <row r="53" spans="3:13" x14ac:dyDescent="0.35">
      <c r="C53" s="6">
        <v>39</v>
      </c>
      <c r="D53" s="6" t="s">
        <v>575</v>
      </c>
      <c r="E53" s="6">
        <v>18</v>
      </c>
      <c r="F53" s="6">
        <v>0</v>
      </c>
      <c r="G53" s="6">
        <v>3</v>
      </c>
      <c r="H53" s="6">
        <v>1</v>
      </c>
      <c r="I53" s="6">
        <f t="shared" si="4"/>
        <v>4</v>
      </c>
      <c r="J53" s="6">
        <v>21</v>
      </c>
      <c r="K53" s="6">
        <f t="shared" si="5"/>
        <v>43</v>
      </c>
      <c r="L53" s="6">
        <f t="shared" si="2"/>
        <v>1</v>
      </c>
      <c r="M53" s="6" t="str">
        <f t="shared" si="3"/>
        <v>PASS</v>
      </c>
    </row>
    <row r="54" spans="3:13" x14ac:dyDescent="0.35">
      <c r="C54" s="6">
        <v>40</v>
      </c>
      <c r="D54" s="6" t="s">
        <v>298</v>
      </c>
      <c r="E54" s="6">
        <v>10</v>
      </c>
      <c r="F54" s="6">
        <v>5</v>
      </c>
      <c r="G54" s="6">
        <v>10</v>
      </c>
      <c r="H54" s="6">
        <v>8</v>
      </c>
      <c r="I54" s="6">
        <f t="shared" si="4"/>
        <v>18</v>
      </c>
      <c r="J54" s="6">
        <v>18</v>
      </c>
      <c r="K54" s="6">
        <f t="shared" si="5"/>
        <v>51</v>
      </c>
      <c r="L54" s="6">
        <f t="shared" si="2"/>
        <v>2</v>
      </c>
      <c r="M54" s="6" t="str">
        <f t="shared" si="3"/>
        <v>PASS</v>
      </c>
    </row>
    <row r="55" spans="3:13" x14ac:dyDescent="0.35">
      <c r="C55" s="6">
        <v>41</v>
      </c>
      <c r="D55" s="6" t="s">
        <v>576</v>
      </c>
      <c r="E55" s="6">
        <v>1</v>
      </c>
      <c r="F55" s="6">
        <v>16</v>
      </c>
      <c r="G55" s="6">
        <v>8</v>
      </c>
      <c r="H55" s="6">
        <v>19</v>
      </c>
      <c r="I55" s="6">
        <f t="shared" si="4"/>
        <v>27</v>
      </c>
      <c r="J55" s="6">
        <v>12</v>
      </c>
      <c r="K55" s="6">
        <f t="shared" si="5"/>
        <v>56</v>
      </c>
      <c r="L55" s="6">
        <f t="shared" si="2"/>
        <v>2</v>
      </c>
      <c r="M55" s="6" t="str">
        <f t="shared" si="3"/>
        <v>PASS</v>
      </c>
    </row>
    <row r="56" spans="3:13" x14ac:dyDescent="0.35">
      <c r="C56" s="6">
        <v>42</v>
      </c>
      <c r="D56" s="6" t="s">
        <v>577</v>
      </c>
      <c r="E56" s="6">
        <v>16</v>
      </c>
      <c r="F56" s="6">
        <v>0</v>
      </c>
      <c r="G56" s="6">
        <v>7</v>
      </c>
      <c r="H56" s="6">
        <v>7</v>
      </c>
      <c r="I56" s="6">
        <f t="shared" si="4"/>
        <v>14</v>
      </c>
      <c r="J56" s="6">
        <v>12</v>
      </c>
      <c r="K56" s="6">
        <f t="shared" si="5"/>
        <v>42</v>
      </c>
      <c r="L56" s="6">
        <f t="shared" si="2"/>
        <v>1</v>
      </c>
      <c r="M56" s="6" t="str">
        <f t="shared" si="3"/>
        <v>PASS</v>
      </c>
    </row>
    <row r="57" spans="3:13" x14ac:dyDescent="0.35">
      <c r="C57" s="6">
        <v>43</v>
      </c>
      <c r="D57" s="6" t="s">
        <v>307</v>
      </c>
      <c r="E57" s="6">
        <v>13</v>
      </c>
      <c r="F57" s="6">
        <v>8</v>
      </c>
      <c r="G57" s="6">
        <v>2</v>
      </c>
      <c r="H57" s="6">
        <v>1</v>
      </c>
      <c r="I57" s="6">
        <f t="shared" si="4"/>
        <v>3</v>
      </c>
      <c r="J57" s="6">
        <v>29</v>
      </c>
      <c r="K57" s="6">
        <f t="shared" si="5"/>
        <v>53</v>
      </c>
      <c r="L57" s="6">
        <f t="shared" si="2"/>
        <v>2</v>
      </c>
      <c r="M57" s="6" t="str">
        <f t="shared" si="3"/>
        <v>PASS</v>
      </c>
    </row>
    <row r="58" spans="3:13" x14ac:dyDescent="0.35">
      <c r="C58" s="6">
        <v>44</v>
      </c>
      <c r="D58" s="6" t="s">
        <v>312</v>
      </c>
      <c r="E58" s="6">
        <v>1</v>
      </c>
      <c r="F58" s="6">
        <v>2</v>
      </c>
      <c r="G58" s="6">
        <v>5</v>
      </c>
      <c r="H58" s="6">
        <v>7</v>
      </c>
      <c r="I58" s="6">
        <f t="shared" si="4"/>
        <v>12</v>
      </c>
      <c r="J58" s="6">
        <v>30</v>
      </c>
      <c r="K58" s="6">
        <f t="shared" si="5"/>
        <v>45</v>
      </c>
      <c r="L58" s="6">
        <f t="shared" si="2"/>
        <v>1</v>
      </c>
      <c r="M58" s="6" t="str">
        <f t="shared" si="3"/>
        <v>PASS</v>
      </c>
    </row>
    <row r="59" spans="3:13" x14ac:dyDescent="0.35">
      <c r="C59" s="6">
        <v>45</v>
      </c>
      <c r="D59" s="6" t="s">
        <v>578</v>
      </c>
      <c r="E59" s="6">
        <v>16</v>
      </c>
      <c r="F59" s="6">
        <v>14</v>
      </c>
      <c r="G59" s="6">
        <v>3</v>
      </c>
      <c r="H59" s="6">
        <v>4</v>
      </c>
      <c r="I59" s="6">
        <f t="shared" si="4"/>
        <v>7</v>
      </c>
      <c r="J59" s="6">
        <v>1</v>
      </c>
      <c r="K59" s="6">
        <f t="shared" si="5"/>
        <v>38</v>
      </c>
      <c r="L59" s="6">
        <f t="shared" si="2"/>
        <v>1</v>
      </c>
      <c r="M59" s="6" t="str">
        <f t="shared" si="3"/>
        <v>PASS</v>
      </c>
    </row>
    <row r="60" spans="3:13" x14ac:dyDescent="0.35">
      <c r="C60" s="6">
        <v>46</v>
      </c>
      <c r="D60" s="6" t="s">
        <v>314</v>
      </c>
      <c r="E60" s="6">
        <v>11</v>
      </c>
      <c r="F60" s="6">
        <v>18</v>
      </c>
      <c r="G60" s="6">
        <v>6</v>
      </c>
      <c r="H60" s="6">
        <v>10</v>
      </c>
      <c r="I60" s="6">
        <f t="shared" si="4"/>
        <v>16</v>
      </c>
      <c r="J60" s="6">
        <v>3</v>
      </c>
      <c r="K60" s="6">
        <f t="shared" si="5"/>
        <v>48</v>
      </c>
      <c r="L60" s="6">
        <f t="shared" si="2"/>
        <v>1</v>
      </c>
      <c r="M60" s="6" t="str">
        <f t="shared" si="3"/>
        <v>PASS</v>
      </c>
    </row>
    <row r="61" spans="3:13" x14ac:dyDescent="0.35">
      <c r="C61" s="6">
        <v>47</v>
      </c>
      <c r="D61" s="6" t="s">
        <v>579</v>
      </c>
      <c r="E61" s="6">
        <v>18</v>
      </c>
      <c r="F61" s="6">
        <v>20</v>
      </c>
      <c r="G61" s="6">
        <v>8</v>
      </c>
      <c r="H61" s="6">
        <v>3</v>
      </c>
      <c r="I61" s="6">
        <f t="shared" si="4"/>
        <v>11</v>
      </c>
      <c r="J61" s="6">
        <v>2</v>
      </c>
      <c r="K61" s="6">
        <f t="shared" si="5"/>
        <v>51</v>
      </c>
      <c r="L61" s="6">
        <f t="shared" si="2"/>
        <v>2</v>
      </c>
      <c r="M61" s="6" t="str">
        <f t="shared" si="3"/>
        <v>PASS</v>
      </c>
    </row>
    <row r="62" spans="3:13" x14ac:dyDescent="0.35">
      <c r="C62" s="6">
        <v>48</v>
      </c>
      <c r="D62" s="6" t="s">
        <v>323</v>
      </c>
      <c r="E62" s="6">
        <v>19</v>
      </c>
      <c r="F62" s="6">
        <v>6</v>
      </c>
      <c r="G62" s="6">
        <v>8</v>
      </c>
      <c r="H62" s="6">
        <v>6</v>
      </c>
      <c r="I62" s="6">
        <f t="shared" si="4"/>
        <v>14</v>
      </c>
      <c r="J62" s="6">
        <v>14</v>
      </c>
      <c r="K62" s="6">
        <f t="shared" si="5"/>
        <v>53</v>
      </c>
      <c r="L62" s="6">
        <f t="shared" si="2"/>
        <v>2</v>
      </c>
      <c r="M62" s="6" t="str">
        <f t="shared" si="3"/>
        <v>PASS</v>
      </c>
    </row>
    <row r="63" spans="3:13" x14ac:dyDescent="0.35">
      <c r="C63" s="6">
        <v>49</v>
      </c>
      <c r="D63" s="6" t="s">
        <v>580</v>
      </c>
      <c r="E63" s="6">
        <v>8</v>
      </c>
      <c r="F63" s="6">
        <v>4</v>
      </c>
      <c r="G63" s="6">
        <v>2</v>
      </c>
      <c r="H63" s="6">
        <v>10</v>
      </c>
      <c r="I63" s="6">
        <f t="shared" si="4"/>
        <v>12</v>
      </c>
      <c r="J63" s="6">
        <v>0</v>
      </c>
      <c r="K63" s="6">
        <f t="shared" si="5"/>
        <v>24</v>
      </c>
      <c r="L63" s="6">
        <f t="shared" si="2"/>
        <v>0</v>
      </c>
      <c r="M63" s="6" t="str">
        <f t="shared" si="3"/>
        <v>FAIL</v>
      </c>
    </row>
    <row r="64" spans="3:13" x14ac:dyDescent="0.35">
      <c r="C64" s="6">
        <v>50</v>
      </c>
      <c r="D64" s="6" t="s">
        <v>581</v>
      </c>
      <c r="E64" s="6">
        <v>15</v>
      </c>
      <c r="F64" s="6">
        <v>17</v>
      </c>
      <c r="G64" s="6">
        <v>7</v>
      </c>
      <c r="H64" s="6">
        <v>16</v>
      </c>
      <c r="I64" s="6">
        <f t="shared" si="4"/>
        <v>23</v>
      </c>
      <c r="J64" s="6">
        <v>9</v>
      </c>
      <c r="K64" s="6">
        <f t="shared" si="5"/>
        <v>64</v>
      </c>
      <c r="L64" s="6">
        <f t="shared" si="2"/>
        <v>2</v>
      </c>
      <c r="M64" s="6" t="str">
        <f t="shared" si="3"/>
        <v>PASS</v>
      </c>
    </row>
    <row r="65" spans="3:13" x14ac:dyDescent="0.35">
      <c r="C65" s="6">
        <v>51</v>
      </c>
      <c r="D65" s="6" t="s">
        <v>332</v>
      </c>
      <c r="E65" s="6">
        <v>2</v>
      </c>
      <c r="F65" s="6">
        <v>9</v>
      </c>
      <c r="G65" s="6">
        <v>4</v>
      </c>
      <c r="H65" s="6">
        <v>17</v>
      </c>
      <c r="I65" s="6">
        <f t="shared" si="4"/>
        <v>21</v>
      </c>
      <c r="J65" s="6">
        <v>15</v>
      </c>
      <c r="K65" s="6">
        <f t="shared" si="5"/>
        <v>47</v>
      </c>
      <c r="L65" s="6">
        <f t="shared" si="2"/>
        <v>1</v>
      </c>
      <c r="M65" s="6" t="str">
        <f t="shared" si="3"/>
        <v>PASS</v>
      </c>
    </row>
    <row r="66" spans="3:13" x14ac:dyDescent="0.35">
      <c r="C66" s="6">
        <v>52</v>
      </c>
      <c r="D66" s="6" t="s">
        <v>582</v>
      </c>
      <c r="E66" s="6">
        <v>14</v>
      </c>
      <c r="F66" s="6">
        <v>13</v>
      </c>
      <c r="G66" s="6">
        <v>6</v>
      </c>
      <c r="H66" s="6">
        <v>8</v>
      </c>
      <c r="I66" s="6">
        <f t="shared" si="4"/>
        <v>14</v>
      </c>
      <c r="J66" s="6">
        <v>14</v>
      </c>
      <c r="K66" s="6">
        <f t="shared" si="5"/>
        <v>55</v>
      </c>
      <c r="L66" s="6">
        <f t="shared" si="2"/>
        <v>2</v>
      </c>
      <c r="M66" s="6" t="str">
        <f t="shared" si="3"/>
        <v>PASS</v>
      </c>
    </row>
    <row r="67" spans="3:13" x14ac:dyDescent="0.35">
      <c r="C67" s="6">
        <v>53</v>
      </c>
      <c r="D67" s="6" t="s">
        <v>341</v>
      </c>
      <c r="E67" s="6">
        <v>7</v>
      </c>
      <c r="F67" s="6">
        <v>11</v>
      </c>
      <c r="G67" s="6">
        <v>10</v>
      </c>
      <c r="H67" s="6">
        <v>9</v>
      </c>
      <c r="I67" s="6">
        <f t="shared" si="4"/>
        <v>19</v>
      </c>
      <c r="J67" s="6">
        <v>29</v>
      </c>
      <c r="K67" s="6">
        <f t="shared" si="5"/>
        <v>66</v>
      </c>
      <c r="L67" s="6">
        <f t="shared" si="2"/>
        <v>2</v>
      </c>
      <c r="M67" s="6" t="str">
        <f t="shared" si="3"/>
        <v>PASS</v>
      </c>
    </row>
    <row r="68" spans="3:13" x14ac:dyDescent="0.35">
      <c r="C68" s="6">
        <v>54</v>
      </c>
      <c r="D68" s="6" t="s">
        <v>346</v>
      </c>
      <c r="E68" s="6">
        <v>14</v>
      </c>
      <c r="F68" s="6">
        <v>3</v>
      </c>
      <c r="G68" s="6">
        <v>9</v>
      </c>
      <c r="H68" s="6">
        <v>1</v>
      </c>
      <c r="I68" s="6">
        <f t="shared" si="4"/>
        <v>10</v>
      </c>
      <c r="J68" s="6">
        <v>18</v>
      </c>
      <c r="K68" s="6">
        <f t="shared" si="5"/>
        <v>45</v>
      </c>
      <c r="L68" s="6">
        <f t="shared" si="2"/>
        <v>1</v>
      </c>
      <c r="M68" s="6" t="str">
        <f t="shared" si="3"/>
        <v>PASS</v>
      </c>
    </row>
    <row r="69" spans="3:13" x14ac:dyDescent="0.35">
      <c r="C69" s="6">
        <v>55</v>
      </c>
      <c r="D69" s="6" t="s">
        <v>583</v>
      </c>
      <c r="E69" s="6">
        <v>7</v>
      </c>
      <c r="F69" s="6">
        <v>20</v>
      </c>
      <c r="G69" s="6">
        <v>3</v>
      </c>
      <c r="H69" s="6">
        <v>5</v>
      </c>
      <c r="I69" s="6">
        <f t="shared" si="4"/>
        <v>8</v>
      </c>
      <c r="J69" s="6">
        <v>2</v>
      </c>
      <c r="K69" s="6">
        <f t="shared" si="5"/>
        <v>37</v>
      </c>
      <c r="L69" s="6">
        <f t="shared" si="2"/>
        <v>1</v>
      </c>
      <c r="M69" s="6" t="str">
        <f t="shared" si="3"/>
        <v>PASS</v>
      </c>
    </row>
    <row r="70" spans="3:13" x14ac:dyDescent="0.35">
      <c r="C70" s="6">
        <v>56</v>
      </c>
      <c r="D70" s="6" t="s">
        <v>355</v>
      </c>
      <c r="E70" s="6">
        <v>1</v>
      </c>
      <c r="F70" s="6">
        <v>6</v>
      </c>
      <c r="G70" s="6">
        <v>3</v>
      </c>
      <c r="H70" s="6">
        <v>5</v>
      </c>
      <c r="I70" s="6">
        <f t="shared" si="4"/>
        <v>8</v>
      </c>
      <c r="J70" s="6">
        <v>12</v>
      </c>
      <c r="K70" s="6">
        <f t="shared" si="5"/>
        <v>27</v>
      </c>
      <c r="L70" s="6">
        <f t="shared" si="2"/>
        <v>0</v>
      </c>
      <c r="M70" s="6" t="str">
        <f t="shared" si="3"/>
        <v>FAIL</v>
      </c>
    </row>
    <row r="71" spans="3:13" x14ac:dyDescent="0.35">
      <c r="C71" s="6">
        <v>57</v>
      </c>
      <c r="D71" s="6" t="s">
        <v>584</v>
      </c>
      <c r="E71" s="6">
        <v>4</v>
      </c>
      <c r="F71" s="6">
        <v>15</v>
      </c>
      <c r="G71" s="6">
        <v>10</v>
      </c>
      <c r="H71" s="6">
        <v>13</v>
      </c>
      <c r="I71" s="6">
        <f t="shared" si="4"/>
        <v>23</v>
      </c>
      <c r="J71" s="6">
        <v>1</v>
      </c>
      <c r="K71" s="6">
        <f t="shared" si="5"/>
        <v>43</v>
      </c>
      <c r="L71" s="6">
        <f t="shared" si="2"/>
        <v>1</v>
      </c>
      <c r="M71" s="6" t="str">
        <f t="shared" si="3"/>
        <v>PASS</v>
      </c>
    </row>
    <row r="72" spans="3:13" x14ac:dyDescent="0.35">
      <c r="C72" s="6">
        <v>58</v>
      </c>
      <c r="D72" s="6" t="s">
        <v>364</v>
      </c>
      <c r="E72" s="6">
        <v>7</v>
      </c>
      <c r="F72" s="6">
        <v>12</v>
      </c>
      <c r="G72" s="6">
        <v>7</v>
      </c>
      <c r="H72" s="6">
        <v>9</v>
      </c>
      <c r="I72" s="6">
        <f t="shared" si="4"/>
        <v>16</v>
      </c>
      <c r="J72" s="6">
        <v>18</v>
      </c>
      <c r="K72" s="6">
        <f t="shared" si="5"/>
        <v>53</v>
      </c>
      <c r="L72" s="6">
        <f t="shared" si="2"/>
        <v>2</v>
      </c>
      <c r="M72" s="6" t="str">
        <f t="shared" si="3"/>
        <v>PASS</v>
      </c>
    </row>
    <row r="73" spans="3:13" x14ac:dyDescent="0.35">
      <c r="C73" s="6">
        <v>59</v>
      </c>
      <c r="D73" s="6" t="s">
        <v>369</v>
      </c>
      <c r="E73" s="6">
        <v>4</v>
      </c>
      <c r="F73" s="6">
        <v>7</v>
      </c>
      <c r="G73" s="6">
        <v>5</v>
      </c>
      <c r="H73" s="6">
        <v>8</v>
      </c>
      <c r="I73" s="6">
        <f t="shared" si="4"/>
        <v>13</v>
      </c>
      <c r="J73" s="6">
        <v>28</v>
      </c>
      <c r="K73" s="6">
        <f t="shared" si="5"/>
        <v>52</v>
      </c>
      <c r="L73" s="6">
        <f t="shared" si="2"/>
        <v>2</v>
      </c>
      <c r="M73" s="6" t="str">
        <f t="shared" si="3"/>
        <v>PASS</v>
      </c>
    </row>
    <row r="74" spans="3:13" x14ac:dyDescent="0.35">
      <c r="C74" s="6">
        <v>60</v>
      </c>
      <c r="D74" s="6" t="s">
        <v>585</v>
      </c>
      <c r="E74" s="6">
        <v>3</v>
      </c>
      <c r="F74" s="6">
        <v>10</v>
      </c>
      <c r="G74" s="6">
        <v>10</v>
      </c>
      <c r="H74" s="6">
        <v>3</v>
      </c>
      <c r="I74" s="6">
        <f t="shared" si="4"/>
        <v>13</v>
      </c>
      <c r="J74" s="6">
        <v>27</v>
      </c>
      <c r="K74" s="6">
        <f t="shared" si="5"/>
        <v>53</v>
      </c>
      <c r="L74" s="6">
        <f t="shared" si="2"/>
        <v>2</v>
      </c>
      <c r="M74" s="6" t="str">
        <f t="shared" si="3"/>
        <v>PASS</v>
      </c>
    </row>
    <row r="75" spans="3:13" x14ac:dyDescent="0.35">
      <c r="C75" s="6">
        <v>61</v>
      </c>
      <c r="D75" s="6" t="s">
        <v>378</v>
      </c>
      <c r="E75" s="6">
        <v>16</v>
      </c>
      <c r="F75" s="6">
        <v>8</v>
      </c>
      <c r="G75" s="6">
        <v>5</v>
      </c>
      <c r="H75" s="6">
        <v>13</v>
      </c>
      <c r="I75" s="6">
        <f t="shared" si="4"/>
        <v>18</v>
      </c>
      <c r="J75" s="6">
        <v>22</v>
      </c>
      <c r="K75" s="6">
        <f t="shared" si="5"/>
        <v>64</v>
      </c>
      <c r="L75" s="6">
        <f t="shared" si="2"/>
        <v>2</v>
      </c>
      <c r="M75" s="6" t="str">
        <f t="shared" si="3"/>
        <v>PASS</v>
      </c>
    </row>
    <row r="76" spans="3:13" x14ac:dyDescent="0.35">
      <c r="C76" s="6">
        <v>62</v>
      </c>
      <c r="D76" s="6" t="s">
        <v>383</v>
      </c>
      <c r="E76" s="6">
        <v>1</v>
      </c>
      <c r="F76" s="6">
        <v>9</v>
      </c>
      <c r="G76" s="6">
        <v>2</v>
      </c>
      <c r="H76" s="6">
        <v>14</v>
      </c>
      <c r="I76" s="6">
        <f t="shared" si="4"/>
        <v>16</v>
      </c>
      <c r="J76" s="6">
        <v>9</v>
      </c>
      <c r="K76" s="6">
        <f t="shared" si="5"/>
        <v>35</v>
      </c>
      <c r="L76" s="6">
        <f t="shared" si="2"/>
        <v>0</v>
      </c>
      <c r="M76" s="6" t="str">
        <f t="shared" si="3"/>
        <v>PASS</v>
      </c>
    </row>
    <row r="77" spans="3:13" x14ac:dyDescent="0.35">
      <c r="C77" s="6">
        <v>63</v>
      </c>
      <c r="D77" s="6" t="s">
        <v>388</v>
      </c>
      <c r="E77" s="6">
        <v>13</v>
      </c>
      <c r="F77" s="6">
        <v>9</v>
      </c>
      <c r="G77" s="6">
        <v>5</v>
      </c>
      <c r="H77" s="6">
        <v>14</v>
      </c>
      <c r="I77" s="6">
        <f t="shared" si="4"/>
        <v>19</v>
      </c>
      <c r="J77" s="6">
        <v>3</v>
      </c>
      <c r="K77" s="6">
        <f t="shared" si="5"/>
        <v>44</v>
      </c>
      <c r="L77" s="6">
        <f t="shared" si="2"/>
        <v>1</v>
      </c>
      <c r="M77" s="6" t="str">
        <f t="shared" si="3"/>
        <v>PASS</v>
      </c>
    </row>
    <row r="78" spans="3:13" x14ac:dyDescent="0.35">
      <c r="C78" s="6">
        <v>64</v>
      </c>
      <c r="D78" s="6" t="s">
        <v>586</v>
      </c>
      <c r="E78" s="6">
        <v>11</v>
      </c>
      <c r="F78" s="6">
        <v>7</v>
      </c>
      <c r="G78" s="6">
        <v>3</v>
      </c>
      <c r="H78" s="6">
        <v>0</v>
      </c>
      <c r="I78" s="6">
        <f t="shared" si="4"/>
        <v>3</v>
      </c>
      <c r="J78" s="6">
        <v>24</v>
      </c>
      <c r="K78" s="6">
        <f t="shared" si="5"/>
        <v>45</v>
      </c>
      <c r="L78" s="6">
        <f t="shared" si="2"/>
        <v>1</v>
      </c>
      <c r="M78" s="6" t="str">
        <f t="shared" si="3"/>
        <v>PASS</v>
      </c>
    </row>
    <row r="79" spans="3:13" x14ac:dyDescent="0.35">
      <c r="C79" s="6">
        <v>65</v>
      </c>
      <c r="D79" s="6" t="s">
        <v>587</v>
      </c>
      <c r="E79" s="6">
        <v>16</v>
      </c>
      <c r="F79" s="6">
        <v>6</v>
      </c>
      <c r="G79" s="6">
        <v>7</v>
      </c>
      <c r="H79" s="6">
        <v>6</v>
      </c>
      <c r="I79" s="6">
        <f t="shared" si="4"/>
        <v>13</v>
      </c>
      <c r="J79" s="6">
        <v>20</v>
      </c>
      <c r="K79" s="6">
        <f t="shared" si="5"/>
        <v>55</v>
      </c>
      <c r="L79" s="6">
        <f t="shared" si="2"/>
        <v>2</v>
      </c>
      <c r="M79" s="6" t="str">
        <f t="shared" si="3"/>
        <v>PASS</v>
      </c>
    </row>
    <row r="80" spans="3:13" x14ac:dyDescent="0.35">
      <c r="C80" s="6">
        <v>66</v>
      </c>
      <c r="D80" s="6" t="s">
        <v>588</v>
      </c>
      <c r="E80" s="6">
        <v>14</v>
      </c>
      <c r="F80" s="6">
        <v>9</v>
      </c>
      <c r="G80" s="6">
        <v>6</v>
      </c>
      <c r="H80" s="6">
        <v>0</v>
      </c>
      <c r="I80" s="6">
        <f t="shared" si="4"/>
        <v>6</v>
      </c>
      <c r="J80" s="6">
        <v>14</v>
      </c>
      <c r="K80" s="6">
        <f t="shared" si="5"/>
        <v>43</v>
      </c>
      <c r="L80" s="6">
        <f t="shared" ref="L80:L114" si="6">IF(K80&gt;50,2,IF(K80&gt;35,1,0))</f>
        <v>1</v>
      </c>
      <c r="M80" s="6" t="str">
        <f t="shared" ref="M80:M114" si="7">IF(K80&lt;35,"FAIL","PASS")</f>
        <v>PASS</v>
      </c>
    </row>
    <row r="81" spans="3:13" x14ac:dyDescent="0.35">
      <c r="C81" s="6">
        <v>67</v>
      </c>
      <c r="D81" s="6" t="s">
        <v>589</v>
      </c>
      <c r="E81" s="6">
        <v>10</v>
      </c>
      <c r="F81" s="6">
        <v>2</v>
      </c>
      <c r="G81" s="6">
        <v>3</v>
      </c>
      <c r="H81" s="6">
        <v>3</v>
      </c>
      <c r="I81" s="6">
        <f t="shared" si="4"/>
        <v>6</v>
      </c>
      <c r="J81" s="6">
        <v>30</v>
      </c>
      <c r="K81" s="6">
        <f t="shared" si="5"/>
        <v>48</v>
      </c>
      <c r="L81" s="6">
        <f t="shared" si="6"/>
        <v>1</v>
      </c>
      <c r="M81" s="6" t="str">
        <f t="shared" si="7"/>
        <v>PASS</v>
      </c>
    </row>
    <row r="82" spans="3:13" x14ac:dyDescent="0.35">
      <c r="C82" s="6">
        <v>68</v>
      </c>
      <c r="D82" s="6" t="s">
        <v>590</v>
      </c>
      <c r="E82" s="6">
        <v>7</v>
      </c>
      <c r="F82" s="6">
        <v>12</v>
      </c>
      <c r="G82" s="6">
        <v>5</v>
      </c>
      <c r="H82" s="6">
        <v>4</v>
      </c>
      <c r="I82" s="6">
        <f t="shared" si="4"/>
        <v>9</v>
      </c>
      <c r="J82" s="6">
        <v>8</v>
      </c>
      <c r="K82" s="6">
        <f t="shared" si="5"/>
        <v>36</v>
      </c>
      <c r="L82" s="6">
        <f t="shared" si="6"/>
        <v>1</v>
      </c>
      <c r="M82" s="6" t="str">
        <f t="shared" si="7"/>
        <v>PASS</v>
      </c>
    </row>
    <row r="83" spans="3:13" x14ac:dyDescent="0.35">
      <c r="C83" s="6">
        <v>69</v>
      </c>
      <c r="D83" s="6" t="s">
        <v>591</v>
      </c>
      <c r="E83" s="6">
        <v>3</v>
      </c>
      <c r="F83" s="6">
        <v>6</v>
      </c>
      <c r="G83" s="6">
        <v>5</v>
      </c>
      <c r="H83" s="6">
        <v>7</v>
      </c>
      <c r="I83" s="6">
        <f t="shared" si="4"/>
        <v>12</v>
      </c>
      <c r="J83" s="6">
        <v>14</v>
      </c>
      <c r="K83" s="6">
        <f t="shared" si="5"/>
        <v>35</v>
      </c>
      <c r="L83" s="6">
        <f t="shared" si="6"/>
        <v>0</v>
      </c>
      <c r="M83" s="6" t="str">
        <f t="shared" si="7"/>
        <v>PASS</v>
      </c>
    </row>
    <row r="84" spans="3:13" x14ac:dyDescent="0.35">
      <c r="C84" s="6">
        <v>70</v>
      </c>
      <c r="D84" s="6" t="s">
        <v>403</v>
      </c>
      <c r="E84" s="6">
        <v>13</v>
      </c>
      <c r="F84" s="6">
        <v>8</v>
      </c>
      <c r="G84" s="6">
        <v>8</v>
      </c>
      <c r="H84" s="6">
        <v>8</v>
      </c>
      <c r="I84" s="6">
        <f t="shared" si="4"/>
        <v>16</v>
      </c>
      <c r="J84" s="6">
        <v>5</v>
      </c>
      <c r="K84" s="6">
        <f t="shared" si="5"/>
        <v>42</v>
      </c>
      <c r="L84" s="6">
        <f t="shared" si="6"/>
        <v>1</v>
      </c>
      <c r="M84" s="6" t="str">
        <f t="shared" si="7"/>
        <v>PASS</v>
      </c>
    </row>
    <row r="85" spans="3:13" x14ac:dyDescent="0.35">
      <c r="C85" s="6">
        <v>71</v>
      </c>
      <c r="D85" s="6" t="s">
        <v>408</v>
      </c>
      <c r="E85" s="6">
        <v>4</v>
      </c>
      <c r="F85" s="6">
        <v>20</v>
      </c>
      <c r="G85" s="6">
        <v>3</v>
      </c>
      <c r="H85" s="6">
        <v>20</v>
      </c>
      <c r="I85" s="6">
        <f t="shared" si="4"/>
        <v>23</v>
      </c>
      <c r="J85" s="6">
        <v>0</v>
      </c>
      <c r="K85" s="6">
        <f t="shared" si="5"/>
        <v>47</v>
      </c>
      <c r="L85" s="6">
        <f t="shared" si="6"/>
        <v>1</v>
      </c>
      <c r="M85" s="6" t="str">
        <f t="shared" si="7"/>
        <v>PASS</v>
      </c>
    </row>
    <row r="86" spans="3:13" x14ac:dyDescent="0.35">
      <c r="C86" s="6">
        <v>72</v>
      </c>
      <c r="D86" s="6" t="s">
        <v>592</v>
      </c>
      <c r="E86" s="6">
        <v>4</v>
      </c>
      <c r="F86" s="6">
        <v>6</v>
      </c>
      <c r="G86" s="6">
        <v>5</v>
      </c>
      <c r="H86" s="6">
        <v>17</v>
      </c>
      <c r="I86" s="6">
        <f t="shared" si="4"/>
        <v>22</v>
      </c>
      <c r="J86" s="6">
        <v>28</v>
      </c>
      <c r="K86" s="6">
        <f t="shared" si="5"/>
        <v>60</v>
      </c>
      <c r="L86" s="6">
        <f t="shared" si="6"/>
        <v>2</v>
      </c>
      <c r="M86" s="6" t="str">
        <f t="shared" si="7"/>
        <v>PASS</v>
      </c>
    </row>
    <row r="87" spans="3:13" x14ac:dyDescent="0.35">
      <c r="C87" s="6">
        <v>73</v>
      </c>
      <c r="D87" s="6" t="s">
        <v>416</v>
      </c>
      <c r="E87" s="6">
        <v>19</v>
      </c>
      <c r="F87" s="6">
        <v>8</v>
      </c>
      <c r="G87" s="6">
        <v>3</v>
      </c>
      <c r="H87" s="6">
        <v>0</v>
      </c>
      <c r="I87" s="6">
        <f t="shared" si="4"/>
        <v>3</v>
      </c>
      <c r="J87" s="6">
        <v>2</v>
      </c>
      <c r="K87" s="6">
        <f t="shared" si="5"/>
        <v>32</v>
      </c>
      <c r="L87" s="6">
        <f t="shared" si="6"/>
        <v>0</v>
      </c>
      <c r="M87" s="6" t="str">
        <f t="shared" si="7"/>
        <v>FAIL</v>
      </c>
    </row>
    <row r="88" spans="3:13" x14ac:dyDescent="0.35">
      <c r="C88" s="6">
        <v>74</v>
      </c>
      <c r="D88" s="6" t="s">
        <v>421</v>
      </c>
      <c r="E88" s="6">
        <v>7</v>
      </c>
      <c r="F88" s="6">
        <v>19</v>
      </c>
      <c r="G88" s="6">
        <v>6</v>
      </c>
      <c r="H88" s="6">
        <v>9</v>
      </c>
      <c r="I88" s="6">
        <f t="shared" si="4"/>
        <v>15</v>
      </c>
      <c r="J88" s="6">
        <v>26</v>
      </c>
      <c r="K88" s="6">
        <f t="shared" si="5"/>
        <v>67</v>
      </c>
      <c r="L88" s="6">
        <f t="shared" si="6"/>
        <v>2</v>
      </c>
      <c r="M88" s="6" t="str">
        <f t="shared" si="7"/>
        <v>PASS</v>
      </c>
    </row>
    <row r="89" spans="3:13" x14ac:dyDescent="0.35">
      <c r="C89" s="6">
        <v>75</v>
      </c>
      <c r="D89" s="6" t="s">
        <v>426</v>
      </c>
      <c r="E89" s="6">
        <v>0</v>
      </c>
      <c r="F89" s="6">
        <v>19</v>
      </c>
      <c r="G89" s="6">
        <v>8</v>
      </c>
      <c r="H89" s="6">
        <v>10</v>
      </c>
      <c r="I89" s="6">
        <f t="shared" si="4"/>
        <v>18</v>
      </c>
      <c r="J89" s="6">
        <v>10</v>
      </c>
      <c r="K89" s="6">
        <f t="shared" si="5"/>
        <v>47</v>
      </c>
      <c r="L89" s="6">
        <f t="shared" si="6"/>
        <v>1</v>
      </c>
      <c r="M89" s="6" t="str">
        <f t="shared" si="7"/>
        <v>PASS</v>
      </c>
    </row>
    <row r="90" spans="3:13" x14ac:dyDescent="0.35">
      <c r="C90" s="6">
        <v>76</v>
      </c>
      <c r="D90" s="6" t="s">
        <v>431</v>
      </c>
      <c r="E90" s="6">
        <v>17</v>
      </c>
      <c r="F90" s="6">
        <v>16</v>
      </c>
      <c r="G90" s="6">
        <v>4</v>
      </c>
      <c r="H90" s="6">
        <v>10</v>
      </c>
      <c r="I90" s="6">
        <f t="shared" si="4"/>
        <v>14</v>
      </c>
      <c r="J90" s="6">
        <v>17</v>
      </c>
      <c r="K90" s="6">
        <f t="shared" si="5"/>
        <v>64</v>
      </c>
      <c r="L90" s="6">
        <f t="shared" si="6"/>
        <v>2</v>
      </c>
      <c r="M90" s="6" t="str">
        <f t="shared" si="7"/>
        <v>PASS</v>
      </c>
    </row>
    <row r="91" spans="3:13" x14ac:dyDescent="0.35">
      <c r="C91" s="6">
        <v>77</v>
      </c>
      <c r="D91" s="6" t="s">
        <v>436</v>
      </c>
      <c r="E91" s="6">
        <v>0</v>
      </c>
      <c r="F91" s="6">
        <v>11</v>
      </c>
      <c r="G91" s="6">
        <v>6</v>
      </c>
      <c r="H91" s="6">
        <v>11</v>
      </c>
      <c r="I91" s="6">
        <f t="shared" si="4"/>
        <v>17</v>
      </c>
      <c r="J91" s="6">
        <v>4</v>
      </c>
      <c r="K91" s="6">
        <f t="shared" si="5"/>
        <v>32</v>
      </c>
      <c r="L91" s="6">
        <f t="shared" si="6"/>
        <v>0</v>
      </c>
      <c r="M91" s="6" t="str">
        <f t="shared" si="7"/>
        <v>FAIL</v>
      </c>
    </row>
    <row r="92" spans="3:13" x14ac:dyDescent="0.35">
      <c r="C92" s="6">
        <v>78</v>
      </c>
      <c r="D92" s="6" t="s">
        <v>593</v>
      </c>
      <c r="E92" s="6">
        <v>1</v>
      </c>
      <c r="F92" s="6">
        <v>2</v>
      </c>
      <c r="G92" s="6">
        <v>6</v>
      </c>
      <c r="H92" s="6">
        <v>5</v>
      </c>
      <c r="I92" s="6">
        <f t="shared" si="4"/>
        <v>11</v>
      </c>
      <c r="J92" s="6">
        <v>13</v>
      </c>
      <c r="K92" s="6">
        <f t="shared" si="5"/>
        <v>27</v>
      </c>
      <c r="L92" s="6">
        <f t="shared" si="6"/>
        <v>0</v>
      </c>
      <c r="M92" s="6" t="str">
        <f t="shared" si="7"/>
        <v>FAIL</v>
      </c>
    </row>
    <row r="93" spans="3:13" x14ac:dyDescent="0.35">
      <c r="C93" s="6">
        <v>79</v>
      </c>
      <c r="D93" s="6" t="s">
        <v>442</v>
      </c>
      <c r="E93" s="6">
        <v>14</v>
      </c>
      <c r="F93" s="6">
        <v>7</v>
      </c>
      <c r="G93" s="6">
        <v>8</v>
      </c>
      <c r="H93" s="6">
        <v>6</v>
      </c>
      <c r="I93" s="6">
        <f t="shared" si="4"/>
        <v>14</v>
      </c>
      <c r="J93" s="6">
        <v>0</v>
      </c>
      <c r="K93" s="6">
        <f t="shared" si="5"/>
        <v>35</v>
      </c>
      <c r="L93" s="6">
        <f t="shared" si="6"/>
        <v>0</v>
      </c>
      <c r="M93" s="6" t="str">
        <f t="shared" si="7"/>
        <v>PASS</v>
      </c>
    </row>
    <row r="94" spans="3:13" x14ac:dyDescent="0.35">
      <c r="C94" s="6">
        <v>80</v>
      </c>
      <c r="D94" s="6" t="s">
        <v>447</v>
      </c>
      <c r="E94" s="6">
        <v>15</v>
      </c>
      <c r="F94" s="6">
        <v>6</v>
      </c>
      <c r="G94" s="6">
        <v>8</v>
      </c>
      <c r="H94" s="6">
        <v>4</v>
      </c>
      <c r="I94" s="6">
        <f t="shared" si="4"/>
        <v>12</v>
      </c>
      <c r="J94" s="6">
        <v>19</v>
      </c>
      <c r="K94" s="6">
        <f t="shared" si="5"/>
        <v>52</v>
      </c>
      <c r="L94" s="6">
        <f t="shared" si="6"/>
        <v>2</v>
      </c>
      <c r="M94" s="6" t="str">
        <f t="shared" si="7"/>
        <v>PASS</v>
      </c>
    </row>
    <row r="95" spans="3:13" x14ac:dyDescent="0.35">
      <c r="C95" s="6">
        <v>81</v>
      </c>
      <c r="D95" s="6" t="s">
        <v>452</v>
      </c>
      <c r="E95" s="6">
        <v>1</v>
      </c>
      <c r="F95" s="6">
        <v>0</v>
      </c>
      <c r="G95" s="6">
        <v>2</v>
      </c>
      <c r="H95" s="6">
        <v>18</v>
      </c>
      <c r="I95" s="6">
        <f t="shared" si="4"/>
        <v>20</v>
      </c>
      <c r="J95" s="6">
        <v>24</v>
      </c>
      <c r="K95" s="6">
        <f t="shared" si="5"/>
        <v>45</v>
      </c>
      <c r="L95" s="6">
        <f t="shared" si="6"/>
        <v>1</v>
      </c>
      <c r="M95" s="6" t="str">
        <f t="shared" si="7"/>
        <v>PASS</v>
      </c>
    </row>
    <row r="96" spans="3:13" x14ac:dyDescent="0.35">
      <c r="C96" s="6">
        <v>82</v>
      </c>
      <c r="D96" s="6" t="s">
        <v>594</v>
      </c>
      <c r="E96" s="6">
        <v>17</v>
      </c>
      <c r="F96" s="6">
        <v>14</v>
      </c>
      <c r="G96" s="6">
        <v>7</v>
      </c>
      <c r="H96" s="6">
        <v>6</v>
      </c>
      <c r="I96" s="6">
        <f t="shared" si="4"/>
        <v>13</v>
      </c>
      <c r="J96" s="6">
        <v>16</v>
      </c>
      <c r="K96" s="6">
        <f t="shared" si="5"/>
        <v>60</v>
      </c>
      <c r="L96" s="6">
        <f t="shared" si="6"/>
        <v>2</v>
      </c>
      <c r="M96" s="6" t="str">
        <f t="shared" si="7"/>
        <v>PASS</v>
      </c>
    </row>
    <row r="97" spans="3:13" x14ac:dyDescent="0.35">
      <c r="C97" s="6">
        <v>83</v>
      </c>
      <c r="D97" s="6" t="s">
        <v>595</v>
      </c>
      <c r="E97" s="6">
        <v>14</v>
      </c>
      <c r="F97" s="6">
        <v>3</v>
      </c>
      <c r="G97" s="6">
        <v>4</v>
      </c>
      <c r="H97" s="6">
        <v>12</v>
      </c>
      <c r="I97" s="6">
        <f t="shared" si="4"/>
        <v>16</v>
      </c>
      <c r="J97" s="6">
        <v>0</v>
      </c>
      <c r="K97" s="6">
        <f t="shared" si="5"/>
        <v>33</v>
      </c>
      <c r="L97" s="6">
        <f t="shared" si="6"/>
        <v>0</v>
      </c>
      <c r="M97" s="6" t="str">
        <f t="shared" si="7"/>
        <v>FAIL</v>
      </c>
    </row>
    <row r="98" spans="3:13" x14ac:dyDescent="0.35">
      <c r="C98" s="6">
        <v>84</v>
      </c>
      <c r="D98" s="6" t="s">
        <v>464</v>
      </c>
      <c r="E98" s="6">
        <v>8</v>
      </c>
      <c r="F98" s="6">
        <v>18</v>
      </c>
      <c r="G98" s="6">
        <v>0</v>
      </c>
      <c r="H98" s="6">
        <v>9</v>
      </c>
      <c r="I98" s="6">
        <f t="shared" si="4"/>
        <v>9</v>
      </c>
      <c r="J98" s="6">
        <v>23</v>
      </c>
      <c r="K98" s="6">
        <f t="shared" si="5"/>
        <v>58</v>
      </c>
      <c r="L98" s="6">
        <f t="shared" si="6"/>
        <v>2</v>
      </c>
      <c r="M98" s="6" t="str">
        <f t="shared" si="7"/>
        <v>PASS</v>
      </c>
    </row>
    <row r="99" spans="3:13" x14ac:dyDescent="0.35">
      <c r="C99" s="6">
        <v>85</v>
      </c>
      <c r="D99" s="6" t="s">
        <v>596</v>
      </c>
      <c r="E99" s="6">
        <v>20</v>
      </c>
      <c r="F99" s="6">
        <v>13</v>
      </c>
      <c r="G99" s="6">
        <v>10</v>
      </c>
      <c r="H99" s="6">
        <v>4</v>
      </c>
      <c r="I99" s="6">
        <f t="shared" si="4"/>
        <v>14</v>
      </c>
      <c r="J99" s="6">
        <v>25</v>
      </c>
      <c r="K99" s="6">
        <f t="shared" si="5"/>
        <v>72</v>
      </c>
      <c r="L99" s="6">
        <f t="shared" si="6"/>
        <v>2</v>
      </c>
      <c r="M99" s="6" t="str">
        <f t="shared" si="7"/>
        <v>PASS</v>
      </c>
    </row>
    <row r="100" spans="3:13" x14ac:dyDescent="0.35">
      <c r="C100" s="6">
        <v>86</v>
      </c>
      <c r="D100" s="6" t="s">
        <v>473</v>
      </c>
      <c r="E100" s="6">
        <v>1</v>
      </c>
      <c r="F100" s="6">
        <v>18</v>
      </c>
      <c r="G100" s="6">
        <v>9</v>
      </c>
      <c r="H100" s="6">
        <v>12</v>
      </c>
      <c r="I100" s="6">
        <f t="shared" ref="I100:I114" si="8">G100+H100</f>
        <v>21</v>
      </c>
      <c r="J100" s="6">
        <v>4</v>
      </c>
      <c r="K100" s="6">
        <f t="shared" ref="K100:K114" si="9">E100+F100+I100+J100</f>
        <v>44</v>
      </c>
      <c r="L100" s="6">
        <f t="shared" si="6"/>
        <v>1</v>
      </c>
      <c r="M100" s="6" t="str">
        <f t="shared" si="7"/>
        <v>PASS</v>
      </c>
    </row>
    <row r="101" spans="3:13" x14ac:dyDescent="0.35">
      <c r="C101" s="6">
        <v>87</v>
      </c>
      <c r="D101" s="6" t="s">
        <v>597</v>
      </c>
      <c r="E101" s="6">
        <v>19</v>
      </c>
      <c r="F101" s="6">
        <v>16</v>
      </c>
      <c r="G101" s="6">
        <v>10</v>
      </c>
      <c r="H101" s="6">
        <v>20</v>
      </c>
      <c r="I101" s="6">
        <f t="shared" si="8"/>
        <v>30</v>
      </c>
      <c r="J101" s="6">
        <v>25</v>
      </c>
      <c r="K101" s="6">
        <f t="shared" si="9"/>
        <v>90</v>
      </c>
      <c r="L101" s="6">
        <f t="shared" si="6"/>
        <v>2</v>
      </c>
      <c r="M101" s="6" t="str">
        <f t="shared" si="7"/>
        <v>PASS</v>
      </c>
    </row>
    <row r="102" spans="3:13" x14ac:dyDescent="0.35">
      <c r="C102" s="6">
        <v>88</v>
      </c>
      <c r="D102" s="6" t="s">
        <v>598</v>
      </c>
      <c r="E102" s="6">
        <v>19</v>
      </c>
      <c r="F102" s="6">
        <v>11</v>
      </c>
      <c r="G102" s="6">
        <v>10</v>
      </c>
      <c r="H102" s="6">
        <v>16</v>
      </c>
      <c r="I102" s="6">
        <f t="shared" si="8"/>
        <v>26</v>
      </c>
      <c r="J102" s="6">
        <v>29</v>
      </c>
      <c r="K102" s="6">
        <f t="shared" si="9"/>
        <v>85</v>
      </c>
      <c r="L102" s="6">
        <f t="shared" si="6"/>
        <v>2</v>
      </c>
      <c r="M102" s="6" t="str">
        <f t="shared" si="7"/>
        <v>PASS</v>
      </c>
    </row>
    <row r="103" spans="3:13" x14ac:dyDescent="0.35">
      <c r="C103" s="6">
        <v>89</v>
      </c>
      <c r="D103" s="6" t="s">
        <v>486</v>
      </c>
      <c r="E103" s="6">
        <v>4</v>
      </c>
      <c r="F103" s="6">
        <v>1</v>
      </c>
      <c r="G103" s="6">
        <v>10</v>
      </c>
      <c r="H103" s="6">
        <v>9</v>
      </c>
      <c r="I103" s="6">
        <f t="shared" si="8"/>
        <v>19</v>
      </c>
      <c r="J103" s="6">
        <v>6</v>
      </c>
      <c r="K103" s="6">
        <f t="shared" si="9"/>
        <v>30</v>
      </c>
      <c r="L103" s="6">
        <f t="shared" si="6"/>
        <v>0</v>
      </c>
      <c r="M103" s="6" t="str">
        <f t="shared" si="7"/>
        <v>FAIL</v>
      </c>
    </row>
    <row r="104" spans="3:13" x14ac:dyDescent="0.35">
      <c r="C104" s="6">
        <v>90</v>
      </c>
      <c r="D104" s="6" t="s">
        <v>491</v>
      </c>
      <c r="E104" s="6">
        <v>12</v>
      </c>
      <c r="F104" s="6">
        <v>3</v>
      </c>
      <c r="G104" s="6">
        <v>7</v>
      </c>
      <c r="H104" s="6">
        <v>7</v>
      </c>
      <c r="I104" s="6">
        <f t="shared" si="8"/>
        <v>14</v>
      </c>
      <c r="J104" s="6">
        <v>19</v>
      </c>
      <c r="K104" s="6">
        <f t="shared" si="9"/>
        <v>48</v>
      </c>
      <c r="L104" s="6">
        <f t="shared" si="6"/>
        <v>1</v>
      </c>
      <c r="M104" s="6" t="str">
        <f t="shared" si="7"/>
        <v>PASS</v>
      </c>
    </row>
    <row r="105" spans="3:13" x14ac:dyDescent="0.35">
      <c r="C105" s="6">
        <v>91</v>
      </c>
      <c r="D105" s="6" t="s">
        <v>599</v>
      </c>
      <c r="E105" s="6">
        <v>19</v>
      </c>
      <c r="F105" s="6">
        <v>8</v>
      </c>
      <c r="G105" s="6">
        <v>10</v>
      </c>
      <c r="H105" s="6">
        <v>12</v>
      </c>
      <c r="I105" s="6">
        <f t="shared" si="8"/>
        <v>22</v>
      </c>
      <c r="J105" s="6">
        <v>5</v>
      </c>
      <c r="K105" s="6">
        <f t="shared" si="9"/>
        <v>54</v>
      </c>
      <c r="L105" s="6">
        <f t="shared" si="6"/>
        <v>2</v>
      </c>
      <c r="M105" s="6" t="str">
        <f t="shared" si="7"/>
        <v>PASS</v>
      </c>
    </row>
    <row r="106" spans="3:13" x14ac:dyDescent="0.35">
      <c r="C106" s="6">
        <v>92</v>
      </c>
      <c r="D106" s="6" t="s">
        <v>500</v>
      </c>
      <c r="E106" s="6">
        <v>1</v>
      </c>
      <c r="F106" s="6">
        <v>0</v>
      </c>
      <c r="G106" s="6">
        <v>5</v>
      </c>
      <c r="H106" s="6">
        <v>18</v>
      </c>
      <c r="I106" s="6">
        <f t="shared" si="8"/>
        <v>23</v>
      </c>
      <c r="J106" s="6">
        <v>1</v>
      </c>
      <c r="K106" s="6">
        <f t="shared" si="9"/>
        <v>25</v>
      </c>
      <c r="L106" s="6">
        <f t="shared" si="6"/>
        <v>0</v>
      </c>
      <c r="M106" s="6" t="str">
        <f t="shared" si="7"/>
        <v>FAIL</v>
      </c>
    </row>
    <row r="107" spans="3:13" x14ac:dyDescent="0.35">
      <c r="C107" s="6">
        <v>93</v>
      </c>
      <c r="D107" s="6" t="s">
        <v>505</v>
      </c>
      <c r="E107" s="6">
        <v>7</v>
      </c>
      <c r="F107" s="6">
        <v>0</v>
      </c>
      <c r="G107" s="6">
        <v>3</v>
      </c>
      <c r="H107" s="6">
        <v>9</v>
      </c>
      <c r="I107" s="6">
        <f t="shared" si="8"/>
        <v>12</v>
      </c>
      <c r="J107" s="6">
        <v>14</v>
      </c>
      <c r="K107" s="6">
        <f t="shared" si="9"/>
        <v>33</v>
      </c>
      <c r="L107" s="6">
        <f t="shared" si="6"/>
        <v>0</v>
      </c>
      <c r="M107" s="6" t="str">
        <f t="shared" si="7"/>
        <v>FAIL</v>
      </c>
    </row>
    <row r="108" spans="3:13" x14ac:dyDescent="0.35">
      <c r="C108" s="6">
        <v>94</v>
      </c>
      <c r="D108" s="6" t="s">
        <v>510</v>
      </c>
      <c r="E108" s="6">
        <v>9</v>
      </c>
      <c r="F108" s="6">
        <v>8</v>
      </c>
      <c r="G108" s="6">
        <v>7</v>
      </c>
      <c r="H108" s="6">
        <v>18</v>
      </c>
      <c r="I108" s="6">
        <f t="shared" si="8"/>
        <v>25</v>
      </c>
      <c r="J108" s="6">
        <v>5</v>
      </c>
      <c r="K108" s="6">
        <f t="shared" si="9"/>
        <v>47</v>
      </c>
      <c r="L108" s="6">
        <f t="shared" si="6"/>
        <v>1</v>
      </c>
      <c r="M108" s="6" t="str">
        <f t="shared" si="7"/>
        <v>PASS</v>
      </c>
    </row>
    <row r="109" spans="3:13" x14ac:dyDescent="0.35">
      <c r="C109" s="6">
        <v>95</v>
      </c>
      <c r="D109" s="6" t="s">
        <v>600</v>
      </c>
      <c r="E109" s="6">
        <v>11</v>
      </c>
      <c r="F109" s="6">
        <v>0</v>
      </c>
      <c r="G109" s="6">
        <v>4</v>
      </c>
      <c r="H109" s="6">
        <v>18</v>
      </c>
      <c r="I109" s="6">
        <f t="shared" si="8"/>
        <v>22</v>
      </c>
      <c r="J109" s="6">
        <v>0</v>
      </c>
      <c r="K109" s="6">
        <f t="shared" si="9"/>
        <v>33</v>
      </c>
      <c r="L109" s="6">
        <f t="shared" si="6"/>
        <v>0</v>
      </c>
      <c r="M109" s="6" t="str">
        <f t="shared" si="7"/>
        <v>FAIL</v>
      </c>
    </row>
    <row r="110" spans="3:13" x14ac:dyDescent="0.35">
      <c r="C110" s="6">
        <v>96</v>
      </c>
      <c r="D110" s="6" t="s">
        <v>516</v>
      </c>
      <c r="E110" s="6">
        <v>19</v>
      </c>
      <c r="F110" s="6">
        <v>2</v>
      </c>
      <c r="G110" s="6">
        <v>2</v>
      </c>
      <c r="H110" s="6">
        <v>14</v>
      </c>
      <c r="I110" s="6">
        <f t="shared" si="8"/>
        <v>16</v>
      </c>
      <c r="J110" s="6">
        <v>14</v>
      </c>
      <c r="K110" s="6">
        <f t="shared" si="9"/>
        <v>51</v>
      </c>
      <c r="L110" s="6">
        <f t="shared" si="6"/>
        <v>2</v>
      </c>
      <c r="M110" s="6" t="str">
        <f t="shared" si="7"/>
        <v>PASS</v>
      </c>
    </row>
    <row r="111" spans="3:13" x14ac:dyDescent="0.35">
      <c r="C111" s="6">
        <v>97</v>
      </c>
      <c r="D111" s="6" t="s">
        <v>521</v>
      </c>
      <c r="E111" s="6">
        <v>8</v>
      </c>
      <c r="F111" s="6">
        <v>1</v>
      </c>
      <c r="G111" s="6">
        <v>6</v>
      </c>
      <c r="H111" s="6">
        <v>6</v>
      </c>
      <c r="I111" s="6">
        <f t="shared" si="8"/>
        <v>12</v>
      </c>
      <c r="J111" s="6">
        <v>27</v>
      </c>
      <c r="K111" s="6">
        <f t="shared" si="9"/>
        <v>48</v>
      </c>
      <c r="L111" s="6">
        <f t="shared" si="6"/>
        <v>1</v>
      </c>
      <c r="M111" s="6" t="str">
        <f t="shared" si="7"/>
        <v>PASS</v>
      </c>
    </row>
    <row r="112" spans="3:13" x14ac:dyDescent="0.35">
      <c r="C112" s="6">
        <v>98</v>
      </c>
      <c r="D112" s="6" t="s">
        <v>526</v>
      </c>
      <c r="E112" s="6">
        <v>8</v>
      </c>
      <c r="F112" s="6">
        <v>8</v>
      </c>
      <c r="G112" s="6">
        <v>0</v>
      </c>
      <c r="H112" s="6">
        <v>10</v>
      </c>
      <c r="I112" s="6">
        <f t="shared" si="8"/>
        <v>10</v>
      </c>
      <c r="J112" s="6">
        <v>23</v>
      </c>
      <c r="K112" s="6">
        <f t="shared" si="9"/>
        <v>49</v>
      </c>
      <c r="L112" s="6">
        <f t="shared" si="6"/>
        <v>1</v>
      </c>
      <c r="M112" s="6" t="str">
        <f t="shared" si="7"/>
        <v>PASS</v>
      </c>
    </row>
    <row r="113" spans="3:13" x14ac:dyDescent="0.35">
      <c r="C113" s="6">
        <v>99</v>
      </c>
      <c r="D113" s="6" t="s">
        <v>601</v>
      </c>
      <c r="E113" s="6">
        <v>15</v>
      </c>
      <c r="F113" s="6">
        <v>0</v>
      </c>
      <c r="G113" s="6">
        <v>2</v>
      </c>
      <c r="H113" s="6">
        <v>3</v>
      </c>
      <c r="I113" s="6">
        <f t="shared" si="8"/>
        <v>5</v>
      </c>
      <c r="J113" s="6">
        <v>24</v>
      </c>
      <c r="K113" s="6">
        <f t="shared" si="9"/>
        <v>44</v>
      </c>
      <c r="L113" s="6">
        <f t="shared" si="6"/>
        <v>1</v>
      </c>
      <c r="M113" s="6" t="str">
        <f t="shared" si="7"/>
        <v>PASS</v>
      </c>
    </row>
    <row r="114" spans="3:13" x14ac:dyDescent="0.35">
      <c r="C114" s="6">
        <v>100</v>
      </c>
      <c r="D114" s="6" t="s">
        <v>535</v>
      </c>
      <c r="E114" s="6">
        <v>11</v>
      </c>
      <c r="F114" s="6">
        <v>11</v>
      </c>
      <c r="G114" s="6">
        <v>7</v>
      </c>
      <c r="H114" s="6">
        <v>19</v>
      </c>
      <c r="I114" s="6">
        <f t="shared" si="8"/>
        <v>26</v>
      </c>
      <c r="J114" s="6">
        <v>7</v>
      </c>
      <c r="K114" s="6">
        <f t="shared" si="9"/>
        <v>55</v>
      </c>
      <c r="L114" s="6">
        <f t="shared" si="6"/>
        <v>2</v>
      </c>
      <c r="M114" s="6" t="str">
        <f t="shared" si="7"/>
        <v>PASS</v>
      </c>
    </row>
  </sheetData>
  <mergeCells count="10">
    <mergeCell ref="D3:Q4"/>
    <mergeCell ref="D7:Q7"/>
    <mergeCell ref="G8:L8"/>
    <mergeCell ref="O18:R18"/>
    <mergeCell ref="O21:R21"/>
    <mergeCell ref="D10:Q10"/>
    <mergeCell ref="D9:Q9"/>
    <mergeCell ref="D5:Q5"/>
    <mergeCell ref="D6:Q6"/>
    <mergeCell ref="O15:P15"/>
  </mergeCells>
  <phoneticPr fontId="2" type="noConversion"/>
  <conditionalFormatting sqref="M15:M114">
    <cfRule type="containsText" dxfId="10" priority="1" operator="containsText" text="FAIL">
      <formula>NOT(ISERROR(SEARCH("FAIL",M15)))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EECF-7AED-45B5-A084-95A643628EB0}">
  <sheetPr codeName="Sheet4"/>
  <dimension ref="C1:S114"/>
  <sheetViews>
    <sheetView topLeftCell="A6" zoomScale="80" zoomScaleNormal="80" workbookViewId="0">
      <selection activeCell="L15" sqref="L15"/>
    </sheetView>
  </sheetViews>
  <sheetFormatPr defaultRowHeight="14.5" x14ac:dyDescent="0.35"/>
  <cols>
    <col min="4" max="4" width="6.54296875" customWidth="1"/>
    <col min="5" max="5" width="16.7265625" customWidth="1"/>
    <col min="6" max="6" width="16.8164062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94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3" x14ac:dyDescent="0.6">
      <c r="C4" s="35"/>
      <c r="D4" s="162" t="s">
        <v>93</v>
      </c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</row>
    <row r="5" spans="3:17" ht="23" x14ac:dyDescent="0.6">
      <c r="C5" s="35"/>
      <c r="D5" s="164" t="s">
        <v>92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ht="23" x14ac:dyDescent="0.6">
      <c r="C6" s="35"/>
      <c r="D6" s="165" t="s">
        <v>3</v>
      </c>
      <c r="E6" s="165"/>
      <c r="F6" s="165"/>
      <c r="G6" s="165"/>
      <c r="H6" s="165"/>
      <c r="I6" s="165"/>
      <c r="J6" s="165"/>
      <c r="K6" s="165"/>
      <c r="L6" s="165"/>
      <c r="M6" s="165"/>
      <c r="N6" s="165"/>
      <c r="O6" s="165"/>
      <c r="P6" s="165"/>
      <c r="Q6" s="165"/>
    </row>
    <row r="7" spans="3:17" ht="23" x14ac:dyDescent="0.6">
      <c r="C7" s="35"/>
      <c r="D7" s="35"/>
      <c r="E7" s="35"/>
      <c r="F7" s="35"/>
      <c r="G7" s="164" t="s">
        <v>95</v>
      </c>
      <c r="H7" s="164"/>
      <c r="I7" s="164"/>
      <c r="J7" s="164"/>
      <c r="K7" s="164"/>
      <c r="L7" s="164"/>
      <c r="M7" s="35"/>
      <c r="N7" s="35"/>
      <c r="O7" s="35"/>
      <c r="P7" s="35"/>
      <c r="Q7" s="7"/>
    </row>
    <row r="8" spans="3:17" ht="21" x14ac:dyDescent="0.5">
      <c r="C8" s="35"/>
      <c r="D8" s="160" t="s">
        <v>96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ht="21" x14ac:dyDescent="0.5">
      <c r="C9" s="7"/>
      <c r="D9" s="160" t="s">
        <v>97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>
        <v>25241103</v>
      </c>
      <c r="F11" s="32" t="s">
        <v>40</v>
      </c>
      <c r="H11" s="32" t="s">
        <v>670</v>
      </c>
      <c r="I11" s="32"/>
    </row>
    <row r="12" spans="3:17" x14ac:dyDescent="0.35">
      <c r="D12" s="29" t="s">
        <v>42</v>
      </c>
      <c r="E12" s="29" t="s">
        <v>43</v>
      </c>
      <c r="F12" s="29" t="s">
        <v>44</v>
      </c>
      <c r="G12" s="29" t="s">
        <v>45</v>
      </c>
      <c r="H12" s="29" t="s">
        <v>46</v>
      </c>
      <c r="I12" s="29" t="s">
        <v>47</v>
      </c>
      <c r="J12" s="29" t="s">
        <v>48</v>
      </c>
      <c r="K12" s="29" t="s">
        <v>49</v>
      </c>
      <c r="L12" s="29" t="s">
        <v>50</v>
      </c>
      <c r="M12" s="29" t="s">
        <v>51</v>
      </c>
      <c r="N12" s="29" t="s">
        <v>52</v>
      </c>
    </row>
    <row r="13" spans="3:17" x14ac:dyDescent="0.35">
      <c r="D13" s="6"/>
      <c r="E13" s="6"/>
      <c r="F13" s="33">
        <v>20</v>
      </c>
      <c r="G13" s="33">
        <v>20</v>
      </c>
      <c r="H13" s="33">
        <v>10</v>
      </c>
      <c r="I13" s="33">
        <v>20</v>
      </c>
      <c r="J13" s="33">
        <v>30</v>
      </c>
      <c r="K13" s="33">
        <v>30</v>
      </c>
      <c r="L13" s="33">
        <v>100</v>
      </c>
      <c r="M13" s="33">
        <v>3</v>
      </c>
      <c r="N13" s="33" t="s">
        <v>53</v>
      </c>
    </row>
    <row r="14" spans="3:17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3:17" x14ac:dyDescent="0.35">
      <c r="D15" s="6">
        <v>1</v>
      </c>
      <c r="E15" s="6" t="s">
        <v>140</v>
      </c>
      <c r="F15" s="6">
        <v>0</v>
      </c>
      <c r="G15" s="6">
        <v>7</v>
      </c>
      <c r="H15" s="6">
        <v>1</v>
      </c>
      <c r="I15" s="6">
        <v>6</v>
      </c>
      <c r="J15" s="6">
        <f t="shared" ref="J15:J34" si="0">H15+I15</f>
        <v>7</v>
      </c>
      <c r="K15" s="6">
        <v>24</v>
      </c>
      <c r="L15" s="6">
        <f>K15+J15+G15+F15</f>
        <v>38</v>
      </c>
      <c r="M15" s="6">
        <f>IF(L15&gt;75,3,IF(L15&gt;50,2,IF(L15&gt;35,1,0)))</f>
        <v>1</v>
      </c>
      <c r="N15" s="6" t="str">
        <f>IF(L15&lt;35,"FAIL","PASS")</f>
        <v>PASS</v>
      </c>
    </row>
    <row r="16" spans="3:17" x14ac:dyDescent="0.35">
      <c r="D16" s="6">
        <v>2</v>
      </c>
      <c r="E16" s="6" t="s">
        <v>147</v>
      </c>
      <c r="F16" s="6">
        <v>18</v>
      </c>
      <c r="G16" s="6">
        <v>1</v>
      </c>
      <c r="H16" s="6">
        <v>2</v>
      </c>
      <c r="I16" s="6">
        <v>17</v>
      </c>
      <c r="J16" s="6">
        <f t="shared" si="0"/>
        <v>19</v>
      </c>
      <c r="K16" s="6">
        <v>1</v>
      </c>
      <c r="L16" s="6">
        <f t="shared" ref="L16:L33" si="1">K16+J16+G16+F16</f>
        <v>39</v>
      </c>
      <c r="M16" s="6">
        <f t="shared" ref="M16:M34" si="2">IF(L16&gt;75,3,IF(L16&gt;50,2,IF(L16&gt;35,1,0)))</f>
        <v>1</v>
      </c>
      <c r="N16" s="6" t="str">
        <f t="shared" ref="N16:N34" si="3">IF(L16&lt;35,"FAIL","PASS")</f>
        <v>PASS</v>
      </c>
      <c r="P16" s="214" t="s">
        <v>660</v>
      </c>
      <c r="Q16" s="214"/>
    </row>
    <row r="17" spans="4:19" x14ac:dyDescent="0.35">
      <c r="D17" s="6">
        <v>3</v>
      </c>
      <c r="E17" s="6" t="s">
        <v>152</v>
      </c>
      <c r="F17" s="6">
        <v>4</v>
      </c>
      <c r="G17" s="6">
        <v>13</v>
      </c>
      <c r="H17" s="6">
        <v>4</v>
      </c>
      <c r="I17" s="6">
        <v>3</v>
      </c>
      <c r="J17" s="6">
        <f t="shared" si="0"/>
        <v>7</v>
      </c>
      <c r="K17" s="6">
        <v>8</v>
      </c>
      <c r="L17" s="6">
        <f t="shared" si="1"/>
        <v>32</v>
      </c>
      <c r="M17" s="6">
        <f t="shared" si="2"/>
        <v>0</v>
      </c>
      <c r="N17" s="6" t="str">
        <f t="shared" si="3"/>
        <v>FAIL</v>
      </c>
      <c r="P17" s="215" t="s">
        <v>665</v>
      </c>
      <c r="Q17" s="212">
        <f>COUNTIF(N15:N114,N15)</f>
        <v>89</v>
      </c>
      <c r="R17" s="215"/>
      <c r="S17" s="215"/>
    </row>
    <row r="18" spans="4:19" x14ac:dyDescent="0.35">
      <c r="D18" s="6">
        <v>4</v>
      </c>
      <c r="E18" s="6" t="s">
        <v>157</v>
      </c>
      <c r="F18" s="6">
        <v>14</v>
      </c>
      <c r="G18" s="6">
        <v>12</v>
      </c>
      <c r="H18" s="6">
        <v>7</v>
      </c>
      <c r="I18" s="6">
        <v>14</v>
      </c>
      <c r="J18" s="6">
        <f t="shared" si="0"/>
        <v>21</v>
      </c>
      <c r="K18" s="6">
        <v>22</v>
      </c>
      <c r="L18" s="6">
        <f t="shared" si="1"/>
        <v>69</v>
      </c>
      <c r="M18" s="6">
        <f t="shared" si="2"/>
        <v>2</v>
      </c>
      <c r="N18" s="6" t="str">
        <f t="shared" si="3"/>
        <v>PASS</v>
      </c>
      <c r="P18" s="215" t="s">
        <v>666</v>
      </c>
      <c r="Q18" s="212">
        <f>COUNTIF(N15:N114,N17)</f>
        <v>11</v>
      </c>
      <c r="R18" s="212"/>
      <c r="S18" s="212"/>
    </row>
    <row r="19" spans="4:19" x14ac:dyDescent="0.35">
      <c r="D19" s="6">
        <v>5</v>
      </c>
      <c r="E19" s="6" t="s">
        <v>162</v>
      </c>
      <c r="F19" s="6">
        <v>6</v>
      </c>
      <c r="G19" s="6">
        <v>4</v>
      </c>
      <c r="H19" s="6">
        <v>3</v>
      </c>
      <c r="I19" s="6">
        <v>9</v>
      </c>
      <c r="J19" s="6">
        <f t="shared" si="0"/>
        <v>12</v>
      </c>
      <c r="K19" s="6">
        <v>11</v>
      </c>
      <c r="L19" s="6">
        <f t="shared" si="1"/>
        <v>33</v>
      </c>
      <c r="M19" s="6">
        <f t="shared" si="2"/>
        <v>0</v>
      </c>
      <c r="N19" s="6" t="str">
        <f t="shared" si="3"/>
        <v>FAIL</v>
      </c>
      <c r="P19" s="212"/>
      <c r="Q19" s="212"/>
      <c r="R19" s="212"/>
      <c r="S19" s="212"/>
    </row>
    <row r="20" spans="4:19" x14ac:dyDescent="0.35">
      <c r="D20" s="6">
        <v>6</v>
      </c>
      <c r="E20" s="6" t="s">
        <v>167</v>
      </c>
      <c r="F20" s="6">
        <v>3</v>
      </c>
      <c r="G20" s="6">
        <v>12</v>
      </c>
      <c r="H20" s="6">
        <v>7</v>
      </c>
      <c r="I20" s="6">
        <v>14</v>
      </c>
      <c r="J20" s="6">
        <f t="shared" si="0"/>
        <v>21</v>
      </c>
      <c r="K20" s="6">
        <v>13</v>
      </c>
      <c r="L20" s="6">
        <f t="shared" si="1"/>
        <v>49</v>
      </c>
      <c r="M20" s="6">
        <f t="shared" si="2"/>
        <v>1</v>
      </c>
      <c r="N20" s="6" t="str">
        <f t="shared" si="3"/>
        <v>PASS</v>
      </c>
      <c r="P20" s="212"/>
      <c r="Q20" s="215"/>
      <c r="R20" s="215"/>
      <c r="S20" s="215"/>
    </row>
    <row r="21" spans="4:19" x14ac:dyDescent="0.35">
      <c r="D21" s="6">
        <v>7</v>
      </c>
      <c r="E21" s="6" t="s">
        <v>565</v>
      </c>
      <c r="F21" s="6">
        <v>2</v>
      </c>
      <c r="G21" s="6">
        <v>9</v>
      </c>
      <c r="H21" s="6">
        <v>6</v>
      </c>
      <c r="I21" s="6">
        <v>9</v>
      </c>
      <c r="J21" s="6">
        <f t="shared" si="0"/>
        <v>15</v>
      </c>
      <c r="K21" s="6">
        <v>13</v>
      </c>
      <c r="L21" s="6">
        <f t="shared" si="1"/>
        <v>39</v>
      </c>
      <c r="M21" s="6">
        <f t="shared" si="2"/>
        <v>1</v>
      </c>
      <c r="N21" s="6" t="str">
        <f t="shared" si="3"/>
        <v>PASS</v>
      </c>
      <c r="P21" s="212"/>
      <c r="Q21" s="212"/>
      <c r="R21" s="212"/>
      <c r="S21" s="212"/>
    </row>
    <row r="22" spans="4:19" x14ac:dyDescent="0.35">
      <c r="D22" s="6">
        <v>8</v>
      </c>
      <c r="E22" s="6" t="s">
        <v>566</v>
      </c>
      <c r="F22" s="6">
        <v>17</v>
      </c>
      <c r="G22" s="6">
        <v>13</v>
      </c>
      <c r="H22" s="6">
        <v>5</v>
      </c>
      <c r="I22" s="6">
        <v>12</v>
      </c>
      <c r="J22" s="6">
        <f t="shared" si="0"/>
        <v>17</v>
      </c>
      <c r="K22" s="6">
        <v>4</v>
      </c>
      <c r="L22" s="6">
        <f t="shared" si="1"/>
        <v>51</v>
      </c>
      <c r="M22" s="6">
        <f t="shared" si="2"/>
        <v>2</v>
      </c>
      <c r="N22" s="6" t="str">
        <f t="shared" si="3"/>
        <v>PASS</v>
      </c>
    </row>
    <row r="23" spans="4:19" x14ac:dyDescent="0.35">
      <c r="D23" s="6">
        <v>9</v>
      </c>
      <c r="E23" s="6" t="s">
        <v>176</v>
      </c>
      <c r="F23" s="6">
        <v>18</v>
      </c>
      <c r="G23" s="6">
        <v>2</v>
      </c>
      <c r="H23" s="6">
        <v>7</v>
      </c>
      <c r="I23" s="6">
        <v>8</v>
      </c>
      <c r="J23" s="6">
        <f t="shared" si="0"/>
        <v>15</v>
      </c>
      <c r="K23" s="6">
        <v>16</v>
      </c>
      <c r="L23" s="6">
        <f t="shared" si="1"/>
        <v>51</v>
      </c>
      <c r="M23" s="6">
        <f t="shared" si="2"/>
        <v>2</v>
      </c>
      <c r="N23" s="6" t="str">
        <f t="shared" si="3"/>
        <v>PASS</v>
      </c>
    </row>
    <row r="24" spans="4:19" x14ac:dyDescent="0.35">
      <c r="D24" s="6">
        <v>10</v>
      </c>
      <c r="E24" s="6" t="s">
        <v>181</v>
      </c>
      <c r="F24" s="6">
        <v>16</v>
      </c>
      <c r="G24" s="6">
        <v>12</v>
      </c>
      <c r="H24" s="6">
        <v>1</v>
      </c>
      <c r="I24" s="6">
        <v>0</v>
      </c>
      <c r="J24" s="6">
        <f t="shared" si="0"/>
        <v>1</v>
      </c>
      <c r="K24" s="6">
        <v>7</v>
      </c>
      <c r="L24" s="6">
        <f t="shared" si="1"/>
        <v>36</v>
      </c>
      <c r="M24" s="6">
        <f t="shared" si="2"/>
        <v>1</v>
      </c>
      <c r="N24" s="6" t="str">
        <f t="shared" si="3"/>
        <v>PASS</v>
      </c>
    </row>
    <row r="25" spans="4:19" x14ac:dyDescent="0.35">
      <c r="D25" s="6">
        <v>11</v>
      </c>
      <c r="E25" s="6" t="s">
        <v>186</v>
      </c>
      <c r="F25" s="6">
        <v>3</v>
      </c>
      <c r="G25" s="6">
        <v>20</v>
      </c>
      <c r="H25" s="6">
        <v>9</v>
      </c>
      <c r="I25" s="6">
        <v>17</v>
      </c>
      <c r="J25" s="6">
        <f t="shared" si="0"/>
        <v>26</v>
      </c>
      <c r="K25" s="6">
        <v>16</v>
      </c>
      <c r="L25" s="6">
        <f t="shared" si="1"/>
        <v>65</v>
      </c>
      <c r="M25" s="6">
        <f t="shared" si="2"/>
        <v>2</v>
      </c>
      <c r="N25" s="6" t="str">
        <f t="shared" si="3"/>
        <v>PASS</v>
      </c>
    </row>
    <row r="26" spans="4:19" x14ac:dyDescent="0.35">
      <c r="D26" s="6">
        <v>12</v>
      </c>
      <c r="E26" s="6" t="s">
        <v>191</v>
      </c>
      <c r="F26" s="6">
        <v>20</v>
      </c>
      <c r="G26" s="6">
        <v>2</v>
      </c>
      <c r="H26" s="6">
        <v>0</v>
      </c>
      <c r="I26" s="6">
        <v>2</v>
      </c>
      <c r="J26" s="6">
        <f t="shared" si="0"/>
        <v>2</v>
      </c>
      <c r="K26" s="6">
        <v>13</v>
      </c>
      <c r="L26" s="6">
        <f t="shared" si="1"/>
        <v>37</v>
      </c>
      <c r="M26" s="6">
        <f t="shared" si="2"/>
        <v>1</v>
      </c>
      <c r="N26" s="6" t="str">
        <f t="shared" si="3"/>
        <v>PASS</v>
      </c>
    </row>
    <row r="27" spans="4:19" x14ac:dyDescent="0.35">
      <c r="D27" s="6">
        <v>13</v>
      </c>
      <c r="E27" s="6" t="s">
        <v>196</v>
      </c>
      <c r="F27" s="6">
        <v>9</v>
      </c>
      <c r="G27" s="6">
        <v>18</v>
      </c>
      <c r="H27" s="6">
        <v>8</v>
      </c>
      <c r="I27" s="6">
        <v>16</v>
      </c>
      <c r="J27" s="6">
        <f t="shared" si="0"/>
        <v>24</v>
      </c>
      <c r="K27" s="6">
        <v>7</v>
      </c>
      <c r="L27" s="6">
        <f t="shared" si="1"/>
        <v>58</v>
      </c>
      <c r="M27" s="6">
        <f t="shared" si="2"/>
        <v>2</v>
      </c>
      <c r="N27" s="6" t="str">
        <f t="shared" si="3"/>
        <v>PASS</v>
      </c>
    </row>
    <row r="28" spans="4:19" x14ac:dyDescent="0.35">
      <c r="D28" s="6">
        <v>14</v>
      </c>
      <c r="E28" s="6" t="s">
        <v>567</v>
      </c>
      <c r="F28" s="6">
        <v>15</v>
      </c>
      <c r="G28" s="6">
        <v>5</v>
      </c>
      <c r="H28" s="6">
        <v>10</v>
      </c>
      <c r="I28" s="6">
        <v>17</v>
      </c>
      <c r="J28" s="6">
        <f t="shared" si="0"/>
        <v>27</v>
      </c>
      <c r="K28" s="6">
        <v>24</v>
      </c>
      <c r="L28" s="6">
        <f t="shared" si="1"/>
        <v>71</v>
      </c>
      <c r="M28" s="6">
        <f t="shared" si="2"/>
        <v>2</v>
      </c>
      <c r="N28" s="6" t="str">
        <f t="shared" si="3"/>
        <v>PASS</v>
      </c>
    </row>
    <row r="29" spans="4:19" x14ac:dyDescent="0.35">
      <c r="D29" s="6">
        <v>15</v>
      </c>
      <c r="E29" s="6" t="s">
        <v>568</v>
      </c>
      <c r="F29" s="6">
        <v>2</v>
      </c>
      <c r="G29" s="6">
        <v>15</v>
      </c>
      <c r="H29" s="6">
        <v>4</v>
      </c>
      <c r="I29" s="6">
        <v>5</v>
      </c>
      <c r="J29" s="6">
        <f t="shared" si="0"/>
        <v>9</v>
      </c>
      <c r="K29" s="6">
        <v>10</v>
      </c>
      <c r="L29" s="6">
        <f t="shared" si="1"/>
        <v>36</v>
      </c>
      <c r="M29" s="6">
        <f t="shared" si="2"/>
        <v>1</v>
      </c>
      <c r="N29" s="6" t="str">
        <f t="shared" si="3"/>
        <v>PASS</v>
      </c>
    </row>
    <row r="30" spans="4:19" x14ac:dyDescent="0.35">
      <c r="D30" s="6">
        <v>16</v>
      </c>
      <c r="E30" s="6" t="s">
        <v>204</v>
      </c>
      <c r="F30" s="6">
        <v>11</v>
      </c>
      <c r="G30" s="6">
        <v>6</v>
      </c>
      <c r="H30" s="6">
        <v>8</v>
      </c>
      <c r="I30" s="6">
        <v>14</v>
      </c>
      <c r="J30" s="6">
        <f t="shared" si="0"/>
        <v>22</v>
      </c>
      <c r="K30" s="6">
        <v>20</v>
      </c>
      <c r="L30" s="6">
        <f t="shared" si="1"/>
        <v>59</v>
      </c>
      <c r="M30" s="6">
        <f t="shared" si="2"/>
        <v>2</v>
      </c>
      <c r="N30" s="6" t="str">
        <f t="shared" si="3"/>
        <v>PASS</v>
      </c>
    </row>
    <row r="31" spans="4:19" x14ac:dyDescent="0.35">
      <c r="D31" s="6">
        <v>17</v>
      </c>
      <c r="E31" s="6" t="s">
        <v>209</v>
      </c>
      <c r="F31" s="6">
        <v>0</v>
      </c>
      <c r="G31" s="6">
        <v>9</v>
      </c>
      <c r="H31" s="6">
        <v>8</v>
      </c>
      <c r="I31" s="6">
        <v>16</v>
      </c>
      <c r="J31" s="6">
        <f t="shared" si="0"/>
        <v>24</v>
      </c>
      <c r="K31" s="6">
        <v>15</v>
      </c>
      <c r="L31" s="6">
        <f t="shared" si="1"/>
        <v>48</v>
      </c>
      <c r="M31" s="6">
        <f t="shared" si="2"/>
        <v>1</v>
      </c>
      <c r="N31" s="6" t="str">
        <f t="shared" si="3"/>
        <v>PASS</v>
      </c>
    </row>
    <row r="32" spans="4:19" x14ac:dyDescent="0.35">
      <c r="D32" s="6">
        <v>18</v>
      </c>
      <c r="E32" s="6" t="s">
        <v>214</v>
      </c>
      <c r="F32" s="6">
        <v>3</v>
      </c>
      <c r="G32" s="6">
        <v>16</v>
      </c>
      <c r="H32" s="6">
        <v>10</v>
      </c>
      <c r="I32" s="6">
        <v>0</v>
      </c>
      <c r="J32" s="6">
        <f t="shared" si="0"/>
        <v>10</v>
      </c>
      <c r="K32" s="6">
        <v>9</v>
      </c>
      <c r="L32" s="6">
        <f t="shared" si="1"/>
        <v>38</v>
      </c>
      <c r="M32" s="6">
        <f t="shared" si="2"/>
        <v>1</v>
      </c>
      <c r="N32" s="6" t="str">
        <f t="shared" si="3"/>
        <v>PASS</v>
      </c>
    </row>
    <row r="33" spans="4:14" x14ac:dyDescent="0.35">
      <c r="D33" s="6">
        <v>19</v>
      </c>
      <c r="E33" s="6" t="s">
        <v>219</v>
      </c>
      <c r="F33" s="6">
        <v>14</v>
      </c>
      <c r="G33" s="6">
        <v>10</v>
      </c>
      <c r="H33" s="6">
        <v>5</v>
      </c>
      <c r="I33" s="6">
        <v>0</v>
      </c>
      <c r="J33" s="6">
        <f t="shared" si="0"/>
        <v>5</v>
      </c>
      <c r="K33" s="6">
        <v>7</v>
      </c>
      <c r="L33" s="6">
        <f t="shared" si="1"/>
        <v>36</v>
      </c>
      <c r="M33" s="6">
        <f t="shared" si="2"/>
        <v>1</v>
      </c>
      <c r="N33" s="6" t="str">
        <f t="shared" si="3"/>
        <v>PASS</v>
      </c>
    </row>
    <row r="34" spans="4:14" x14ac:dyDescent="0.35">
      <c r="D34" s="6">
        <v>20</v>
      </c>
      <c r="E34" s="6" t="s">
        <v>224</v>
      </c>
      <c r="F34" s="6">
        <v>3</v>
      </c>
      <c r="G34" s="6">
        <v>16</v>
      </c>
      <c r="H34" s="6">
        <v>3</v>
      </c>
      <c r="I34" s="6">
        <v>8</v>
      </c>
      <c r="J34" s="6">
        <f t="shared" si="0"/>
        <v>11</v>
      </c>
      <c r="K34" s="6">
        <v>27</v>
      </c>
      <c r="L34" s="6">
        <f>K34+J34+G34+F34</f>
        <v>57</v>
      </c>
      <c r="M34" s="6">
        <f t="shared" si="2"/>
        <v>2</v>
      </c>
      <c r="N34" s="6" t="str">
        <f t="shared" si="3"/>
        <v>PASS</v>
      </c>
    </row>
    <row r="35" spans="4:14" x14ac:dyDescent="0.35">
      <c r="D35" s="6">
        <v>21</v>
      </c>
      <c r="E35" s="6" t="s">
        <v>569</v>
      </c>
      <c r="F35" s="6">
        <v>18</v>
      </c>
      <c r="G35" s="6">
        <v>19</v>
      </c>
      <c r="H35" s="6">
        <v>10</v>
      </c>
      <c r="I35" s="6">
        <v>20</v>
      </c>
      <c r="J35" s="6">
        <f>I35+H35</f>
        <v>30</v>
      </c>
      <c r="K35" s="6">
        <v>29</v>
      </c>
      <c r="L35" s="6">
        <f t="shared" ref="L35:L98" si="4">K35+J35+G35+F35</f>
        <v>96</v>
      </c>
      <c r="M35" s="6">
        <f t="shared" ref="M35:M98" si="5">IF(L35&gt;75,3,IF(L35&gt;50,2,IF(L35&gt;35,1,0)))</f>
        <v>3</v>
      </c>
      <c r="N35" s="6" t="str">
        <f t="shared" ref="N35:N98" si="6">IF(L35&lt;35,"FAIL","PASS")</f>
        <v>PASS</v>
      </c>
    </row>
    <row r="36" spans="4:14" x14ac:dyDescent="0.35">
      <c r="D36" s="6">
        <v>22</v>
      </c>
      <c r="E36" s="6" t="s">
        <v>229</v>
      </c>
      <c r="F36" s="6">
        <v>4</v>
      </c>
      <c r="G36" s="6">
        <v>20</v>
      </c>
      <c r="H36" s="6">
        <v>10</v>
      </c>
      <c r="I36" s="6">
        <v>8</v>
      </c>
      <c r="J36" s="6">
        <f t="shared" ref="J36:J99" si="7">I36+H36</f>
        <v>18</v>
      </c>
      <c r="K36" s="6">
        <v>5</v>
      </c>
      <c r="L36" s="6">
        <f t="shared" si="4"/>
        <v>47</v>
      </c>
      <c r="M36" s="6">
        <f t="shared" si="5"/>
        <v>1</v>
      </c>
      <c r="N36" s="6" t="str">
        <f t="shared" si="6"/>
        <v>PASS</v>
      </c>
    </row>
    <row r="37" spans="4:14" x14ac:dyDescent="0.35">
      <c r="D37" s="6">
        <v>23</v>
      </c>
      <c r="E37" s="6" t="s">
        <v>234</v>
      </c>
      <c r="F37" s="6">
        <v>14</v>
      </c>
      <c r="G37" s="6">
        <v>19</v>
      </c>
      <c r="H37" s="6">
        <v>8</v>
      </c>
      <c r="I37" s="6">
        <v>16</v>
      </c>
      <c r="J37" s="6">
        <f t="shared" si="7"/>
        <v>24</v>
      </c>
      <c r="K37" s="6">
        <v>6</v>
      </c>
      <c r="L37" s="6">
        <f t="shared" si="4"/>
        <v>63</v>
      </c>
      <c r="M37" s="6">
        <f t="shared" si="5"/>
        <v>2</v>
      </c>
      <c r="N37" s="6" t="str">
        <f t="shared" si="6"/>
        <v>PASS</v>
      </c>
    </row>
    <row r="38" spans="4:14" x14ac:dyDescent="0.35">
      <c r="D38" s="6">
        <v>24</v>
      </c>
      <c r="E38" s="6" t="s">
        <v>239</v>
      </c>
      <c r="F38" s="6">
        <v>8</v>
      </c>
      <c r="G38" s="6">
        <v>16</v>
      </c>
      <c r="H38" s="6">
        <v>7</v>
      </c>
      <c r="I38" s="6">
        <v>10</v>
      </c>
      <c r="J38" s="6">
        <f t="shared" si="7"/>
        <v>17</v>
      </c>
      <c r="K38" s="6">
        <v>8</v>
      </c>
      <c r="L38" s="6">
        <f t="shared" si="4"/>
        <v>49</v>
      </c>
      <c r="M38" s="6">
        <f t="shared" si="5"/>
        <v>1</v>
      </c>
      <c r="N38" s="6" t="str">
        <f t="shared" si="6"/>
        <v>PASS</v>
      </c>
    </row>
    <row r="39" spans="4:14" x14ac:dyDescent="0.35">
      <c r="D39" s="6">
        <v>25</v>
      </c>
      <c r="E39" s="6" t="s">
        <v>244</v>
      </c>
      <c r="F39" s="6">
        <v>8</v>
      </c>
      <c r="G39" s="6">
        <v>2</v>
      </c>
      <c r="H39" s="6">
        <v>10</v>
      </c>
      <c r="I39" s="6">
        <v>17</v>
      </c>
      <c r="J39" s="6">
        <f t="shared" si="7"/>
        <v>27</v>
      </c>
      <c r="K39" s="6">
        <v>1</v>
      </c>
      <c r="L39" s="6">
        <f t="shared" si="4"/>
        <v>38</v>
      </c>
      <c r="M39" s="6">
        <f t="shared" si="5"/>
        <v>1</v>
      </c>
      <c r="N39" s="6" t="str">
        <f t="shared" si="6"/>
        <v>PASS</v>
      </c>
    </row>
    <row r="40" spans="4:14" x14ac:dyDescent="0.35">
      <c r="D40" s="6">
        <v>26</v>
      </c>
      <c r="E40" s="6" t="s">
        <v>249</v>
      </c>
      <c r="F40" s="6">
        <v>0</v>
      </c>
      <c r="G40" s="6">
        <v>12</v>
      </c>
      <c r="H40" s="6">
        <v>7</v>
      </c>
      <c r="I40" s="6">
        <v>2</v>
      </c>
      <c r="J40" s="6">
        <f t="shared" si="7"/>
        <v>9</v>
      </c>
      <c r="K40" s="6">
        <v>10</v>
      </c>
      <c r="L40" s="6">
        <f t="shared" si="4"/>
        <v>31</v>
      </c>
      <c r="M40" s="6">
        <f t="shared" si="5"/>
        <v>0</v>
      </c>
      <c r="N40" s="6" t="str">
        <f t="shared" si="6"/>
        <v>FAIL</v>
      </c>
    </row>
    <row r="41" spans="4:14" x14ac:dyDescent="0.35">
      <c r="D41" s="6">
        <v>27</v>
      </c>
      <c r="E41" s="6" t="s">
        <v>254</v>
      </c>
      <c r="F41" s="6">
        <v>9</v>
      </c>
      <c r="G41" s="6">
        <v>14</v>
      </c>
      <c r="H41" s="6">
        <v>9</v>
      </c>
      <c r="I41" s="6">
        <v>12</v>
      </c>
      <c r="J41" s="6">
        <f t="shared" si="7"/>
        <v>21</v>
      </c>
      <c r="K41" s="6">
        <v>6</v>
      </c>
      <c r="L41" s="6">
        <f t="shared" si="4"/>
        <v>50</v>
      </c>
      <c r="M41" s="6">
        <f t="shared" si="5"/>
        <v>1</v>
      </c>
      <c r="N41" s="6" t="str">
        <f t="shared" si="6"/>
        <v>PASS</v>
      </c>
    </row>
    <row r="42" spans="4:14" x14ac:dyDescent="0.35">
      <c r="D42" s="6">
        <v>28</v>
      </c>
      <c r="E42" s="6" t="s">
        <v>570</v>
      </c>
      <c r="F42" s="6">
        <v>4</v>
      </c>
      <c r="G42" s="6">
        <v>8</v>
      </c>
      <c r="H42" s="6">
        <v>7</v>
      </c>
      <c r="I42" s="6">
        <v>20</v>
      </c>
      <c r="J42" s="6">
        <f t="shared" si="7"/>
        <v>27</v>
      </c>
      <c r="K42" s="6">
        <v>8</v>
      </c>
      <c r="L42" s="6">
        <f t="shared" si="4"/>
        <v>47</v>
      </c>
      <c r="M42" s="6">
        <f t="shared" si="5"/>
        <v>1</v>
      </c>
      <c r="N42" s="6" t="str">
        <f t="shared" si="6"/>
        <v>PASS</v>
      </c>
    </row>
    <row r="43" spans="4:14" x14ac:dyDescent="0.35">
      <c r="D43" s="6">
        <v>29</v>
      </c>
      <c r="E43" s="6" t="s">
        <v>263</v>
      </c>
      <c r="F43" s="6">
        <v>15</v>
      </c>
      <c r="G43" s="6">
        <v>4</v>
      </c>
      <c r="H43" s="6">
        <v>8</v>
      </c>
      <c r="I43" s="6">
        <v>5</v>
      </c>
      <c r="J43" s="6">
        <f t="shared" si="7"/>
        <v>13</v>
      </c>
      <c r="K43" s="6">
        <v>28</v>
      </c>
      <c r="L43" s="6">
        <f t="shared" si="4"/>
        <v>60</v>
      </c>
      <c r="M43" s="6">
        <f t="shared" si="5"/>
        <v>2</v>
      </c>
      <c r="N43" s="6" t="str">
        <f t="shared" si="6"/>
        <v>PASS</v>
      </c>
    </row>
    <row r="44" spans="4:14" x14ac:dyDescent="0.35">
      <c r="D44" s="6">
        <v>30</v>
      </c>
      <c r="E44" s="6" t="s">
        <v>571</v>
      </c>
      <c r="F44" s="6">
        <v>15</v>
      </c>
      <c r="G44" s="6">
        <v>6</v>
      </c>
      <c r="H44" s="6">
        <v>7</v>
      </c>
      <c r="I44" s="6">
        <v>19</v>
      </c>
      <c r="J44" s="6">
        <f t="shared" si="7"/>
        <v>26</v>
      </c>
      <c r="K44" s="6">
        <v>13</v>
      </c>
      <c r="L44" s="6">
        <f t="shared" si="4"/>
        <v>60</v>
      </c>
      <c r="M44" s="6">
        <f t="shared" si="5"/>
        <v>2</v>
      </c>
      <c r="N44" s="6" t="str">
        <f t="shared" si="6"/>
        <v>PASS</v>
      </c>
    </row>
    <row r="45" spans="4:14" x14ac:dyDescent="0.35">
      <c r="D45" s="6">
        <v>31</v>
      </c>
      <c r="E45" s="6" t="s">
        <v>269</v>
      </c>
      <c r="F45" s="6">
        <v>12</v>
      </c>
      <c r="G45" s="6">
        <v>11</v>
      </c>
      <c r="H45" s="6">
        <v>2</v>
      </c>
      <c r="I45" s="6">
        <v>9</v>
      </c>
      <c r="J45" s="6">
        <f t="shared" si="7"/>
        <v>11</v>
      </c>
      <c r="K45" s="6">
        <v>12</v>
      </c>
      <c r="L45" s="6">
        <f t="shared" si="4"/>
        <v>46</v>
      </c>
      <c r="M45" s="6">
        <f t="shared" si="5"/>
        <v>1</v>
      </c>
      <c r="N45" s="6" t="str">
        <f t="shared" si="6"/>
        <v>PASS</v>
      </c>
    </row>
    <row r="46" spans="4:14" x14ac:dyDescent="0.35">
      <c r="D46" s="6">
        <v>32</v>
      </c>
      <c r="E46" s="6" t="s">
        <v>572</v>
      </c>
      <c r="F46" s="6">
        <v>6</v>
      </c>
      <c r="G46" s="6">
        <v>10</v>
      </c>
      <c r="H46" s="6">
        <v>5</v>
      </c>
      <c r="I46" s="6">
        <v>10</v>
      </c>
      <c r="J46" s="6">
        <f t="shared" si="7"/>
        <v>15</v>
      </c>
      <c r="K46" s="6">
        <v>27</v>
      </c>
      <c r="L46" s="6">
        <f t="shared" si="4"/>
        <v>58</v>
      </c>
      <c r="M46" s="6">
        <f t="shared" si="5"/>
        <v>2</v>
      </c>
      <c r="N46" s="6" t="str">
        <f t="shared" si="6"/>
        <v>PASS</v>
      </c>
    </row>
    <row r="47" spans="4:14" x14ac:dyDescent="0.35">
      <c r="D47" s="6">
        <v>33</v>
      </c>
      <c r="E47" s="6" t="s">
        <v>573</v>
      </c>
      <c r="F47" s="6">
        <v>0</v>
      </c>
      <c r="G47" s="6">
        <v>9</v>
      </c>
      <c r="H47" s="6">
        <v>7</v>
      </c>
      <c r="I47" s="6">
        <v>6</v>
      </c>
      <c r="J47" s="6">
        <f t="shared" si="7"/>
        <v>13</v>
      </c>
      <c r="K47" s="6">
        <v>14</v>
      </c>
      <c r="L47" s="6">
        <f t="shared" si="4"/>
        <v>36</v>
      </c>
      <c r="M47" s="6">
        <f t="shared" si="5"/>
        <v>1</v>
      </c>
      <c r="N47" s="6" t="str">
        <f t="shared" si="6"/>
        <v>PASS</v>
      </c>
    </row>
    <row r="48" spans="4:14" x14ac:dyDescent="0.35">
      <c r="D48" s="6">
        <v>34</v>
      </c>
      <c r="E48" s="6" t="s">
        <v>278</v>
      </c>
      <c r="F48" s="6">
        <v>6</v>
      </c>
      <c r="G48" s="6">
        <v>15</v>
      </c>
      <c r="H48" s="6">
        <v>2</v>
      </c>
      <c r="I48" s="6">
        <v>4</v>
      </c>
      <c r="J48" s="6">
        <f t="shared" si="7"/>
        <v>6</v>
      </c>
      <c r="K48" s="6">
        <v>11</v>
      </c>
      <c r="L48" s="6">
        <f t="shared" si="4"/>
        <v>38</v>
      </c>
      <c r="M48" s="6">
        <f t="shared" si="5"/>
        <v>1</v>
      </c>
      <c r="N48" s="6" t="str">
        <f t="shared" si="6"/>
        <v>PASS</v>
      </c>
    </row>
    <row r="49" spans="4:14" x14ac:dyDescent="0.35">
      <c r="D49" s="6">
        <v>35</v>
      </c>
      <c r="E49" s="6" t="s">
        <v>283</v>
      </c>
      <c r="F49" s="6">
        <v>13</v>
      </c>
      <c r="G49" s="6">
        <v>18</v>
      </c>
      <c r="H49" s="6">
        <v>8</v>
      </c>
      <c r="I49" s="6">
        <v>4</v>
      </c>
      <c r="J49" s="6">
        <f t="shared" si="7"/>
        <v>12</v>
      </c>
      <c r="K49" s="6">
        <v>28</v>
      </c>
      <c r="L49" s="6">
        <f t="shared" si="4"/>
        <v>71</v>
      </c>
      <c r="M49" s="6">
        <f t="shared" si="5"/>
        <v>2</v>
      </c>
      <c r="N49" s="6" t="str">
        <f t="shared" si="6"/>
        <v>PASS</v>
      </c>
    </row>
    <row r="50" spans="4:14" x14ac:dyDescent="0.35">
      <c r="D50" s="6">
        <v>36</v>
      </c>
      <c r="E50" s="6" t="s">
        <v>574</v>
      </c>
      <c r="F50" s="6">
        <v>6</v>
      </c>
      <c r="G50" s="6">
        <v>17</v>
      </c>
      <c r="H50" s="6">
        <v>7</v>
      </c>
      <c r="I50" s="6">
        <v>0</v>
      </c>
      <c r="J50" s="6">
        <f t="shared" si="7"/>
        <v>7</v>
      </c>
      <c r="K50" s="6">
        <v>22</v>
      </c>
      <c r="L50" s="6">
        <f t="shared" si="4"/>
        <v>52</v>
      </c>
      <c r="M50" s="6">
        <f t="shared" si="5"/>
        <v>2</v>
      </c>
      <c r="N50" s="6" t="str">
        <f t="shared" si="6"/>
        <v>PASS</v>
      </c>
    </row>
    <row r="51" spans="4:14" x14ac:dyDescent="0.35">
      <c r="D51" s="6">
        <v>37</v>
      </c>
      <c r="E51" s="6" t="s">
        <v>288</v>
      </c>
      <c r="F51" s="6">
        <v>16</v>
      </c>
      <c r="G51" s="6">
        <v>5</v>
      </c>
      <c r="H51" s="6">
        <v>4</v>
      </c>
      <c r="I51" s="6">
        <v>15</v>
      </c>
      <c r="J51" s="6">
        <f t="shared" si="7"/>
        <v>19</v>
      </c>
      <c r="K51" s="6">
        <v>22</v>
      </c>
      <c r="L51" s="6">
        <f t="shared" si="4"/>
        <v>62</v>
      </c>
      <c r="M51" s="6">
        <f t="shared" si="5"/>
        <v>2</v>
      </c>
      <c r="N51" s="6" t="str">
        <f t="shared" si="6"/>
        <v>PASS</v>
      </c>
    </row>
    <row r="52" spans="4:14" x14ac:dyDescent="0.35">
      <c r="D52" s="6">
        <v>38</v>
      </c>
      <c r="E52" s="6" t="s">
        <v>293</v>
      </c>
      <c r="F52" s="6">
        <v>16</v>
      </c>
      <c r="G52" s="6">
        <v>20</v>
      </c>
      <c r="H52" s="6">
        <v>10</v>
      </c>
      <c r="I52" s="6">
        <v>0</v>
      </c>
      <c r="J52" s="6">
        <f t="shared" si="7"/>
        <v>10</v>
      </c>
      <c r="K52" s="6">
        <v>3</v>
      </c>
      <c r="L52" s="6">
        <f t="shared" si="4"/>
        <v>49</v>
      </c>
      <c r="M52" s="6">
        <f t="shared" si="5"/>
        <v>1</v>
      </c>
      <c r="N52" s="6" t="str">
        <f t="shared" si="6"/>
        <v>PASS</v>
      </c>
    </row>
    <row r="53" spans="4:14" x14ac:dyDescent="0.35">
      <c r="D53" s="6">
        <v>39</v>
      </c>
      <c r="E53" s="6" t="s">
        <v>575</v>
      </c>
      <c r="F53" s="6">
        <v>4</v>
      </c>
      <c r="G53" s="6">
        <v>10</v>
      </c>
      <c r="H53" s="6">
        <v>4</v>
      </c>
      <c r="I53" s="6">
        <v>19</v>
      </c>
      <c r="J53" s="6">
        <f t="shared" si="7"/>
        <v>23</v>
      </c>
      <c r="K53" s="6">
        <v>2</v>
      </c>
      <c r="L53" s="6">
        <f t="shared" si="4"/>
        <v>39</v>
      </c>
      <c r="M53" s="6">
        <f t="shared" si="5"/>
        <v>1</v>
      </c>
      <c r="N53" s="6" t="str">
        <f t="shared" si="6"/>
        <v>PASS</v>
      </c>
    </row>
    <row r="54" spans="4:14" x14ac:dyDescent="0.35">
      <c r="D54" s="6">
        <v>40</v>
      </c>
      <c r="E54" s="6" t="s">
        <v>298</v>
      </c>
      <c r="F54" s="6">
        <v>11</v>
      </c>
      <c r="G54" s="6">
        <v>0</v>
      </c>
      <c r="H54" s="6">
        <v>1</v>
      </c>
      <c r="I54" s="6">
        <v>3</v>
      </c>
      <c r="J54" s="6">
        <f t="shared" si="7"/>
        <v>4</v>
      </c>
      <c r="K54" s="6">
        <v>26</v>
      </c>
      <c r="L54" s="6">
        <f t="shared" si="4"/>
        <v>41</v>
      </c>
      <c r="M54" s="6">
        <f t="shared" si="5"/>
        <v>1</v>
      </c>
      <c r="N54" s="6" t="str">
        <f t="shared" si="6"/>
        <v>PASS</v>
      </c>
    </row>
    <row r="55" spans="4:14" x14ac:dyDescent="0.35">
      <c r="D55" s="6">
        <v>41</v>
      </c>
      <c r="E55" s="6" t="s">
        <v>576</v>
      </c>
      <c r="F55" s="6">
        <v>6</v>
      </c>
      <c r="G55" s="6">
        <v>12</v>
      </c>
      <c r="H55" s="6">
        <v>7</v>
      </c>
      <c r="I55" s="6">
        <v>18</v>
      </c>
      <c r="J55" s="6">
        <f t="shared" si="7"/>
        <v>25</v>
      </c>
      <c r="K55" s="6">
        <v>11</v>
      </c>
      <c r="L55" s="6">
        <f t="shared" si="4"/>
        <v>54</v>
      </c>
      <c r="M55" s="6">
        <f t="shared" si="5"/>
        <v>2</v>
      </c>
      <c r="N55" s="6" t="str">
        <f t="shared" si="6"/>
        <v>PASS</v>
      </c>
    </row>
    <row r="56" spans="4:14" x14ac:dyDescent="0.35">
      <c r="D56" s="6">
        <v>42</v>
      </c>
      <c r="E56" s="6" t="s">
        <v>577</v>
      </c>
      <c r="F56" s="6">
        <v>12</v>
      </c>
      <c r="G56" s="6">
        <v>15</v>
      </c>
      <c r="H56" s="6">
        <v>7</v>
      </c>
      <c r="I56" s="6">
        <v>17</v>
      </c>
      <c r="J56" s="6">
        <f t="shared" si="7"/>
        <v>24</v>
      </c>
      <c r="K56" s="6">
        <v>19</v>
      </c>
      <c r="L56" s="6">
        <f t="shared" si="4"/>
        <v>70</v>
      </c>
      <c r="M56" s="6">
        <f t="shared" si="5"/>
        <v>2</v>
      </c>
      <c r="N56" s="6" t="str">
        <f t="shared" si="6"/>
        <v>PASS</v>
      </c>
    </row>
    <row r="57" spans="4:14" x14ac:dyDescent="0.35">
      <c r="D57" s="6">
        <v>43</v>
      </c>
      <c r="E57" s="6" t="s">
        <v>307</v>
      </c>
      <c r="F57" s="6">
        <v>0</v>
      </c>
      <c r="G57" s="6">
        <v>4</v>
      </c>
      <c r="H57" s="6">
        <v>6</v>
      </c>
      <c r="I57" s="6">
        <v>5</v>
      </c>
      <c r="J57" s="6">
        <f t="shared" si="7"/>
        <v>11</v>
      </c>
      <c r="K57" s="6">
        <v>25</v>
      </c>
      <c r="L57" s="6">
        <f t="shared" si="4"/>
        <v>40</v>
      </c>
      <c r="M57" s="6">
        <f t="shared" si="5"/>
        <v>1</v>
      </c>
      <c r="N57" s="6" t="str">
        <f t="shared" si="6"/>
        <v>PASS</v>
      </c>
    </row>
    <row r="58" spans="4:14" x14ac:dyDescent="0.35">
      <c r="D58" s="6">
        <v>44</v>
      </c>
      <c r="E58" s="6" t="s">
        <v>312</v>
      </c>
      <c r="F58" s="6">
        <v>10</v>
      </c>
      <c r="G58" s="6">
        <v>14</v>
      </c>
      <c r="H58" s="6">
        <v>8</v>
      </c>
      <c r="I58" s="6">
        <v>15</v>
      </c>
      <c r="J58" s="6">
        <f t="shared" si="7"/>
        <v>23</v>
      </c>
      <c r="K58" s="6">
        <v>13</v>
      </c>
      <c r="L58" s="6">
        <f t="shared" si="4"/>
        <v>60</v>
      </c>
      <c r="M58" s="6">
        <f t="shared" si="5"/>
        <v>2</v>
      </c>
      <c r="N58" s="6" t="str">
        <f t="shared" si="6"/>
        <v>PASS</v>
      </c>
    </row>
    <row r="59" spans="4:14" x14ac:dyDescent="0.35">
      <c r="D59" s="6">
        <v>45</v>
      </c>
      <c r="E59" s="6" t="s">
        <v>578</v>
      </c>
      <c r="F59" s="6">
        <v>20</v>
      </c>
      <c r="G59" s="6">
        <v>5</v>
      </c>
      <c r="H59" s="6">
        <v>10</v>
      </c>
      <c r="I59" s="6">
        <v>8</v>
      </c>
      <c r="J59" s="6">
        <f t="shared" si="7"/>
        <v>18</v>
      </c>
      <c r="K59" s="6">
        <v>14</v>
      </c>
      <c r="L59" s="6">
        <f t="shared" si="4"/>
        <v>57</v>
      </c>
      <c r="M59" s="6">
        <f t="shared" si="5"/>
        <v>2</v>
      </c>
      <c r="N59" s="6" t="str">
        <f t="shared" si="6"/>
        <v>PASS</v>
      </c>
    </row>
    <row r="60" spans="4:14" x14ac:dyDescent="0.35">
      <c r="D60" s="6">
        <v>46</v>
      </c>
      <c r="E60" s="6" t="s">
        <v>314</v>
      </c>
      <c r="F60" s="6">
        <v>3</v>
      </c>
      <c r="G60" s="6">
        <v>9</v>
      </c>
      <c r="H60" s="6">
        <v>10</v>
      </c>
      <c r="I60" s="6">
        <v>13</v>
      </c>
      <c r="J60" s="6">
        <f t="shared" si="7"/>
        <v>23</v>
      </c>
      <c r="K60" s="6">
        <v>12</v>
      </c>
      <c r="L60" s="6">
        <f t="shared" si="4"/>
        <v>47</v>
      </c>
      <c r="M60" s="6">
        <f t="shared" si="5"/>
        <v>1</v>
      </c>
      <c r="N60" s="6" t="str">
        <f t="shared" si="6"/>
        <v>PASS</v>
      </c>
    </row>
    <row r="61" spans="4:14" x14ac:dyDescent="0.35">
      <c r="D61" s="6">
        <v>47</v>
      </c>
      <c r="E61" s="6" t="s">
        <v>579</v>
      </c>
      <c r="F61" s="6">
        <v>13</v>
      </c>
      <c r="G61" s="6">
        <v>8</v>
      </c>
      <c r="H61" s="6">
        <v>2</v>
      </c>
      <c r="I61" s="6">
        <v>16</v>
      </c>
      <c r="J61" s="6">
        <f t="shared" si="7"/>
        <v>18</v>
      </c>
      <c r="K61" s="6">
        <v>14</v>
      </c>
      <c r="L61" s="6">
        <f t="shared" si="4"/>
        <v>53</v>
      </c>
      <c r="M61" s="6">
        <f t="shared" si="5"/>
        <v>2</v>
      </c>
      <c r="N61" s="6" t="str">
        <f t="shared" si="6"/>
        <v>PASS</v>
      </c>
    </row>
    <row r="62" spans="4:14" x14ac:dyDescent="0.35">
      <c r="D62" s="6">
        <v>48</v>
      </c>
      <c r="E62" s="6" t="s">
        <v>323</v>
      </c>
      <c r="F62" s="6">
        <v>7</v>
      </c>
      <c r="G62" s="6">
        <v>20</v>
      </c>
      <c r="H62" s="6">
        <v>3</v>
      </c>
      <c r="I62" s="6">
        <v>20</v>
      </c>
      <c r="J62" s="6">
        <f t="shared" si="7"/>
        <v>23</v>
      </c>
      <c r="K62" s="6">
        <v>4</v>
      </c>
      <c r="L62" s="6">
        <f t="shared" si="4"/>
        <v>54</v>
      </c>
      <c r="M62" s="6">
        <f t="shared" si="5"/>
        <v>2</v>
      </c>
      <c r="N62" s="6" t="str">
        <f t="shared" si="6"/>
        <v>PASS</v>
      </c>
    </row>
    <row r="63" spans="4:14" x14ac:dyDescent="0.35">
      <c r="D63" s="6">
        <v>49</v>
      </c>
      <c r="E63" s="6" t="s">
        <v>580</v>
      </c>
      <c r="F63" s="6">
        <v>17</v>
      </c>
      <c r="G63" s="6">
        <v>2</v>
      </c>
      <c r="H63" s="6">
        <v>7</v>
      </c>
      <c r="I63" s="6">
        <v>13</v>
      </c>
      <c r="J63" s="6">
        <f t="shared" si="7"/>
        <v>20</v>
      </c>
      <c r="K63" s="6">
        <v>23</v>
      </c>
      <c r="L63" s="6">
        <f t="shared" si="4"/>
        <v>62</v>
      </c>
      <c r="M63" s="6">
        <f t="shared" si="5"/>
        <v>2</v>
      </c>
      <c r="N63" s="6" t="str">
        <f t="shared" si="6"/>
        <v>PASS</v>
      </c>
    </row>
    <row r="64" spans="4:14" x14ac:dyDescent="0.35">
      <c r="D64" s="6">
        <v>50</v>
      </c>
      <c r="E64" s="6" t="s">
        <v>581</v>
      </c>
      <c r="F64" s="6">
        <v>11</v>
      </c>
      <c r="G64" s="6">
        <v>18</v>
      </c>
      <c r="H64" s="6">
        <v>1</v>
      </c>
      <c r="I64" s="6">
        <v>4</v>
      </c>
      <c r="J64" s="6">
        <f t="shared" si="7"/>
        <v>5</v>
      </c>
      <c r="K64" s="6">
        <v>8</v>
      </c>
      <c r="L64" s="6">
        <f t="shared" si="4"/>
        <v>42</v>
      </c>
      <c r="M64" s="6">
        <f t="shared" si="5"/>
        <v>1</v>
      </c>
      <c r="N64" s="6" t="str">
        <f t="shared" si="6"/>
        <v>PASS</v>
      </c>
    </row>
    <row r="65" spans="4:14" x14ac:dyDescent="0.35">
      <c r="D65" s="6">
        <v>51</v>
      </c>
      <c r="E65" s="6" t="s">
        <v>332</v>
      </c>
      <c r="F65" s="6">
        <v>20</v>
      </c>
      <c r="G65" s="6">
        <v>10</v>
      </c>
      <c r="H65" s="6">
        <v>3</v>
      </c>
      <c r="I65" s="6">
        <v>2</v>
      </c>
      <c r="J65" s="6">
        <f t="shared" si="7"/>
        <v>5</v>
      </c>
      <c r="K65" s="6">
        <v>24</v>
      </c>
      <c r="L65" s="6">
        <f t="shared" si="4"/>
        <v>59</v>
      </c>
      <c r="M65" s="6">
        <f t="shared" si="5"/>
        <v>2</v>
      </c>
      <c r="N65" s="6" t="str">
        <f t="shared" si="6"/>
        <v>PASS</v>
      </c>
    </row>
    <row r="66" spans="4:14" x14ac:dyDescent="0.35">
      <c r="D66" s="6">
        <v>52</v>
      </c>
      <c r="E66" s="6" t="s">
        <v>582</v>
      </c>
      <c r="F66" s="6">
        <v>5</v>
      </c>
      <c r="G66" s="6">
        <v>4</v>
      </c>
      <c r="H66" s="6">
        <v>1</v>
      </c>
      <c r="I66" s="6">
        <v>5</v>
      </c>
      <c r="J66" s="6">
        <f t="shared" si="7"/>
        <v>6</v>
      </c>
      <c r="K66" s="6">
        <v>11</v>
      </c>
      <c r="L66" s="6">
        <f t="shared" si="4"/>
        <v>26</v>
      </c>
      <c r="M66" s="6">
        <f t="shared" si="5"/>
        <v>0</v>
      </c>
      <c r="N66" s="6" t="str">
        <f t="shared" si="6"/>
        <v>FAIL</v>
      </c>
    </row>
    <row r="67" spans="4:14" x14ac:dyDescent="0.35">
      <c r="D67" s="6">
        <v>53</v>
      </c>
      <c r="E67" s="6" t="s">
        <v>341</v>
      </c>
      <c r="F67" s="6">
        <v>7</v>
      </c>
      <c r="G67" s="6">
        <v>0</v>
      </c>
      <c r="H67" s="6">
        <v>6</v>
      </c>
      <c r="I67" s="6">
        <v>0</v>
      </c>
      <c r="J67" s="6">
        <f t="shared" si="7"/>
        <v>6</v>
      </c>
      <c r="K67" s="6">
        <v>29</v>
      </c>
      <c r="L67" s="6">
        <f t="shared" si="4"/>
        <v>42</v>
      </c>
      <c r="M67" s="6">
        <f t="shared" si="5"/>
        <v>1</v>
      </c>
      <c r="N67" s="6" t="str">
        <f t="shared" si="6"/>
        <v>PASS</v>
      </c>
    </row>
    <row r="68" spans="4:14" x14ac:dyDescent="0.35">
      <c r="D68" s="6">
        <v>54</v>
      </c>
      <c r="E68" s="6" t="s">
        <v>346</v>
      </c>
      <c r="F68" s="6">
        <v>19</v>
      </c>
      <c r="G68" s="6">
        <v>0</v>
      </c>
      <c r="H68" s="6">
        <v>10</v>
      </c>
      <c r="I68" s="6">
        <v>18</v>
      </c>
      <c r="J68" s="6">
        <f t="shared" si="7"/>
        <v>28</v>
      </c>
      <c r="K68" s="6">
        <v>7</v>
      </c>
      <c r="L68" s="6">
        <f t="shared" si="4"/>
        <v>54</v>
      </c>
      <c r="M68" s="6">
        <f t="shared" si="5"/>
        <v>2</v>
      </c>
      <c r="N68" s="6" t="str">
        <f t="shared" si="6"/>
        <v>PASS</v>
      </c>
    </row>
    <row r="69" spans="4:14" x14ac:dyDescent="0.35">
      <c r="D69" s="6">
        <v>55</v>
      </c>
      <c r="E69" s="6" t="s">
        <v>583</v>
      </c>
      <c r="F69" s="6">
        <v>11</v>
      </c>
      <c r="G69" s="6">
        <v>16</v>
      </c>
      <c r="H69" s="6">
        <v>4</v>
      </c>
      <c r="I69" s="6">
        <v>16</v>
      </c>
      <c r="J69" s="6">
        <f t="shared" si="7"/>
        <v>20</v>
      </c>
      <c r="K69" s="6">
        <v>19</v>
      </c>
      <c r="L69" s="6">
        <f t="shared" si="4"/>
        <v>66</v>
      </c>
      <c r="M69" s="6">
        <f t="shared" si="5"/>
        <v>2</v>
      </c>
      <c r="N69" s="6" t="str">
        <f t="shared" si="6"/>
        <v>PASS</v>
      </c>
    </row>
    <row r="70" spans="4:14" x14ac:dyDescent="0.35">
      <c r="D70" s="6">
        <v>56</v>
      </c>
      <c r="E70" s="6" t="s">
        <v>355</v>
      </c>
      <c r="F70" s="6">
        <v>14</v>
      </c>
      <c r="G70" s="6">
        <v>19</v>
      </c>
      <c r="H70" s="6">
        <v>4</v>
      </c>
      <c r="I70" s="6">
        <v>19</v>
      </c>
      <c r="J70" s="6">
        <f t="shared" si="7"/>
        <v>23</v>
      </c>
      <c r="K70" s="6">
        <v>13</v>
      </c>
      <c r="L70" s="6">
        <f t="shared" si="4"/>
        <v>69</v>
      </c>
      <c r="M70" s="6">
        <f t="shared" si="5"/>
        <v>2</v>
      </c>
      <c r="N70" s="6" t="str">
        <f t="shared" si="6"/>
        <v>PASS</v>
      </c>
    </row>
    <row r="71" spans="4:14" x14ac:dyDescent="0.35">
      <c r="D71" s="6">
        <v>57</v>
      </c>
      <c r="E71" s="6" t="s">
        <v>584</v>
      </c>
      <c r="F71" s="6">
        <v>2</v>
      </c>
      <c r="G71" s="6">
        <v>12</v>
      </c>
      <c r="H71" s="6">
        <v>9</v>
      </c>
      <c r="I71" s="6">
        <v>11</v>
      </c>
      <c r="J71" s="6">
        <f t="shared" si="7"/>
        <v>20</v>
      </c>
      <c r="K71" s="6">
        <v>9</v>
      </c>
      <c r="L71" s="6">
        <f t="shared" si="4"/>
        <v>43</v>
      </c>
      <c r="M71" s="6">
        <f t="shared" si="5"/>
        <v>1</v>
      </c>
      <c r="N71" s="6" t="str">
        <f t="shared" si="6"/>
        <v>PASS</v>
      </c>
    </row>
    <row r="72" spans="4:14" x14ac:dyDescent="0.35">
      <c r="D72" s="6">
        <v>58</v>
      </c>
      <c r="E72" s="6" t="s">
        <v>364</v>
      </c>
      <c r="F72" s="6">
        <v>9</v>
      </c>
      <c r="G72" s="6">
        <v>3</v>
      </c>
      <c r="H72" s="6">
        <v>4</v>
      </c>
      <c r="I72" s="6">
        <v>19</v>
      </c>
      <c r="J72" s="6">
        <f t="shared" si="7"/>
        <v>23</v>
      </c>
      <c r="K72" s="6">
        <v>9</v>
      </c>
      <c r="L72" s="6">
        <f t="shared" si="4"/>
        <v>44</v>
      </c>
      <c r="M72" s="6">
        <f t="shared" si="5"/>
        <v>1</v>
      </c>
      <c r="N72" s="6" t="str">
        <f t="shared" si="6"/>
        <v>PASS</v>
      </c>
    </row>
    <row r="73" spans="4:14" x14ac:dyDescent="0.35">
      <c r="D73" s="6">
        <v>59</v>
      </c>
      <c r="E73" s="6" t="s">
        <v>369</v>
      </c>
      <c r="F73" s="6">
        <v>0</v>
      </c>
      <c r="G73" s="6">
        <v>8</v>
      </c>
      <c r="H73" s="6">
        <v>7</v>
      </c>
      <c r="I73" s="6">
        <v>5</v>
      </c>
      <c r="J73" s="6">
        <f t="shared" si="7"/>
        <v>12</v>
      </c>
      <c r="K73" s="6">
        <v>7</v>
      </c>
      <c r="L73" s="6">
        <f t="shared" si="4"/>
        <v>27</v>
      </c>
      <c r="M73" s="6">
        <f t="shared" si="5"/>
        <v>0</v>
      </c>
      <c r="N73" s="6" t="str">
        <f t="shared" si="6"/>
        <v>FAIL</v>
      </c>
    </row>
    <row r="74" spans="4:14" x14ac:dyDescent="0.35">
      <c r="D74" s="6">
        <v>60</v>
      </c>
      <c r="E74" s="6" t="s">
        <v>585</v>
      </c>
      <c r="F74" s="6">
        <v>2</v>
      </c>
      <c r="G74" s="6">
        <v>9</v>
      </c>
      <c r="H74" s="6">
        <v>8</v>
      </c>
      <c r="I74" s="6">
        <v>6</v>
      </c>
      <c r="J74" s="6">
        <f t="shared" si="7"/>
        <v>14</v>
      </c>
      <c r="K74" s="6">
        <v>5</v>
      </c>
      <c r="L74" s="6">
        <f t="shared" si="4"/>
        <v>30</v>
      </c>
      <c r="M74" s="6">
        <f t="shared" si="5"/>
        <v>0</v>
      </c>
      <c r="N74" s="6" t="str">
        <f t="shared" si="6"/>
        <v>FAIL</v>
      </c>
    </row>
    <row r="75" spans="4:14" x14ac:dyDescent="0.35">
      <c r="D75" s="6">
        <v>61</v>
      </c>
      <c r="E75" s="6" t="s">
        <v>378</v>
      </c>
      <c r="F75" s="6">
        <v>8</v>
      </c>
      <c r="G75" s="6">
        <v>8</v>
      </c>
      <c r="H75" s="6">
        <v>8</v>
      </c>
      <c r="I75" s="6">
        <v>10</v>
      </c>
      <c r="J75" s="6">
        <f t="shared" si="7"/>
        <v>18</v>
      </c>
      <c r="K75" s="6">
        <v>27</v>
      </c>
      <c r="L75" s="6">
        <f t="shared" si="4"/>
        <v>61</v>
      </c>
      <c r="M75" s="6">
        <f t="shared" si="5"/>
        <v>2</v>
      </c>
      <c r="N75" s="6" t="str">
        <f t="shared" si="6"/>
        <v>PASS</v>
      </c>
    </row>
    <row r="76" spans="4:14" x14ac:dyDescent="0.35">
      <c r="D76" s="6">
        <v>62</v>
      </c>
      <c r="E76" s="6" t="s">
        <v>383</v>
      </c>
      <c r="F76" s="6">
        <v>16</v>
      </c>
      <c r="G76" s="6">
        <v>0</v>
      </c>
      <c r="H76" s="6">
        <v>0</v>
      </c>
      <c r="I76" s="6">
        <v>7</v>
      </c>
      <c r="J76" s="6">
        <f t="shared" si="7"/>
        <v>7</v>
      </c>
      <c r="K76" s="6">
        <v>10</v>
      </c>
      <c r="L76" s="6">
        <f t="shared" si="4"/>
        <v>33</v>
      </c>
      <c r="M76" s="6">
        <f t="shared" si="5"/>
        <v>0</v>
      </c>
      <c r="N76" s="6" t="str">
        <f t="shared" si="6"/>
        <v>FAIL</v>
      </c>
    </row>
    <row r="77" spans="4:14" x14ac:dyDescent="0.35">
      <c r="D77" s="6">
        <v>63</v>
      </c>
      <c r="E77" s="6" t="s">
        <v>388</v>
      </c>
      <c r="F77" s="6">
        <v>16</v>
      </c>
      <c r="G77" s="6">
        <v>0</v>
      </c>
      <c r="H77" s="6">
        <v>2</v>
      </c>
      <c r="I77" s="6">
        <v>8</v>
      </c>
      <c r="J77" s="6">
        <f t="shared" si="7"/>
        <v>10</v>
      </c>
      <c r="K77" s="6">
        <v>14</v>
      </c>
      <c r="L77" s="6">
        <f t="shared" si="4"/>
        <v>40</v>
      </c>
      <c r="M77" s="6">
        <f t="shared" si="5"/>
        <v>1</v>
      </c>
      <c r="N77" s="6" t="str">
        <f t="shared" si="6"/>
        <v>PASS</v>
      </c>
    </row>
    <row r="78" spans="4:14" x14ac:dyDescent="0.35">
      <c r="D78" s="6">
        <v>64</v>
      </c>
      <c r="E78" s="6" t="s">
        <v>586</v>
      </c>
      <c r="F78" s="6">
        <v>7</v>
      </c>
      <c r="G78" s="6">
        <v>8</v>
      </c>
      <c r="H78" s="6">
        <v>1</v>
      </c>
      <c r="I78" s="6">
        <v>0</v>
      </c>
      <c r="J78" s="6">
        <f t="shared" si="7"/>
        <v>1</v>
      </c>
      <c r="K78" s="6">
        <v>1</v>
      </c>
      <c r="L78" s="6">
        <f t="shared" si="4"/>
        <v>17</v>
      </c>
      <c r="M78" s="6">
        <f t="shared" si="5"/>
        <v>0</v>
      </c>
      <c r="N78" s="6" t="str">
        <f t="shared" si="6"/>
        <v>FAIL</v>
      </c>
    </row>
    <row r="79" spans="4:14" x14ac:dyDescent="0.35">
      <c r="D79" s="6">
        <v>65</v>
      </c>
      <c r="E79" s="6" t="s">
        <v>587</v>
      </c>
      <c r="F79" s="6">
        <v>6</v>
      </c>
      <c r="G79" s="6">
        <v>1</v>
      </c>
      <c r="H79" s="6">
        <v>6</v>
      </c>
      <c r="I79" s="6">
        <v>19</v>
      </c>
      <c r="J79" s="6">
        <f t="shared" si="7"/>
        <v>25</v>
      </c>
      <c r="K79" s="6">
        <v>13</v>
      </c>
      <c r="L79" s="6">
        <f t="shared" si="4"/>
        <v>45</v>
      </c>
      <c r="M79" s="6">
        <f t="shared" si="5"/>
        <v>1</v>
      </c>
      <c r="N79" s="6" t="str">
        <f t="shared" si="6"/>
        <v>PASS</v>
      </c>
    </row>
    <row r="80" spans="4:14" x14ac:dyDescent="0.35">
      <c r="D80" s="6">
        <v>66</v>
      </c>
      <c r="E80" s="6" t="s">
        <v>588</v>
      </c>
      <c r="F80" s="6">
        <v>15</v>
      </c>
      <c r="G80" s="6">
        <v>3</v>
      </c>
      <c r="H80" s="6">
        <v>10</v>
      </c>
      <c r="I80" s="6">
        <v>0</v>
      </c>
      <c r="J80" s="6">
        <f t="shared" si="7"/>
        <v>10</v>
      </c>
      <c r="K80" s="6">
        <v>17</v>
      </c>
      <c r="L80" s="6">
        <f t="shared" si="4"/>
        <v>45</v>
      </c>
      <c r="M80" s="6">
        <f t="shared" si="5"/>
        <v>1</v>
      </c>
      <c r="N80" s="6" t="str">
        <f t="shared" si="6"/>
        <v>PASS</v>
      </c>
    </row>
    <row r="81" spans="4:14" x14ac:dyDescent="0.35">
      <c r="D81" s="6">
        <v>67</v>
      </c>
      <c r="E81" s="6" t="s">
        <v>589</v>
      </c>
      <c r="F81" s="6">
        <v>8</v>
      </c>
      <c r="G81" s="6">
        <v>5</v>
      </c>
      <c r="H81" s="6">
        <v>6</v>
      </c>
      <c r="I81" s="6">
        <v>17</v>
      </c>
      <c r="J81" s="6">
        <f t="shared" si="7"/>
        <v>23</v>
      </c>
      <c r="K81" s="6">
        <v>9</v>
      </c>
      <c r="L81" s="6">
        <f t="shared" si="4"/>
        <v>45</v>
      </c>
      <c r="M81" s="6">
        <f t="shared" si="5"/>
        <v>1</v>
      </c>
      <c r="N81" s="6" t="str">
        <f t="shared" si="6"/>
        <v>PASS</v>
      </c>
    </row>
    <row r="82" spans="4:14" x14ac:dyDescent="0.35">
      <c r="D82" s="6">
        <v>68</v>
      </c>
      <c r="E82" s="6" t="s">
        <v>590</v>
      </c>
      <c r="F82" s="6">
        <v>5</v>
      </c>
      <c r="G82" s="6">
        <v>9</v>
      </c>
      <c r="H82" s="6">
        <v>3</v>
      </c>
      <c r="I82" s="6">
        <v>15</v>
      </c>
      <c r="J82" s="6">
        <f t="shared" si="7"/>
        <v>18</v>
      </c>
      <c r="K82" s="6">
        <v>19</v>
      </c>
      <c r="L82" s="6">
        <f t="shared" si="4"/>
        <v>51</v>
      </c>
      <c r="M82" s="6">
        <f t="shared" si="5"/>
        <v>2</v>
      </c>
      <c r="N82" s="6" t="str">
        <f t="shared" si="6"/>
        <v>PASS</v>
      </c>
    </row>
    <row r="83" spans="4:14" x14ac:dyDescent="0.35">
      <c r="D83" s="6">
        <v>69</v>
      </c>
      <c r="E83" s="6" t="s">
        <v>591</v>
      </c>
      <c r="F83" s="6">
        <v>10</v>
      </c>
      <c r="G83" s="6">
        <v>13</v>
      </c>
      <c r="H83" s="6">
        <v>5</v>
      </c>
      <c r="I83" s="6">
        <v>0</v>
      </c>
      <c r="J83" s="6">
        <f t="shared" si="7"/>
        <v>5</v>
      </c>
      <c r="K83" s="6">
        <v>11</v>
      </c>
      <c r="L83" s="6">
        <f t="shared" si="4"/>
        <v>39</v>
      </c>
      <c r="M83" s="6">
        <f t="shared" si="5"/>
        <v>1</v>
      </c>
      <c r="N83" s="6" t="str">
        <f t="shared" si="6"/>
        <v>PASS</v>
      </c>
    </row>
    <row r="84" spans="4:14" x14ac:dyDescent="0.35">
      <c r="D84" s="6">
        <v>70</v>
      </c>
      <c r="E84" s="6" t="s">
        <v>403</v>
      </c>
      <c r="F84" s="6">
        <v>3</v>
      </c>
      <c r="G84" s="6">
        <v>20</v>
      </c>
      <c r="H84" s="6">
        <v>4</v>
      </c>
      <c r="I84" s="6">
        <v>18</v>
      </c>
      <c r="J84" s="6">
        <f t="shared" si="7"/>
        <v>22</v>
      </c>
      <c r="K84" s="6">
        <v>25</v>
      </c>
      <c r="L84" s="6">
        <f t="shared" si="4"/>
        <v>70</v>
      </c>
      <c r="M84" s="6">
        <f t="shared" si="5"/>
        <v>2</v>
      </c>
      <c r="N84" s="6" t="str">
        <f t="shared" si="6"/>
        <v>PASS</v>
      </c>
    </row>
    <row r="85" spans="4:14" x14ac:dyDescent="0.35">
      <c r="D85" s="6">
        <v>71</v>
      </c>
      <c r="E85" s="6" t="s">
        <v>408</v>
      </c>
      <c r="F85" s="6">
        <v>20</v>
      </c>
      <c r="G85" s="6">
        <v>11</v>
      </c>
      <c r="H85" s="6">
        <v>4</v>
      </c>
      <c r="I85" s="6">
        <v>10</v>
      </c>
      <c r="J85" s="6">
        <f t="shared" si="7"/>
        <v>14</v>
      </c>
      <c r="K85" s="6">
        <v>7</v>
      </c>
      <c r="L85" s="6">
        <f t="shared" si="4"/>
        <v>52</v>
      </c>
      <c r="M85" s="6">
        <f t="shared" si="5"/>
        <v>2</v>
      </c>
      <c r="N85" s="6" t="str">
        <f t="shared" si="6"/>
        <v>PASS</v>
      </c>
    </row>
    <row r="86" spans="4:14" x14ac:dyDescent="0.35">
      <c r="D86" s="6">
        <v>72</v>
      </c>
      <c r="E86" s="6" t="s">
        <v>592</v>
      </c>
      <c r="F86" s="6">
        <v>0</v>
      </c>
      <c r="G86" s="6">
        <v>15</v>
      </c>
      <c r="H86" s="6">
        <v>7</v>
      </c>
      <c r="I86" s="6">
        <v>14</v>
      </c>
      <c r="J86" s="6">
        <f t="shared" si="7"/>
        <v>21</v>
      </c>
      <c r="K86" s="6">
        <v>12</v>
      </c>
      <c r="L86" s="6">
        <f t="shared" si="4"/>
        <v>48</v>
      </c>
      <c r="M86" s="6">
        <f t="shared" si="5"/>
        <v>1</v>
      </c>
      <c r="N86" s="6" t="str">
        <f t="shared" si="6"/>
        <v>PASS</v>
      </c>
    </row>
    <row r="87" spans="4:14" x14ac:dyDescent="0.35">
      <c r="D87" s="6">
        <v>73</v>
      </c>
      <c r="E87" s="6" t="s">
        <v>416</v>
      </c>
      <c r="F87" s="6">
        <v>6</v>
      </c>
      <c r="G87" s="6">
        <v>1</v>
      </c>
      <c r="H87" s="6">
        <v>4</v>
      </c>
      <c r="I87" s="6">
        <v>1</v>
      </c>
      <c r="J87" s="6">
        <f t="shared" si="7"/>
        <v>5</v>
      </c>
      <c r="K87" s="6">
        <v>20</v>
      </c>
      <c r="L87" s="6">
        <f t="shared" si="4"/>
        <v>32</v>
      </c>
      <c r="M87" s="6">
        <f t="shared" si="5"/>
        <v>0</v>
      </c>
      <c r="N87" s="6" t="str">
        <f t="shared" si="6"/>
        <v>FAIL</v>
      </c>
    </row>
    <row r="88" spans="4:14" x14ac:dyDescent="0.35">
      <c r="D88" s="6">
        <v>74</v>
      </c>
      <c r="E88" s="6" t="s">
        <v>421</v>
      </c>
      <c r="F88" s="6">
        <v>0</v>
      </c>
      <c r="G88" s="6">
        <v>20</v>
      </c>
      <c r="H88" s="6">
        <v>1</v>
      </c>
      <c r="I88" s="6">
        <v>7</v>
      </c>
      <c r="J88" s="6">
        <f t="shared" si="7"/>
        <v>8</v>
      </c>
      <c r="K88" s="6">
        <v>10</v>
      </c>
      <c r="L88" s="6">
        <f t="shared" si="4"/>
        <v>38</v>
      </c>
      <c r="M88" s="6">
        <f t="shared" si="5"/>
        <v>1</v>
      </c>
      <c r="N88" s="6" t="str">
        <f t="shared" si="6"/>
        <v>PASS</v>
      </c>
    </row>
    <row r="89" spans="4:14" x14ac:dyDescent="0.35">
      <c r="D89" s="6">
        <v>75</v>
      </c>
      <c r="E89" s="6" t="s">
        <v>426</v>
      </c>
      <c r="F89" s="6">
        <v>12</v>
      </c>
      <c r="G89" s="6">
        <v>10</v>
      </c>
      <c r="H89" s="6">
        <v>1</v>
      </c>
      <c r="I89" s="6">
        <v>18</v>
      </c>
      <c r="J89" s="6">
        <f t="shared" si="7"/>
        <v>19</v>
      </c>
      <c r="K89" s="6">
        <v>11</v>
      </c>
      <c r="L89" s="6">
        <f t="shared" si="4"/>
        <v>52</v>
      </c>
      <c r="M89" s="6">
        <f t="shared" si="5"/>
        <v>2</v>
      </c>
      <c r="N89" s="6" t="str">
        <f t="shared" si="6"/>
        <v>PASS</v>
      </c>
    </row>
    <row r="90" spans="4:14" x14ac:dyDescent="0.35">
      <c r="D90" s="6">
        <v>76</v>
      </c>
      <c r="E90" s="6" t="s">
        <v>431</v>
      </c>
      <c r="F90" s="6">
        <v>13</v>
      </c>
      <c r="G90" s="6">
        <v>3</v>
      </c>
      <c r="H90" s="6">
        <v>8</v>
      </c>
      <c r="I90" s="6">
        <v>17</v>
      </c>
      <c r="J90" s="6">
        <f t="shared" si="7"/>
        <v>25</v>
      </c>
      <c r="K90" s="6">
        <v>14</v>
      </c>
      <c r="L90" s="6">
        <f t="shared" si="4"/>
        <v>55</v>
      </c>
      <c r="M90" s="6">
        <f t="shared" si="5"/>
        <v>2</v>
      </c>
      <c r="N90" s="6" t="str">
        <f t="shared" si="6"/>
        <v>PASS</v>
      </c>
    </row>
    <row r="91" spans="4:14" x14ac:dyDescent="0.35">
      <c r="D91" s="6">
        <v>77</v>
      </c>
      <c r="E91" s="6" t="s">
        <v>436</v>
      </c>
      <c r="F91" s="6">
        <v>2</v>
      </c>
      <c r="G91" s="6">
        <v>15</v>
      </c>
      <c r="H91" s="6">
        <v>0</v>
      </c>
      <c r="I91" s="6">
        <v>11</v>
      </c>
      <c r="J91" s="6">
        <f t="shared" si="7"/>
        <v>11</v>
      </c>
      <c r="K91" s="6">
        <v>4</v>
      </c>
      <c r="L91" s="6">
        <f t="shared" si="4"/>
        <v>32</v>
      </c>
      <c r="M91" s="6">
        <f t="shared" si="5"/>
        <v>0</v>
      </c>
      <c r="N91" s="6" t="str">
        <f t="shared" si="6"/>
        <v>FAIL</v>
      </c>
    </row>
    <row r="92" spans="4:14" x14ac:dyDescent="0.35">
      <c r="D92" s="6">
        <v>78</v>
      </c>
      <c r="E92" s="6" t="s">
        <v>593</v>
      </c>
      <c r="F92" s="6">
        <v>12</v>
      </c>
      <c r="G92" s="6">
        <v>8</v>
      </c>
      <c r="H92" s="6">
        <v>0</v>
      </c>
      <c r="I92" s="6">
        <v>14</v>
      </c>
      <c r="J92" s="6">
        <f t="shared" si="7"/>
        <v>14</v>
      </c>
      <c r="K92" s="6">
        <v>1</v>
      </c>
      <c r="L92" s="6">
        <f t="shared" si="4"/>
        <v>35</v>
      </c>
      <c r="M92" s="6">
        <f t="shared" si="5"/>
        <v>0</v>
      </c>
      <c r="N92" s="6" t="str">
        <f t="shared" si="6"/>
        <v>PASS</v>
      </c>
    </row>
    <row r="93" spans="4:14" x14ac:dyDescent="0.35">
      <c r="D93" s="6">
        <v>79</v>
      </c>
      <c r="E93" s="6" t="s">
        <v>442</v>
      </c>
      <c r="F93" s="6">
        <v>17</v>
      </c>
      <c r="G93" s="6">
        <v>8</v>
      </c>
      <c r="H93" s="6">
        <v>10</v>
      </c>
      <c r="I93" s="6">
        <v>17</v>
      </c>
      <c r="J93" s="6">
        <f t="shared" si="7"/>
        <v>27</v>
      </c>
      <c r="K93" s="6">
        <v>21</v>
      </c>
      <c r="L93" s="6">
        <f t="shared" si="4"/>
        <v>73</v>
      </c>
      <c r="M93" s="6">
        <f t="shared" si="5"/>
        <v>2</v>
      </c>
      <c r="N93" s="6" t="str">
        <f t="shared" si="6"/>
        <v>PASS</v>
      </c>
    </row>
    <row r="94" spans="4:14" x14ac:dyDescent="0.35">
      <c r="D94" s="6">
        <v>80</v>
      </c>
      <c r="E94" s="6" t="s">
        <v>447</v>
      </c>
      <c r="F94" s="6">
        <v>18</v>
      </c>
      <c r="G94" s="6">
        <v>14</v>
      </c>
      <c r="H94" s="6">
        <v>9</v>
      </c>
      <c r="I94" s="6">
        <v>8</v>
      </c>
      <c r="J94" s="6">
        <f t="shared" si="7"/>
        <v>17</v>
      </c>
      <c r="K94" s="6">
        <v>29</v>
      </c>
      <c r="L94" s="6">
        <f t="shared" si="4"/>
        <v>78</v>
      </c>
      <c r="M94" s="6">
        <f t="shared" si="5"/>
        <v>3</v>
      </c>
      <c r="N94" s="6" t="str">
        <f t="shared" si="6"/>
        <v>PASS</v>
      </c>
    </row>
    <row r="95" spans="4:14" x14ac:dyDescent="0.35">
      <c r="D95" s="6">
        <v>81</v>
      </c>
      <c r="E95" s="6" t="s">
        <v>452</v>
      </c>
      <c r="F95" s="6">
        <v>12</v>
      </c>
      <c r="G95" s="6">
        <v>1</v>
      </c>
      <c r="H95" s="6">
        <v>10</v>
      </c>
      <c r="I95" s="6">
        <v>14</v>
      </c>
      <c r="J95" s="6">
        <f t="shared" si="7"/>
        <v>24</v>
      </c>
      <c r="K95" s="6">
        <v>10</v>
      </c>
      <c r="L95" s="6">
        <f t="shared" si="4"/>
        <v>47</v>
      </c>
      <c r="M95" s="6">
        <f t="shared" si="5"/>
        <v>1</v>
      </c>
      <c r="N95" s="6" t="str">
        <f t="shared" si="6"/>
        <v>PASS</v>
      </c>
    </row>
    <row r="96" spans="4:14" x14ac:dyDescent="0.35">
      <c r="D96" s="6">
        <v>82</v>
      </c>
      <c r="E96" s="6" t="s">
        <v>594</v>
      </c>
      <c r="F96" s="6">
        <v>9</v>
      </c>
      <c r="G96" s="6">
        <v>10</v>
      </c>
      <c r="H96" s="6">
        <v>0</v>
      </c>
      <c r="I96" s="6">
        <v>19</v>
      </c>
      <c r="J96" s="6">
        <f t="shared" si="7"/>
        <v>19</v>
      </c>
      <c r="K96" s="6">
        <v>1</v>
      </c>
      <c r="L96" s="6">
        <f t="shared" si="4"/>
        <v>39</v>
      </c>
      <c r="M96" s="6">
        <f t="shared" si="5"/>
        <v>1</v>
      </c>
      <c r="N96" s="6" t="str">
        <f t="shared" si="6"/>
        <v>PASS</v>
      </c>
    </row>
    <row r="97" spans="4:14" x14ac:dyDescent="0.35">
      <c r="D97" s="6">
        <v>83</v>
      </c>
      <c r="E97" s="6" t="s">
        <v>595</v>
      </c>
      <c r="F97" s="6">
        <v>7</v>
      </c>
      <c r="G97" s="6">
        <v>18</v>
      </c>
      <c r="H97" s="6">
        <v>1</v>
      </c>
      <c r="I97" s="6">
        <v>16</v>
      </c>
      <c r="J97" s="6">
        <f t="shared" si="7"/>
        <v>17</v>
      </c>
      <c r="K97" s="6">
        <v>28</v>
      </c>
      <c r="L97" s="6">
        <f t="shared" si="4"/>
        <v>70</v>
      </c>
      <c r="M97" s="6">
        <f t="shared" si="5"/>
        <v>2</v>
      </c>
      <c r="N97" s="6" t="str">
        <f t="shared" si="6"/>
        <v>PASS</v>
      </c>
    </row>
    <row r="98" spans="4:14" x14ac:dyDescent="0.35">
      <c r="D98" s="6">
        <v>84</v>
      </c>
      <c r="E98" s="6" t="s">
        <v>464</v>
      </c>
      <c r="F98" s="6">
        <v>5</v>
      </c>
      <c r="G98" s="6">
        <v>6</v>
      </c>
      <c r="H98" s="6">
        <v>6</v>
      </c>
      <c r="I98" s="6">
        <v>16</v>
      </c>
      <c r="J98" s="6">
        <f t="shared" si="7"/>
        <v>22</v>
      </c>
      <c r="K98" s="6">
        <v>30</v>
      </c>
      <c r="L98" s="6">
        <f t="shared" si="4"/>
        <v>63</v>
      </c>
      <c r="M98" s="6">
        <f t="shared" si="5"/>
        <v>2</v>
      </c>
      <c r="N98" s="6" t="str">
        <f t="shared" si="6"/>
        <v>PASS</v>
      </c>
    </row>
    <row r="99" spans="4:14" x14ac:dyDescent="0.35">
      <c r="D99" s="6">
        <v>85</v>
      </c>
      <c r="E99" s="6" t="s">
        <v>596</v>
      </c>
      <c r="F99" s="6">
        <v>1</v>
      </c>
      <c r="G99" s="6">
        <v>7</v>
      </c>
      <c r="H99" s="6">
        <v>5</v>
      </c>
      <c r="I99" s="6">
        <v>15</v>
      </c>
      <c r="J99" s="6">
        <f t="shared" si="7"/>
        <v>20</v>
      </c>
      <c r="K99" s="6">
        <v>22</v>
      </c>
      <c r="L99" s="6">
        <f t="shared" ref="L99:L114" si="8">K99+J99+G99+F99</f>
        <v>50</v>
      </c>
      <c r="M99" s="6">
        <f t="shared" ref="M99:M114" si="9">IF(L99&gt;75,3,IF(L99&gt;50,2,IF(L99&gt;35,1,0)))</f>
        <v>1</v>
      </c>
      <c r="N99" s="6" t="str">
        <f t="shared" ref="N99:N114" si="10">IF(L99&lt;35,"FAIL","PASS")</f>
        <v>PASS</v>
      </c>
    </row>
    <row r="100" spans="4:14" x14ac:dyDescent="0.35">
      <c r="D100" s="6">
        <v>86</v>
      </c>
      <c r="E100" s="6" t="s">
        <v>473</v>
      </c>
      <c r="F100" s="6">
        <v>20</v>
      </c>
      <c r="G100" s="6">
        <v>0</v>
      </c>
      <c r="H100" s="6">
        <v>2</v>
      </c>
      <c r="I100" s="6">
        <v>9</v>
      </c>
      <c r="J100" s="6">
        <f t="shared" ref="J100:J114" si="11">I100+H100</f>
        <v>11</v>
      </c>
      <c r="K100" s="6">
        <v>12</v>
      </c>
      <c r="L100" s="6">
        <f t="shared" si="8"/>
        <v>43</v>
      </c>
      <c r="M100" s="6">
        <f t="shared" si="9"/>
        <v>1</v>
      </c>
      <c r="N100" s="6" t="str">
        <f t="shared" si="10"/>
        <v>PASS</v>
      </c>
    </row>
    <row r="101" spans="4:14" x14ac:dyDescent="0.35">
      <c r="D101" s="6">
        <v>87</v>
      </c>
      <c r="E101" s="6" t="s">
        <v>597</v>
      </c>
      <c r="F101" s="6">
        <v>16</v>
      </c>
      <c r="G101" s="6">
        <v>20</v>
      </c>
      <c r="H101" s="6">
        <v>10</v>
      </c>
      <c r="I101" s="6">
        <v>20</v>
      </c>
      <c r="J101" s="6">
        <f t="shared" si="11"/>
        <v>30</v>
      </c>
      <c r="K101" s="6">
        <v>29</v>
      </c>
      <c r="L101" s="6">
        <f t="shared" si="8"/>
        <v>95</v>
      </c>
      <c r="M101" s="6">
        <f t="shared" si="9"/>
        <v>3</v>
      </c>
      <c r="N101" s="6" t="str">
        <f t="shared" si="10"/>
        <v>PASS</v>
      </c>
    </row>
    <row r="102" spans="4:14" x14ac:dyDescent="0.35">
      <c r="D102" s="6">
        <v>88</v>
      </c>
      <c r="E102" s="6" t="s">
        <v>598</v>
      </c>
      <c r="F102" s="6">
        <v>16</v>
      </c>
      <c r="G102" s="6">
        <v>14</v>
      </c>
      <c r="H102" s="6">
        <v>9</v>
      </c>
      <c r="I102" s="6">
        <v>14</v>
      </c>
      <c r="J102" s="6">
        <f t="shared" si="11"/>
        <v>23</v>
      </c>
      <c r="K102" s="6">
        <v>25</v>
      </c>
      <c r="L102" s="6">
        <f t="shared" si="8"/>
        <v>78</v>
      </c>
      <c r="M102" s="6">
        <f t="shared" si="9"/>
        <v>3</v>
      </c>
      <c r="N102" s="6" t="str">
        <f t="shared" si="10"/>
        <v>PASS</v>
      </c>
    </row>
    <row r="103" spans="4:14" x14ac:dyDescent="0.35">
      <c r="D103" s="6">
        <v>89</v>
      </c>
      <c r="E103" s="6" t="s">
        <v>486</v>
      </c>
      <c r="F103" s="6">
        <v>4</v>
      </c>
      <c r="G103" s="6">
        <v>16</v>
      </c>
      <c r="H103" s="6">
        <v>9</v>
      </c>
      <c r="I103" s="6">
        <v>12</v>
      </c>
      <c r="J103" s="6">
        <f t="shared" si="11"/>
        <v>21</v>
      </c>
      <c r="K103" s="6">
        <v>18</v>
      </c>
      <c r="L103" s="6">
        <f t="shared" si="8"/>
        <v>59</v>
      </c>
      <c r="M103" s="6">
        <f t="shared" si="9"/>
        <v>2</v>
      </c>
      <c r="N103" s="6" t="str">
        <f t="shared" si="10"/>
        <v>PASS</v>
      </c>
    </row>
    <row r="104" spans="4:14" x14ac:dyDescent="0.35">
      <c r="D104" s="6">
        <v>90</v>
      </c>
      <c r="E104" s="6" t="s">
        <v>491</v>
      </c>
      <c r="F104" s="6">
        <v>17</v>
      </c>
      <c r="G104" s="6">
        <v>6</v>
      </c>
      <c r="H104" s="6">
        <v>10</v>
      </c>
      <c r="I104" s="6">
        <v>10</v>
      </c>
      <c r="J104" s="6">
        <f t="shared" si="11"/>
        <v>20</v>
      </c>
      <c r="K104" s="6">
        <v>9</v>
      </c>
      <c r="L104" s="6">
        <f t="shared" si="8"/>
        <v>52</v>
      </c>
      <c r="M104" s="6">
        <f t="shared" si="9"/>
        <v>2</v>
      </c>
      <c r="N104" s="6" t="str">
        <f t="shared" si="10"/>
        <v>PASS</v>
      </c>
    </row>
    <row r="105" spans="4:14" x14ac:dyDescent="0.35">
      <c r="D105" s="6">
        <v>91</v>
      </c>
      <c r="E105" s="6" t="s">
        <v>599</v>
      </c>
      <c r="F105" s="6">
        <v>6</v>
      </c>
      <c r="G105" s="6">
        <v>9</v>
      </c>
      <c r="H105" s="6">
        <v>3</v>
      </c>
      <c r="I105" s="6">
        <v>0</v>
      </c>
      <c r="J105" s="6">
        <f t="shared" si="11"/>
        <v>3</v>
      </c>
      <c r="K105" s="6">
        <v>30</v>
      </c>
      <c r="L105" s="6">
        <f t="shared" si="8"/>
        <v>48</v>
      </c>
      <c r="M105" s="6">
        <f t="shared" si="9"/>
        <v>1</v>
      </c>
      <c r="N105" s="6" t="str">
        <f t="shared" si="10"/>
        <v>PASS</v>
      </c>
    </row>
    <row r="106" spans="4:14" x14ac:dyDescent="0.35">
      <c r="D106" s="6">
        <v>92</v>
      </c>
      <c r="E106" s="6" t="s">
        <v>500</v>
      </c>
      <c r="F106" s="6">
        <v>17</v>
      </c>
      <c r="G106" s="6">
        <v>7</v>
      </c>
      <c r="H106" s="6">
        <v>3</v>
      </c>
      <c r="I106" s="6">
        <v>0</v>
      </c>
      <c r="J106" s="6">
        <f t="shared" si="11"/>
        <v>3</v>
      </c>
      <c r="K106" s="6">
        <v>29</v>
      </c>
      <c r="L106" s="6">
        <f t="shared" si="8"/>
        <v>56</v>
      </c>
      <c r="M106" s="6">
        <f t="shared" si="9"/>
        <v>2</v>
      </c>
      <c r="N106" s="6" t="str">
        <f t="shared" si="10"/>
        <v>PASS</v>
      </c>
    </row>
    <row r="107" spans="4:14" x14ac:dyDescent="0.35">
      <c r="D107" s="6">
        <v>93</v>
      </c>
      <c r="E107" s="6" t="s">
        <v>505</v>
      </c>
      <c r="F107" s="6">
        <v>11</v>
      </c>
      <c r="G107" s="6">
        <v>7</v>
      </c>
      <c r="H107" s="6">
        <v>2</v>
      </c>
      <c r="I107" s="6">
        <v>3</v>
      </c>
      <c r="J107" s="6">
        <f t="shared" si="11"/>
        <v>5</v>
      </c>
      <c r="K107" s="6">
        <v>3</v>
      </c>
      <c r="L107" s="6">
        <f t="shared" si="8"/>
        <v>26</v>
      </c>
      <c r="M107" s="6">
        <f t="shared" si="9"/>
        <v>0</v>
      </c>
      <c r="N107" s="6" t="str">
        <f t="shared" si="10"/>
        <v>FAIL</v>
      </c>
    </row>
    <row r="108" spans="4:14" x14ac:dyDescent="0.35">
      <c r="D108" s="6">
        <v>94</v>
      </c>
      <c r="E108" s="6" t="s">
        <v>510</v>
      </c>
      <c r="F108" s="6">
        <v>11</v>
      </c>
      <c r="G108" s="6">
        <v>17</v>
      </c>
      <c r="H108" s="6">
        <v>4</v>
      </c>
      <c r="I108" s="6">
        <v>1</v>
      </c>
      <c r="J108" s="6">
        <f t="shared" si="11"/>
        <v>5</v>
      </c>
      <c r="K108" s="6">
        <v>17</v>
      </c>
      <c r="L108" s="6">
        <f t="shared" si="8"/>
        <v>50</v>
      </c>
      <c r="M108" s="6">
        <f t="shared" si="9"/>
        <v>1</v>
      </c>
      <c r="N108" s="6" t="str">
        <f t="shared" si="10"/>
        <v>PASS</v>
      </c>
    </row>
    <row r="109" spans="4:14" x14ac:dyDescent="0.35">
      <c r="D109" s="6">
        <v>95</v>
      </c>
      <c r="E109" s="6" t="s">
        <v>600</v>
      </c>
      <c r="F109" s="6">
        <v>3</v>
      </c>
      <c r="G109" s="6">
        <v>19</v>
      </c>
      <c r="H109" s="6">
        <v>5</v>
      </c>
      <c r="I109" s="6">
        <v>3</v>
      </c>
      <c r="J109" s="6">
        <f t="shared" si="11"/>
        <v>8</v>
      </c>
      <c r="K109" s="6">
        <v>30</v>
      </c>
      <c r="L109" s="6">
        <f t="shared" si="8"/>
        <v>60</v>
      </c>
      <c r="M109" s="6">
        <f t="shared" si="9"/>
        <v>2</v>
      </c>
      <c r="N109" s="6" t="str">
        <f t="shared" si="10"/>
        <v>PASS</v>
      </c>
    </row>
    <row r="110" spans="4:14" x14ac:dyDescent="0.35">
      <c r="D110" s="6">
        <v>96</v>
      </c>
      <c r="E110" s="6" t="s">
        <v>516</v>
      </c>
      <c r="F110" s="6">
        <v>13</v>
      </c>
      <c r="G110" s="6">
        <v>15</v>
      </c>
      <c r="H110" s="6">
        <v>6</v>
      </c>
      <c r="I110" s="6">
        <v>1</v>
      </c>
      <c r="J110" s="6">
        <f t="shared" si="11"/>
        <v>7</v>
      </c>
      <c r="K110" s="6">
        <v>30</v>
      </c>
      <c r="L110" s="6">
        <f t="shared" si="8"/>
        <v>65</v>
      </c>
      <c r="M110" s="6">
        <f t="shared" si="9"/>
        <v>2</v>
      </c>
      <c r="N110" s="6" t="str">
        <f t="shared" si="10"/>
        <v>PASS</v>
      </c>
    </row>
    <row r="111" spans="4:14" x14ac:dyDescent="0.35">
      <c r="D111" s="6">
        <v>97</v>
      </c>
      <c r="E111" s="6" t="s">
        <v>521</v>
      </c>
      <c r="F111" s="6">
        <v>8</v>
      </c>
      <c r="G111" s="6">
        <v>10</v>
      </c>
      <c r="H111" s="6">
        <v>6</v>
      </c>
      <c r="I111" s="6">
        <v>9</v>
      </c>
      <c r="J111" s="6">
        <f t="shared" si="11"/>
        <v>15</v>
      </c>
      <c r="K111" s="6">
        <v>25</v>
      </c>
      <c r="L111" s="6">
        <f t="shared" si="8"/>
        <v>58</v>
      </c>
      <c r="M111" s="6">
        <f t="shared" si="9"/>
        <v>2</v>
      </c>
      <c r="N111" s="6" t="str">
        <f t="shared" si="10"/>
        <v>PASS</v>
      </c>
    </row>
    <row r="112" spans="4:14" x14ac:dyDescent="0.35">
      <c r="D112" s="6">
        <v>98</v>
      </c>
      <c r="E112" s="6" t="s">
        <v>526</v>
      </c>
      <c r="F112" s="6">
        <v>8</v>
      </c>
      <c r="G112" s="6">
        <v>6</v>
      </c>
      <c r="H112" s="6">
        <v>0</v>
      </c>
      <c r="I112" s="6">
        <v>18</v>
      </c>
      <c r="J112" s="6">
        <f t="shared" si="11"/>
        <v>18</v>
      </c>
      <c r="K112" s="6">
        <v>10</v>
      </c>
      <c r="L112" s="6">
        <f t="shared" si="8"/>
        <v>42</v>
      </c>
      <c r="M112" s="6">
        <f t="shared" si="9"/>
        <v>1</v>
      </c>
      <c r="N112" s="6" t="str">
        <f t="shared" si="10"/>
        <v>PASS</v>
      </c>
    </row>
    <row r="113" spans="4:14" x14ac:dyDescent="0.35">
      <c r="D113" s="6">
        <v>99</v>
      </c>
      <c r="E113" s="6" t="s">
        <v>601</v>
      </c>
      <c r="F113" s="6">
        <v>12</v>
      </c>
      <c r="G113" s="6">
        <v>6</v>
      </c>
      <c r="H113" s="6">
        <v>4</v>
      </c>
      <c r="I113" s="6">
        <v>17</v>
      </c>
      <c r="J113" s="6">
        <f t="shared" si="11"/>
        <v>21</v>
      </c>
      <c r="K113" s="6">
        <v>4</v>
      </c>
      <c r="L113" s="6">
        <f t="shared" si="8"/>
        <v>43</v>
      </c>
      <c r="M113" s="6">
        <f t="shared" si="9"/>
        <v>1</v>
      </c>
      <c r="N113" s="6" t="str">
        <f t="shared" si="10"/>
        <v>PASS</v>
      </c>
    </row>
    <row r="114" spans="4:14" x14ac:dyDescent="0.35">
      <c r="D114" s="6">
        <v>100</v>
      </c>
      <c r="E114" s="6" t="s">
        <v>535</v>
      </c>
      <c r="F114" s="6">
        <v>3</v>
      </c>
      <c r="G114" s="6">
        <v>13</v>
      </c>
      <c r="H114" s="6">
        <v>7</v>
      </c>
      <c r="I114" s="6">
        <v>14</v>
      </c>
      <c r="J114" s="6">
        <f t="shared" si="11"/>
        <v>21</v>
      </c>
      <c r="K114" s="6">
        <v>29</v>
      </c>
      <c r="L114" s="6">
        <f t="shared" si="8"/>
        <v>66</v>
      </c>
      <c r="M114" s="6">
        <f t="shared" si="9"/>
        <v>2</v>
      </c>
      <c r="N114" s="6" t="str">
        <f t="shared" si="10"/>
        <v>PASS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P16:Q16"/>
  </mergeCells>
  <phoneticPr fontId="2" type="noConversion"/>
  <conditionalFormatting sqref="N15:N114">
    <cfRule type="containsText" dxfId="9" priority="1" operator="containsText" text="FAIL">
      <formula>NOT(ISERROR(SEARCH("FAIL",N15)))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8DBE5-791E-44E5-9644-282649E1EDB5}">
  <sheetPr codeName="Sheet5"/>
  <dimension ref="C1:S114"/>
  <sheetViews>
    <sheetView topLeftCell="F6" zoomScale="80" zoomScaleNormal="80" workbookViewId="0">
      <selection activeCell="O32" sqref="O32"/>
    </sheetView>
  </sheetViews>
  <sheetFormatPr defaultRowHeight="14.5" x14ac:dyDescent="0.35"/>
  <cols>
    <col min="4" max="4" width="6.54296875" customWidth="1"/>
    <col min="5" max="5" width="16.7265625" customWidth="1"/>
    <col min="6" max="6" width="16.81640625" customWidth="1"/>
    <col min="7" max="7" width="28" customWidth="1"/>
    <col min="8" max="8" width="11.453125" customWidth="1"/>
    <col min="9" max="9" width="10.81640625" customWidth="1"/>
    <col min="10" max="10" width="17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9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9" x14ac:dyDescent="0.35">
      <c r="C2" s="35"/>
      <c r="D2" s="161" t="s">
        <v>106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9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9" ht="22" x14ac:dyDescent="0.6">
      <c r="C4" s="35"/>
      <c r="D4" s="162" t="s">
        <v>1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9" ht="23" x14ac:dyDescent="0.6">
      <c r="C5" s="35"/>
      <c r="D5" s="164" t="s">
        <v>86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9" ht="19.5" x14ac:dyDescent="0.55000000000000004">
      <c r="C6" s="35"/>
      <c r="D6" s="206" t="s">
        <v>3</v>
      </c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</row>
    <row r="7" spans="3:19" ht="22" x14ac:dyDescent="0.6">
      <c r="C7" s="35"/>
      <c r="D7" s="35"/>
      <c r="E7" s="35"/>
      <c r="F7" s="35"/>
      <c r="G7" s="164" t="s">
        <v>88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19" ht="21" x14ac:dyDescent="0.5">
      <c r="C8" s="35"/>
      <c r="D8" s="160" t="s">
        <v>104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9" ht="21" x14ac:dyDescent="0.5">
      <c r="C9" s="7"/>
      <c r="D9" s="160" t="s">
        <v>105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9" ht="18.5" x14ac:dyDescent="0.45">
      <c r="E11" s="32">
        <v>25241104</v>
      </c>
      <c r="F11" s="32" t="s">
        <v>40</v>
      </c>
      <c r="G11" s="32"/>
      <c r="H11" s="32" t="s">
        <v>56</v>
      </c>
      <c r="I11" s="32"/>
    </row>
    <row r="12" spans="3:19" x14ac:dyDescent="0.35">
      <c r="D12" s="29" t="s">
        <v>42</v>
      </c>
      <c r="E12" s="29" t="s">
        <v>43</v>
      </c>
      <c r="F12" s="29" t="s">
        <v>44</v>
      </c>
      <c r="G12" s="29" t="s">
        <v>45</v>
      </c>
      <c r="H12" s="29" t="s">
        <v>46</v>
      </c>
      <c r="I12" s="29" t="s">
        <v>47</v>
      </c>
      <c r="J12" s="29" t="s">
        <v>48</v>
      </c>
      <c r="K12" s="29" t="s">
        <v>49</v>
      </c>
      <c r="L12" s="29" t="s">
        <v>50</v>
      </c>
      <c r="M12" s="29" t="s">
        <v>51</v>
      </c>
      <c r="N12" s="29" t="s">
        <v>52</v>
      </c>
    </row>
    <row r="13" spans="3:19" x14ac:dyDescent="0.35">
      <c r="D13" s="6"/>
      <c r="E13" s="6"/>
      <c r="F13" s="33">
        <v>20</v>
      </c>
      <c r="G13" s="33">
        <v>20</v>
      </c>
      <c r="H13" s="33">
        <v>10</v>
      </c>
      <c r="I13" s="33">
        <v>20</v>
      </c>
      <c r="J13" s="33">
        <v>30</v>
      </c>
      <c r="K13" s="33">
        <v>30</v>
      </c>
      <c r="L13" s="33">
        <v>100</v>
      </c>
      <c r="M13" s="33">
        <v>3</v>
      </c>
      <c r="N13" s="33" t="s">
        <v>53</v>
      </c>
    </row>
    <row r="14" spans="3:19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3:19" x14ac:dyDescent="0.35">
      <c r="D15" s="6">
        <v>1</v>
      </c>
      <c r="E15" s="6" t="s">
        <v>140</v>
      </c>
      <c r="F15" s="6">
        <v>7</v>
      </c>
      <c r="G15" s="6">
        <v>13</v>
      </c>
      <c r="H15" s="6">
        <v>6</v>
      </c>
      <c r="I15" s="6">
        <v>13</v>
      </c>
      <c r="J15" s="6">
        <f t="shared" ref="J15:J33" si="0">H15+I15</f>
        <v>19</v>
      </c>
      <c r="K15" s="6">
        <v>8</v>
      </c>
      <c r="L15" s="6">
        <f t="shared" ref="L15:L34" si="1">K15+J15+G15+F15</f>
        <v>47</v>
      </c>
      <c r="M15" s="6">
        <f>IF(L15&gt;75,3,IF(L15&gt;50,2,IF(L15&gt;35,1,0)))</f>
        <v>1</v>
      </c>
      <c r="N15" s="6" t="str">
        <f>IF(L15&lt;35,"FAIL","PASS")</f>
        <v>PASS</v>
      </c>
      <c r="P15" s="107" t="s">
        <v>660</v>
      </c>
      <c r="Q15" s="107"/>
    </row>
    <row r="16" spans="3:19" x14ac:dyDescent="0.35">
      <c r="D16" s="6">
        <v>2</v>
      </c>
      <c r="E16" s="6" t="s">
        <v>147</v>
      </c>
      <c r="F16" s="6">
        <v>7</v>
      </c>
      <c r="G16" s="6">
        <v>2</v>
      </c>
      <c r="H16" s="6">
        <v>1</v>
      </c>
      <c r="I16" s="6">
        <v>0</v>
      </c>
      <c r="J16" s="6">
        <f t="shared" si="0"/>
        <v>1</v>
      </c>
      <c r="K16" s="6">
        <v>4</v>
      </c>
      <c r="L16" s="6">
        <f t="shared" si="1"/>
        <v>14</v>
      </c>
      <c r="M16" s="6">
        <f t="shared" ref="M16:M34" si="2">IF(L16&gt;75,3,IF(L16&gt;50,2,IF(L16&gt;35,1,0)))</f>
        <v>0</v>
      </c>
      <c r="N16" s="6" t="str">
        <f t="shared" ref="N16:N34" si="3">IF(L16&lt;35,"FAIL","PASS")</f>
        <v>FAIL</v>
      </c>
      <c r="P16" s="215" t="s">
        <v>665</v>
      </c>
      <c r="Q16" s="212">
        <f>COUNTIF(N15:N114,N15)</f>
        <v>87</v>
      </c>
      <c r="R16" s="215"/>
      <c r="S16" s="215"/>
    </row>
    <row r="17" spans="4:19" x14ac:dyDescent="0.35">
      <c r="D17" s="6">
        <v>3</v>
      </c>
      <c r="E17" s="6" t="s">
        <v>152</v>
      </c>
      <c r="F17" s="6">
        <v>0</v>
      </c>
      <c r="G17" s="6">
        <v>3</v>
      </c>
      <c r="H17" s="6">
        <v>10</v>
      </c>
      <c r="I17" s="6">
        <v>11</v>
      </c>
      <c r="J17" s="6">
        <f t="shared" si="0"/>
        <v>21</v>
      </c>
      <c r="K17" s="6">
        <v>12</v>
      </c>
      <c r="L17" s="6">
        <f t="shared" si="1"/>
        <v>36</v>
      </c>
      <c r="M17" s="6">
        <f t="shared" si="2"/>
        <v>1</v>
      </c>
      <c r="N17" s="6" t="str">
        <f t="shared" si="3"/>
        <v>PASS</v>
      </c>
      <c r="P17" s="215" t="s">
        <v>667</v>
      </c>
      <c r="Q17" s="212">
        <f>COUNTIF(N15:N114,N16)</f>
        <v>13</v>
      </c>
      <c r="R17" s="212"/>
      <c r="S17" s="212"/>
    </row>
    <row r="18" spans="4:19" x14ac:dyDescent="0.35">
      <c r="D18" s="6">
        <v>4</v>
      </c>
      <c r="E18" s="6" t="s">
        <v>157</v>
      </c>
      <c r="F18" s="6">
        <v>1</v>
      </c>
      <c r="G18" s="6">
        <v>19</v>
      </c>
      <c r="H18" s="6">
        <v>3</v>
      </c>
      <c r="I18" s="6">
        <v>14</v>
      </c>
      <c r="J18" s="6">
        <f t="shared" si="0"/>
        <v>17</v>
      </c>
      <c r="K18" s="6">
        <v>25</v>
      </c>
      <c r="L18" s="6">
        <f t="shared" si="1"/>
        <v>62</v>
      </c>
      <c r="M18" s="6">
        <f t="shared" si="2"/>
        <v>2</v>
      </c>
      <c r="N18" s="6" t="str">
        <f t="shared" si="3"/>
        <v>PASS</v>
      </c>
      <c r="P18" s="212"/>
      <c r="Q18" s="212"/>
      <c r="R18" s="212"/>
      <c r="S18" s="212"/>
    </row>
    <row r="19" spans="4:19" x14ac:dyDescent="0.35">
      <c r="D19" s="6">
        <v>5</v>
      </c>
      <c r="E19" s="6" t="s">
        <v>162</v>
      </c>
      <c r="F19" s="6">
        <v>18</v>
      </c>
      <c r="G19" s="6">
        <v>7</v>
      </c>
      <c r="H19" s="6">
        <v>0</v>
      </c>
      <c r="I19" s="6">
        <v>4</v>
      </c>
      <c r="J19" s="6">
        <f t="shared" si="0"/>
        <v>4</v>
      </c>
      <c r="K19" s="6">
        <v>6</v>
      </c>
      <c r="L19" s="6">
        <f t="shared" si="1"/>
        <v>35</v>
      </c>
      <c r="M19" s="6">
        <f t="shared" si="2"/>
        <v>0</v>
      </c>
      <c r="N19" s="6" t="str">
        <f t="shared" si="3"/>
        <v>PASS</v>
      </c>
      <c r="Q19" s="215"/>
      <c r="R19" s="215"/>
      <c r="S19" s="215"/>
    </row>
    <row r="20" spans="4:19" x14ac:dyDescent="0.35">
      <c r="D20" s="6">
        <v>6</v>
      </c>
      <c r="E20" s="6" t="s">
        <v>167</v>
      </c>
      <c r="F20" s="6">
        <v>0</v>
      </c>
      <c r="G20" s="6">
        <v>13</v>
      </c>
      <c r="H20" s="6">
        <v>5</v>
      </c>
      <c r="I20" s="6">
        <v>20</v>
      </c>
      <c r="J20" s="6">
        <f t="shared" si="0"/>
        <v>25</v>
      </c>
      <c r="K20" s="6">
        <v>19</v>
      </c>
      <c r="L20" s="6">
        <f t="shared" si="1"/>
        <v>57</v>
      </c>
      <c r="M20" s="6">
        <f t="shared" si="2"/>
        <v>2</v>
      </c>
      <c r="N20" s="6" t="str">
        <f t="shared" si="3"/>
        <v>PASS</v>
      </c>
      <c r="Q20" s="212"/>
      <c r="R20" s="212"/>
      <c r="S20" s="212"/>
    </row>
    <row r="21" spans="4:19" x14ac:dyDescent="0.35">
      <c r="D21" s="6">
        <v>7</v>
      </c>
      <c r="E21" s="6" t="s">
        <v>565</v>
      </c>
      <c r="F21" s="6">
        <v>2</v>
      </c>
      <c r="G21" s="6">
        <v>15</v>
      </c>
      <c r="H21" s="6">
        <v>4</v>
      </c>
      <c r="I21" s="6">
        <v>17</v>
      </c>
      <c r="J21" s="6">
        <f t="shared" si="0"/>
        <v>21</v>
      </c>
      <c r="K21" s="6">
        <v>17</v>
      </c>
      <c r="L21" s="6">
        <f t="shared" si="1"/>
        <v>55</v>
      </c>
      <c r="M21" s="6">
        <f t="shared" si="2"/>
        <v>2</v>
      </c>
      <c r="N21" s="6" t="str">
        <f t="shared" si="3"/>
        <v>PASS</v>
      </c>
    </row>
    <row r="22" spans="4:19" x14ac:dyDescent="0.35">
      <c r="D22" s="6">
        <v>8</v>
      </c>
      <c r="E22" s="6" t="s">
        <v>566</v>
      </c>
      <c r="F22" s="6">
        <v>2</v>
      </c>
      <c r="G22" s="6">
        <v>6</v>
      </c>
      <c r="H22" s="6">
        <v>4</v>
      </c>
      <c r="I22" s="6">
        <v>15</v>
      </c>
      <c r="J22" s="6">
        <f t="shared" si="0"/>
        <v>19</v>
      </c>
      <c r="K22" s="6">
        <v>12</v>
      </c>
      <c r="L22" s="6">
        <f t="shared" si="1"/>
        <v>39</v>
      </c>
      <c r="M22" s="6">
        <f t="shared" si="2"/>
        <v>1</v>
      </c>
      <c r="N22" s="6" t="str">
        <f t="shared" si="3"/>
        <v>PASS</v>
      </c>
    </row>
    <row r="23" spans="4:19" x14ac:dyDescent="0.35">
      <c r="D23" s="6">
        <v>9</v>
      </c>
      <c r="E23" s="6" t="s">
        <v>176</v>
      </c>
      <c r="F23" s="6">
        <v>16</v>
      </c>
      <c r="G23" s="6">
        <v>19</v>
      </c>
      <c r="H23" s="6">
        <v>4</v>
      </c>
      <c r="I23" s="6">
        <v>15</v>
      </c>
      <c r="J23" s="6">
        <f t="shared" si="0"/>
        <v>19</v>
      </c>
      <c r="K23" s="6">
        <v>9</v>
      </c>
      <c r="L23" s="6">
        <f t="shared" si="1"/>
        <v>63</v>
      </c>
      <c r="M23" s="6">
        <f t="shared" si="2"/>
        <v>2</v>
      </c>
      <c r="N23" s="6" t="str">
        <f t="shared" si="3"/>
        <v>PASS</v>
      </c>
    </row>
    <row r="24" spans="4:19" x14ac:dyDescent="0.35">
      <c r="D24" s="6">
        <v>10</v>
      </c>
      <c r="E24" s="6" t="s">
        <v>181</v>
      </c>
      <c r="F24" s="6">
        <v>2</v>
      </c>
      <c r="G24" s="6">
        <v>13</v>
      </c>
      <c r="H24" s="6">
        <v>1</v>
      </c>
      <c r="I24" s="6">
        <v>4</v>
      </c>
      <c r="J24" s="6">
        <f t="shared" si="0"/>
        <v>5</v>
      </c>
      <c r="K24" s="6">
        <v>9</v>
      </c>
      <c r="L24" s="6">
        <f t="shared" si="1"/>
        <v>29</v>
      </c>
      <c r="M24" s="6">
        <f t="shared" si="2"/>
        <v>0</v>
      </c>
      <c r="N24" s="6" t="str">
        <f t="shared" si="3"/>
        <v>FAIL</v>
      </c>
    </row>
    <row r="25" spans="4:19" x14ac:dyDescent="0.35">
      <c r="D25" s="6">
        <v>11</v>
      </c>
      <c r="E25" s="6" t="s">
        <v>186</v>
      </c>
      <c r="F25" s="6">
        <v>5</v>
      </c>
      <c r="G25" s="6">
        <v>6</v>
      </c>
      <c r="H25" s="6">
        <v>2</v>
      </c>
      <c r="I25" s="6">
        <v>13</v>
      </c>
      <c r="J25" s="6">
        <f t="shared" si="0"/>
        <v>15</v>
      </c>
      <c r="K25" s="6">
        <v>9</v>
      </c>
      <c r="L25" s="6">
        <f t="shared" si="1"/>
        <v>35</v>
      </c>
      <c r="M25" s="6">
        <f t="shared" si="2"/>
        <v>0</v>
      </c>
      <c r="N25" s="6" t="str">
        <f t="shared" si="3"/>
        <v>PASS</v>
      </c>
    </row>
    <row r="26" spans="4:19" x14ac:dyDescent="0.35">
      <c r="D26" s="6">
        <v>12</v>
      </c>
      <c r="E26" s="6" t="s">
        <v>191</v>
      </c>
      <c r="F26" s="6">
        <v>9</v>
      </c>
      <c r="G26" s="6">
        <v>10</v>
      </c>
      <c r="H26" s="6">
        <v>6</v>
      </c>
      <c r="I26" s="6">
        <v>14</v>
      </c>
      <c r="J26" s="6">
        <f t="shared" si="0"/>
        <v>20</v>
      </c>
      <c r="K26" s="6">
        <v>2</v>
      </c>
      <c r="L26" s="6">
        <f t="shared" si="1"/>
        <v>41</v>
      </c>
      <c r="M26" s="6">
        <f t="shared" si="2"/>
        <v>1</v>
      </c>
      <c r="N26" s="6" t="str">
        <f t="shared" si="3"/>
        <v>PASS</v>
      </c>
    </row>
    <row r="27" spans="4:19" x14ac:dyDescent="0.35">
      <c r="D27" s="6">
        <v>13</v>
      </c>
      <c r="E27" s="6" t="s">
        <v>196</v>
      </c>
      <c r="F27" s="6">
        <v>18</v>
      </c>
      <c r="G27" s="6">
        <v>1</v>
      </c>
      <c r="H27" s="6">
        <v>1</v>
      </c>
      <c r="I27" s="6">
        <v>19</v>
      </c>
      <c r="J27" s="6">
        <f t="shared" si="0"/>
        <v>20</v>
      </c>
      <c r="K27" s="6">
        <v>28</v>
      </c>
      <c r="L27" s="6">
        <f t="shared" si="1"/>
        <v>67</v>
      </c>
      <c r="M27" s="6">
        <f t="shared" si="2"/>
        <v>2</v>
      </c>
      <c r="N27" s="6" t="str">
        <f t="shared" si="3"/>
        <v>PASS</v>
      </c>
    </row>
    <row r="28" spans="4:19" x14ac:dyDescent="0.35">
      <c r="D28" s="6">
        <v>14</v>
      </c>
      <c r="E28" s="6" t="s">
        <v>567</v>
      </c>
      <c r="F28" s="6">
        <v>13</v>
      </c>
      <c r="G28" s="6">
        <v>20</v>
      </c>
      <c r="H28" s="6">
        <v>7</v>
      </c>
      <c r="I28" s="6">
        <v>19</v>
      </c>
      <c r="J28" s="6">
        <f t="shared" si="0"/>
        <v>26</v>
      </c>
      <c r="K28" s="6">
        <v>14</v>
      </c>
      <c r="L28" s="6">
        <f t="shared" si="1"/>
        <v>73</v>
      </c>
      <c r="M28" s="6">
        <f t="shared" si="2"/>
        <v>2</v>
      </c>
      <c r="N28" s="6" t="str">
        <f t="shared" si="3"/>
        <v>PASS</v>
      </c>
    </row>
    <row r="29" spans="4:19" x14ac:dyDescent="0.35">
      <c r="D29" s="6">
        <v>15</v>
      </c>
      <c r="E29" s="6" t="s">
        <v>568</v>
      </c>
      <c r="F29" s="6">
        <v>7</v>
      </c>
      <c r="G29" s="6">
        <v>12</v>
      </c>
      <c r="H29" s="6">
        <v>3</v>
      </c>
      <c r="I29" s="6">
        <v>1</v>
      </c>
      <c r="J29" s="6">
        <f t="shared" si="0"/>
        <v>4</v>
      </c>
      <c r="K29" s="6">
        <v>13</v>
      </c>
      <c r="L29" s="6">
        <f t="shared" si="1"/>
        <v>36</v>
      </c>
      <c r="M29" s="6">
        <f t="shared" si="2"/>
        <v>1</v>
      </c>
      <c r="N29" s="6" t="str">
        <f t="shared" si="3"/>
        <v>PASS</v>
      </c>
    </row>
    <row r="30" spans="4:19" x14ac:dyDescent="0.35">
      <c r="D30" s="6">
        <v>16</v>
      </c>
      <c r="E30" s="6" t="s">
        <v>204</v>
      </c>
      <c r="F30" s="6">
        <v>19</v>
      </c>
      <c r="G30" s="6">
        <v>13</v>
      </c>
      <c r="H30" s="6">
        <v>7</v>
      </c>
      <c r="I30" s="6">
        <v>3</v>
      </c>
      <c r="J30" s="6">
        <f t="shared" si="0"/>
        <v>10</v>
      </c>
      <c r="K30" s="6">
        <v>10</v>
      </c>
      <c r="L30" s="6">
        <f t="shared" si="1"/>
        <v>52</v>
      </c>
      <c r="M30" s="6">
        <f t="shared" si="2"/>
        <v>2</v>
      </c>
      <c r="N30" s="6" t="str">
        <f t="shared" si="3"/>
        <v>PASS</v>
      </c>
    </row>
    <row r="31" spans="4:19" x14ac:dyDescent="0.35">
      <c r="D31" s="6">
        <v>17</v>
      </c>
      <c r="E31" s="6" t="s">
        <v>209</v>
      </c>
      <c r="F31" s="6">
        <v>5</v>
      </c>
      <c r="G31" s="6">
        <v>13</v>
      </c>
      <c r="H31" s="6">
        <v>5</v>
      </c>
      <c r="I31" s="6">
        <v>8</v>
      </c>
      <c r="J31" s="6">
        <f t="shared" si="0"/>
        <v>13</v>
      </c>
      <c r="K31" s="6">
        <v>28</v>
      </c>
      <c r="L31" s="6">
        <f t="shared" si="1"/>
        <v>59</v>
      </c>
      <c r="M31" s="6">
        <f t="shared" si="2"/>
        <v>2</v>
      </c>
      <c r="N31" s="6" t="str">
        <f t="shared" si="3"/>
        <v>PASS</v>
      </c>
    </row>
    <row r="32" spans="4:19" x14ac:dyDescent="0.35">
      <c r="D32" s="6">
        <v>18</v>
      </c>
      <c r="E32" s="6" t="s">
        <v>214</v>
      </c>
      <c r="F32" s="6">
        <v>0</v>
      </c>
      <c r="G32" s="6">
        <v>1</v>
      </c>
      <c r="H32" s="6">
        <v>2</v>
      </c>
      <c r="I32" s="6">
        <v>16</v>
      </c>
      <c r="J32" s="6">
        <f t="shared" si="0"/>
        <v>18</v>
      </c>
      <c r="K32" s="6">
        <v>11</v>
      </c>
      <c r="L32" s="6">
        <f t="shared" si="1"/>
        <v>30</v>
      </c>
      <c r="M32" s="6">
        <f t="shared" si="2"/>
        <v>0</v>
      </c>
      <c r="N32" s="6" t="str">
        <f t="shared" si="3"/>
        <v>FAIL</v>
      </c>
    </row>
    <row r="33" spans="4:14" x14ac:dyDescent="0.35">
      <c r="D33" s="6">
        <v>19</v>
      </c>
      <c r="E33" s="6" t="s">
        <v>219</v>
      </c>
      <c r="F33" s="6">
        <v>0</v>
      </c>
      <c r="G33" s="6">
        <v>18</v>
      </c>
      <c r="H33" s="6">
        <v>10</v>
      </c>
      <c r="I33" s="6">
        <v>16</v>
      </c>
      <c r="J33" s="6">
        <f t="shared" si="0"/>
        <v>26</v>
      </c>
      <c r="K33" s="6">
        <v>15</v>
      </c>
      <c r="L33" s="6">
        <f t="shared" si="1"/>
        <v>59</v>
      </c>
      <c r="M33" s="6">
        <f t="shared" si="2"/>
        <v>2</v>
      </c>
      <c r="N33" s="6" t="str">
        <f t="shared" si="3"/>
        <v>PASS</v>
      </c>
    </row>
    <row r="34" spans="4:14" x14ac:dyDescent="0.35">
      <c r="D34" s="6">
        <v>20</v>
      </c>
      <c r="E34" s="6" t="s">
        <v>224</v>
      </c>
      <c r="F34" s="6">
        <v>6</v>
      </c>
      <c r="G34" s="6">
        <v>15</v>
      </c>
      <c r="H34" s="6">
        <v>6</v>
      </c>
      <c r="I34" s="6">
        <v>9</v>
      </c>
      <c r="J34" s="6">
        <f>H34+I34</f>
        <v>15</v>
      </c>
      <c r="K34" s="6">
        <v>21</v>
      </c>
      <c r="L34" s="6">
        <f t="shared" si="1"/>
        <v>57</v>
      </c>
      <c r="M34" s="6">
        <f t="shared" si="2"/>
        <v>2</v>
      </c>
      <c r="N34" s="6" t="str">
        <f t="shared" si="3"/>
        <v>PASS</v>
      </c>
    </row>
    <row r="35" spans="4:14" x14ac:dyDescent="0.35">
      <c r="D35" s="6">
        <v>21</v>
      </c>
      <c r="E35" s="6" t="str">
        <f>'SUB-1'!E35</f>
        <v>BTMC24O1021</v>
      </c>
      <c r="F35" s="6">
        <v>15</v>
      </c>
      <c r="G35" s="6">
        <v>15</v>
      </c>
      <c r="H35" s="6">
        <v>9</v>
      </c>
      <c r="I35" s="6">
        <v>15</v>
      </c>
      <c r="J35" s="6">
        <f t="shared" ref="J35:J98" si="4">H35+I35</f>
        <v>24</v>
      </c>
      <c r="K35" s="6">
        <v>27</v>
      </c>
      <c r="L35" s="6">
        <f t="shared" ref="L35:L98" si="5">K35+J35+G35+F35</f>
        <v>81</v>
      </c>
      <c r="M35" s="6">
        <f t="shared" ref="M35:M98" si="6">IF(L35&gt;75,3,IF(L35&gt;50,2,IF(L35&gt;35,1,0)))</f>
        <v>3</v>
      </c>
      <c r="N35" s="6" t="str">
        <f t="shared" ref="N35:N98" si="7">IF(L35&lt;35,"FAIL","PASS")</f>
        <v>PASS</v>
      </c>
    </row>
    <row r="36" spans="4:14" x14ac:dyDescent="0.35">
      <c r="D36" s="6">
        <v>22</v>
      </c>
      <c r="E36" s="6" t="str">
        <f>'SUB-1'!E36</f>
        <v>BTMC24O1022</v>
      </c>
      <c r="F36" s="6">
        <v>10</v>
      </c>
      <c r="G36" s="6">
        <v>4</v>
      </c>
      <c r="H36" s="6">
        <v>7</v>
      </c>
      <c r="I36" s="6">
        <v>20</v>
      </c>
      <c r="J36" s="6">
        <f t="shared" si="4"/>
        <v>27</v>
      </c>
      <c r="K36" s="6">
        <v>28</v>
      </c>
      <c r="L36" s="6">
        <f t="shared" si="5"/>
        <v>69</v>
      </c>
      <c r="M36" s="6">
        <f t="shared" si="6"/>
        <v>2</v>
      </c>
      <c r="N36" s="6" t="str">
        <f t="shared" si="7"/>
        <v>PASS</v>
      </c>
    </row>
    <row r="37" spans="4:14" x14ac:dyDescent="0.35">
      <c r="D37" s="6">
        <v>23</v>
      </c>
      <c r="E37" s="6" t="str">
        <f>'SUB-1'!E37</f>
        <v>BTMC24O1023</v>
      </c>
      <c r="F37" s="6">
        <v>20</v>
      </c>
      <c r="G37" s="6">
        <v>2</v>
      </c>
      <c r="H37" s="6">
        <v>10</v>
      </c>
      <c r="I37" s="6">
        <v>14</v>
      </c>
      <c r="J37" s="6">
        <f t="shared" si="4"/>
        <v>24</v>
      </c>
      <c r="K37" s="6">
        <v>29</v>
      </c>
      <c r="L37" s="6">
        <f t="shared" si="5"/>
        <v>75</v>
      </c>
      <c r="M37" s="6">
        <f t="shared" si="6"/>
        <v>2</v>
      </c>
      <c r="N37" s="6" t="str">
        <f t="shared" si="7"/>
        <v>PASS</v>
      </c>
    </row>
    <row r="38" spans="4:14" x14ac:dyDescent="0.35">
      <c r="D38" s="6">
        <v>24</v>
      </c>
      <c r="E38" s="6" t="str">
        <f>'SUB-1'!E38</f>
        <v>BTMC24O1024</v>
      </c>
      <c r="F38" s="6">
        <v>2</v>
      </c>
      <c r="G38" s="6">
        <v>8</v>
      </c>
      <c r="H38" s="6">
        <v>1</v>
      </c>
      <c r="I38" s="6">
        <v>0</v>
      </c>
      <c r="J38" s="6">
        <f t="shared" si="4"/>
        <v>1</v>
      </c>
      <c r="K38" s="6">
        <v>18</v>
      </c>
      <c r="L38" s="6">
        <f t="shared" si="5"/>
        <v>29</v>
      </c>
      <c r="M38" s="6">
        <f t="shared" si="6"/>
        <v>0</v>
      </c>
      <c r="N38" s="6" t="str">
        <f t="shared" si="7"/>
        <v>FAIL</v>
      </c>
    </row>
    <row r="39" spans="4:14" x14ac:dyDescent="0.35">
      <c r="D39" s="6">
        <v>25</v>
      </c>
      <c r="E39" s="6" t="str">
        <f>'SUB-1'!E39</f>
        <v>BTMC24O1025</v>
      </c>
      <c r="F39" s="6">
        <v>4</v>
      </c>
      <c r="G39" s="6">
        <v>19</v>
      </c>
      <c r="H39" s="6">
        <v>3</v>
      </c>
      <c r="I39" s="6">
        <v>13</v>
      </c>
      <c r="J39" s="6">
        <f t="shared" si="4"/>
        <v>16</v>
      </c>
      <c r="K39" s="6">
        <v>24</v>
      </c>
      <c r="L39" s="6">
        <f t="shared" si="5"/>
        <v>63</v>
      </c>
      <c r="M39" s="6">
        <f t="shared" si="6"/>
        <v>2</v>
      </c>
      <c r="N39" s="6" t="str">
        <f t="shared" si="7"/>
        <v>PASS</v>
      </c>
    </row>
    <row r="40" spans="4:14" x14ac:dyDescent="0.35">
      <c r="D40" s="6">
        <v>26</v>
      </c>
      <c r="E40" s="6" t="str">
        <f>'SUB-1'!E40</f>
        <v>BTMC24O1026</v>
      </c>
      <c r="F40" s="6">
        <v>15</v>
      </c>
      <c r="G40" s="6">
        <v>0</v>
      </c>
      <c r="H40" s="6">
        <v>4</v>
      </c>
      <c r="I40" s="6">
        <v>2</v>
      </c>
      <c r="J40" s="6">
        <f t="shared" si="4"/>
        <v>6</v>
      </c>
      <c r="K40" s="6">
        <v>12</v>
      </c>
      <c r="L40" s="6">
        <f t="shared" si="5"/>
        <v>33</v>
      </c>
      <c r="M40" s="6">
        <f t="shared" si="6"/>
        <v>0</v>
      </c>
      <c r="N40" s="6" t="str">
        <f t="shared" si="7"/>
        <v>FAIL</v>
      </c>
    </row>
    <row r="41" spans="4:14" x14ac:dyDescent="0.35">
      <c r="D41" s="6">
        <v>27</v>
      </c>
      <c r="E41" s="6" t="str">
        <f>'SUB-1'!E41</f>
        <v>BTMC24O1027</v>
      </c>
      <c r="F41" s="6">
        <v>9</v>
      </c>
      <c r="G41" s="6">
        <v>3</v>
      </c>
      <c r="H41" s="6">
        <v>5</v>
      </c>
      <c r="I41" s="6">
        <v>14</v>
      </c>
      <c r="J41" s="6">
        <f t="shared" si="4"/>
        <v>19</v>
      </c>
      <c r="K41" s="6">
        <v>18</v>
      </c>
      <c r="L41" s="6">
        <f t="shared" si="5"/>
        <v>49</v>
      </c>
      <c r="M41" s="6">
        <f t="shared" si="6"/>
        <v>1</v>
      </c>
      <c r="N41" s="6" t="str">
        <f t="shared" si="7"/>
        <v>PASS</v>
      </c>
    </row>
    <row r="42" spans="4:14" x14ac:dyDescent="0.35">
      <c r="D42" s="6">
        <v>28</v>
      </c>
      <c r="E42" s="6" t="str">
        <f>'SUB-1'!E42</f>
        <v>BTMC24O1028</v>
      </c>
      <c r="F42" s="6">
        <v>5</v>
      </c>
      <c r="G42" s="6">
        <v>11</v>
      </c>
      <c r="H42" s="6">
        <v>9</v>
      </c>
      <c r="I42" s="6">
        <v>14</v>
      </c>
      <c r="J42" s="6">
        <f t="shared" si="4"/>
        <v>23</v>
      </c>
      <c r="K42" s="6">
        <v>10</v>
      </c>
      <c r="L42" s="6">
        <f t="shared" si="5"/>
        <v>49</v>
      </c>
      <c r="M42" s="6">
        <f t="shared" si="6"/>
        <v>1</v>
      </c>
      <c r="N42" s="6" t="str">
        <f t="shared" si="7"/>
        <v>PASS</v>
      </c>
    </row>
    <row r="43" spans="4:14" x14ac:dyDescent="0.35">
      <c r="D43" s="6">
        <v>29</v>
      </c>
      <c r="E43" s="6" t="str">
        <f>'SUB-1'!E43</f>
        <v>BTMC24O1029</v>
      </c>
      <c r="F43" s="6">
        <v>9</v>
      </c>
      <c r="G43" s="6">
        <v>11</v>
      </c>
      <c r="H43" s="6">
        <v>8</v>
      </c>
      <c r="I43" s="6">
        <v>14</v>
      </c>
      <c r="J43" s="6">
        <f t="shared" si="4"/>
        <v>22</v>
      </c>
      <c r="K43" s="6">
        <v>30</v>
      </c>
      <c r="L43" s="6">
        <f t="shared" si="5"/>
        <v>72</v>
      </c>
      <c r="M43" s="6">
        <f t="shared" si="6"/>
        <v>2</v>
      </c>
      <c r="N43" s="6" t="str">
        <f t="shared" si="7"/>
        <v>PASS</v>
      </c>
    </row>
    <row r="44" spans="4:14" x14ac:dyDescent="0.35">
      <c r="D44" s="6">
        <v>30</v>
      </c>
      <c r="E44" s="6" t="str">
        <f>'SUB-1'!E44</f>
        <v>BTMC24O1030</v>
      </c>
      <c r="F44" s="6">
        <v>17</v>
      </c>
      <c r="G44" s="6">
        <v>1</v>
      </c>
      <c r="H44" s="6">
        <v>9</v>
      </c>
      <c r="I44" s="6">
        <v>11</v>
      </c>
      <c r="J44" s="6">
        <f t="shared" si="4"/>
        <v>20</v>
      </c>
      <c r="K44" s="6">
        <v>17</v>
      </c>
      <c r="L44" s="6">
        <f t="shared" si="5"/>
        <v>55</v>
      </c>
      <c r="M44" s="6">
        <f t="shared" si="6"/>
        <v>2</v>
      </c>
      <c r="N44" s="6" t="str">
        <f t="shared" si="7"/>
        <v>PASS</v>
      </c>
    </row>
    <row r="45" spans="4:14" x14ac:dyDescent="0.35">
      <c r="D45" s="6">
        <v>31</v>
      </c>
      <c r="E45" s="6" t="str">
        <f>'SUB-1'!E45</f>
        <v>BTMC24O1031</v>
      </c>
      <c r="F45" s="6">
        <v>5</v>
      </c>
      <c r="G45" s="6">
        <v>9</v>
      </c>
      <c r="H45" s="6">
        <v>6</v>
      </c>
      <c r="I45" s="6">
        <v>20</v>
      </c>
      <c r="J45" s="6">
        <f t="shared" si="4"/>
        <v>26</v>
      </c>
      <c r="K45" s="6">
        <v>8</v>
      </c>
      <c r="L45" s="6">
        <f t="shared" si="5"/>
        <v>48</v>
      </c>
      <c r="M45" s="6">
        <f t="shared" si="6"/>
        <v>1</v>
      </c>
      <c r="N45" s="6" t="str">
        <f t="shared" si="7"/>
        <v>PASS</v>
      </c>
    </row>
    <row r="46" spans="4:14" x14ac:dyDescent="0.35">
      <c r="D46" s="6">
        <v>32</v>
      </c>
      <c r="E46" s="6" t="str">
        <f>'SUB-1'!E46</f>
        <v>BTMC24O1032</v>
      </c>
      <c r="F46" s="6">
        <v>13</v>
      </c>
      <c r="G46" s="6">
        <v>19</v>
      </c>
      <c r="H46" s="6">
        <v>5</v>
      </c>
      <c r="I46" s="6">
        <v>0</v>
      </c>
      <c r="J46" s="6">
        <f t="shared" si="4"/>
        <v>5</v>
      </c>
      <c r="K46" s="6">
        <v>12</v>
      </c>
      <c r="L46" s="6">
        <f t="shared" si="5"/>
        <v>49</v>
      </c>
      <c r="M46" s="6">
        <f t="shared" si="6"/>
        <v>1</v>
      </c>
      <c r="N46" s="6" t="str">
        <f t="shared" si="7"/>
        <v>PASS</v>
      </c>
    </row>
    <row r="47" spans="4:14" x14ac:dyDescent="0.35">
      <c r="D47" s="6">
        <v>33</v>
      </c>
      <c r="E47" s="6" t="str">
        <f>'SUB-1'!E47</f>
        <v>BTMC24O1033</v>
      </c>
      <c r="F47" s="6">
        <v>6</v>
      </c>
      <c r="G47" s="6">
        <v>1</v>
      </c>
      <c r="H47" s="6">
        <v>7</v>
      </c>
      <c r="I47" s="6">
        <v>11</v>
      </c>
      <c r="J47" s="6">
        <f t="shared" si="4"/>
        <v>18</v>
      </c>
      <c r="K47" s="6">
        <v>18</v>
      </c>
      <c r="L47" s="6">
        <f t="shared" si="5"/>
        <v>43</v>
      </c>
      <c r="M47" s="6">
        <f t="shared" si="6"/>
        <v>1</v>
      </c>
      <c r="N47" s="6" t="str">
        <f t="shared" si="7"/>
        <v>PASS</v>
      </c>
    </row>
    <row r="48" spans="4:14" x14ac:dyDescent="0.35">
      <c r="D48" s="6">
        <v>34</v>
      </c>
      <c r="E48" s="6" t="str">
        <f>'SUB-1'!E48</f>
        <v>BTMC24O1034</v>
      </c>
      <c r="F48" s="6">
        <v>19</v>
      </c>
      <c r="G48" s="6">
        <v>20</v>
      </c>
      <c r="H48" s="6">
        <v>3</v>
      </c>
      <c r="I48" s="6">
        <v>20</v>
      </c>
      <c r="J48" s="6">
        <f t="shared" si="4"/>
        <v>23</v>
      </c>
      <c r="K48" s="6">
        <v>18</v>
      </c>
      <c r="L48" s="6">
        <f t="shared" si="5"/>
        <v>80</v>
      </c>
      <c r="M48" s="6">
        <f t="shared" si="6"/>
        <v>3</v>
      </c>
      <c r="N48" s="6" t="str">
        <f t="shared" si="7"/>
        <v>PASS</v>
      </c>
    </row>
    <row r="49" spans="4:14" x14ac:dyDescent="0.35">
      <c r="D49" s="6">
        <v>35</v>
      </c>
      <c r="E49" s="6" t="str">
        <f>'SUB-1'!E49</f>
        <v>BTMC24O1035</v>
      </c>
      <c r="F49" s="6">
        <v>2</v>
      </c>
      <c r="G49" s="6">
        <v>11</v>
      </c>
      <c r="H49" s="6">
        <v>0</v>
      </c>
      <c r="I49" s="6">
        <v>18</v>
      </c>
      <c r="J49" s="6">
        <f t="shared" si="4"/>
        <v>18</v>
      </c>
      <c r="K49" s="6">
        <v>5</v>
      </c>
      <c r="L49" s="6">
        <f t="shared" si="5"/>
        <v>36</v>
      </c>
      <c r="M49" s="6">
        <f t="shared" si="6"/>
        <v>1</v>
      </c>
      <c r="N49" s="6" t="str">
        <f t="shared" si="7"/>
        <v>PASS</v>
      </c>
    </row>
    <row r="50" spans="4:14" x14ac:dyDescent="0.35">
      <c r="D50" s="6">
        <v>36</v>
      </c>
      <c r="E50" s="6" t="str">
        <f>'SUB-1'!E50</f>
        <v>BTMC24O1036</v>
      </c>
      <c r="F50" s="6">
        <v>9</v>
      </c>
      <c r="G50" s="6">
        <v>9</v>
      </c>
      <c r="H50" s="6">
        <v>7</v>
      </c>
      <c r="I50" s="6">
        <v>6</v>
      </c>
      <c r="J50" s="6">
        <f t="shared" si="4"/>
        <v>13</v>
      </c>
      <c r="K50" s="6">
        <v>14</v>
      </c>
      <c r="L50" s="6">
        <f t="shared" si="5"/>
        <v>45</v>
      </c>
      <c r="M50" s="6">
        <f t="shared" si="6"/>
        <v>1</v>
      </c>
      <c r="N50" s="6" t="str">
        <f t="shared" si="7"/>
        <v>PASS</v>
      </c>
    </row>
    <row r="51" spans="4:14" x14ac:dyDescent="0.35">
      <c r="D51" s="6">
        <v>37</v>
      </c>
      <c r="E51" s="6" t="str">
        <f>'SUB-1'!E51</f>
        <v>BTMC24O1037</v>
      </c>
      <c r="F51" s="6">
        <v>16</v>
      </c>
      <c r="G51" s="6">
        <v>3</v>
      </c>
      <c r="H51" s="6">
        <v>0</v>
      </c>
      <c r="I51" s="6">
        <v>19</v>
      </c>
      <c r="J51" s="6">
        <f t="shared" si="4"/>
        <v>19</v>
      </c>
      <c r="K51" s="6">
        <v>26</v>
      </c>
      <c r="L51" s="6">
        <f t="shared" si="5"/>
        <v>64</v>
      </c>
      <c r="M51" s="6">
        <f t="shared" si="6"/>
        <v>2</v>
      </c>
      <c r="N51" s="6" t="str">
        <f t="shared" si="7"/>
        <v>PASS</v>
      </c>
    </row>
    <row r="52" spans="4:14" x14ac:dyDescent="0.35">
      <c r="D52" s="6">
        <v>38</v>
      </c>
      <c r="E52" s="6" t="str">
        <f>'SUB-1'!E52</f>
        <v>BTMC24O1038</v>
      </c>
      <c r="F52" s="6">
        <v>17</v>
      </c>
      <c r="G52" s="6">
        <v>4</v>
      </c>
      <c r="H52" s="6">
        <v>9</v>
      </c>
      <c r="I52" s="6">
        <v>1</v>
      </c>
      <c r="J52" s="6">
        <f t="shared" si="4"/>
        <v>10</v>
      </c>
      <c r="K52" s="6">
        <v>27</v>
      </c>
      <c r="L52" s="6">
        <f t="shared" si="5"/>
        <v>58</v>
      </c>
      <c r="M52" s="6">
        <f t="shared" si="6"/>
        <v>2</v>
      </c>
      <c r="N52" s="6" t="str">
        <f t="shared" si="7"/>
        <v>PASS</v>
      </c>
    </row>
    <row r="53" spans="4:14" x14ac:dyDescent="0.35">
      <c r="D53" s="6">
        <v>39</v>
      </c>
      <c r="E53" s="6" t="str">
        <f>'SUB-1'!E53</f>
        <v>BTMC24O1039</v>
      </c>
      <c r="F53" s="6">
        <v>16</v>
      </c>
      <c r="G53" s="6">
        <v>12</v>
      </c>
      <c r="H53" s="6">
        <v>8</v>
      </c>
      <c r="I53" s="6">
        <v>13</v>
      </c>
      <c r="J53" s="6">
        <f t="shared" si="4"/>
        <v>21</v>
      </c>
      <c r="K53" s="6">
        <v>20</v>
      </c>
      <c r="L53" s="6">
        <f t="shared" si="5"/>
        <v>69</v>
      </c>
      <c r="M53" s="6">
        <f t="shared" si="6"/>
        <v>2</v>
      </c>
      <c r="N53" s="6" t="str">
        <f t="shared" si="7"/>
        <v>PASS</v>
      </c>
    </row>
    <row r="54" spans="4:14" x14ac:dyDescent="0.35">
      <c r="D54" s="6">
        <v>40</v>
      </c>
      <c r="E54" s="6" t="str">
        <f>'SUB-1'!E54</f>
        <v>BTMC24O1040</v>
      </c>
      <c r="F54" s="6">
        <v>18</v>
      </c>
      <c r="G54" s="6">
        <v>4</v>
      </c>
      <c r="H54" s="6">
        <v>9</v>
      </c>
      <c r="I54" s="6">
        <v>16</v>
      </c>
      <c r="J54" s="6">
        <f t="shared" si="4"/>
        <v>25</v>
      </c>
      <c r="K54" s="6">
        <v>9</v>
      </c>
      <c r="L54" s="6">
        <f t="shared" si="5"/>
        <v>56</v>
      </c>
      <c r="M54" s="6">
        <f t="shared" si="6"/>
        <v>2</v>
      </c>
      <c r="N54" s="6" t="str">
        <f t="shared" si="7"/>
        <v>PASS</v>
      </c>
    </row>
    <row r="55" spans="4:14" x14ac:dyDescent="0.35">
      <c r="D55" s="6">
        <v>41</v>
      </c>
      <c r="E55" s="6" t="str">
        <f>'SUB-1'!E55</f>
        <v>BTMC24O1041</v>
      </c>
      <c r="F55" s="6">
        <v>13</v>
      </c>
      <c r="G55" s="6">
        <v>8</v>
      </c>
      <c r="H55" s="6">
        <v>4</v>
      </c>
      <c r="I55" s="6">
        <v>7</v>
      </c>
      <c r="J55" s="6">
        <f t="shared" si="4"/>
        <v>11</v>
      </c>
      <c r="K55" s="6">
        <v>2</v>
      </c>
      <c r="L55" s="6">
        <f t="shared" si="5"/>
        <v>34</v>
      </c>
      <c r="M55" s="6">
        <f t="shared" si="6"/>
        <v>0</v>
      </c>
      <c r="N55" s="6" t="str">
        <f t="shared" si="7"/>
        <v>FAIL</v>
      </c>
    </row>
    <row r="56" spans="4:14" x14ac:dyDescent="0.35">
      <c r="D56" s="6">
        <v>42</v>
      </c>
      <c r="E56" s="6" t="str">
        <f>'SUB-1'!E56</f>
        <v>BTMC24O1042</v>
      </c>
      <c r="F56" s="6">
        <v>15</v>
      </c>
      <c r="G56" s="6">
        <v>10</v>
      </c>
      <c r="H56" s="6">
        <v>6</v>
      </c>
      <c r="I56" s="6">
        <v>8</v>
      </c>
      <c r="J56" s="6">
        <f t="shared" si="4"/>
        <v>14</v>
      </c>
      <c r="K56" s="6">
        <v>30</v>
      </c>
      <c r="L56" s="6">
        <f t="shared" si="5"/>
        <v>69</v>
      </c>
      <c r="M56" s="6">
        <f t="shared" si="6"/>
        <v>2</v>
      </c>
      <c r="N56" s="6" t="str">
        <f t="shared" si="7"/>
        <v>PASS</v>
      </c>
    </row>
    <row r="57" spans="4:14" x14ac:dyDescent="0.35">
      <c r="D57" s="6">
        <v>43</v>
      </c>
      <c r="E57" s="6" t="str">
        <f>'SUB-1'!E57</f>
        <v>BTMC24O1043</v>
      </c>
      <c r="F57" s="6">
        <v>11</v>
      </c>
      <c r="G57" s="6">
        <v>10</v>
      </c>
      <c r="H57" s="6">
        <v>8</v>
      </c>
      <c r="I57" s="6">
        <v>3</v>
      </c>
      <c r="J57" s="6">
        <f t="shared" si="4"/>
        <v>11</v>
      </c>
      <c r="K57" s="6">
        <v>9</v>
      </c>
      <c r="L57" s="6">
        <f t="shared" si="5"/>
        <v>41</v>
      </c>
      <c r="M57" s="6">
        <f t="shared" si="6"/>
        <v>1</v>
      </c>
      <c r="N57" s="6" t="str">
        <f t="shared" si="7"/>
        <v>PASS</v>
      </c>
    </row>
    <row r="58" spans="4:14" x14ac:dyDescent="0.35">
      <c r="D58" s="6">
        <v>44</v>
      </c>
      <c r="E58" s="6" t="str">
        <f>'SUB-1'!E58</f>
        <v>BTMC24O1044</v>
      </c>
      <c r="F58" s="6">
        <v>12</v>
      </c>
      <c r="G58" s="6">
        <v>12</v>
      </c>
      <c r="H58" s="6">
        <v>4</v>
      </c>
      <c r="I58" s="6">
        <v>1</v>
      </c>
      <c r="J58" s="6">
        <f t="shared" si="4"/>
        <v>5</v>
      </c>
      <c r="K58" s="6">
        <v>11</v>
      </c>
      <c r="L58" s="6">
        <f t="shared" si="5"/>
        <v>40</v>
      </c>
      <c r="M58" s="6">
        <f t="shared" si="6"/>
        <v>1</v>
      </c>
      <c r="N58" s="6" t="str">
        <f t="shared" si="7"/>
        <v>PASS</v>
      </c>
    </row>
    <row r="59" spans="4:14" x14ac:dyDescent="0.35">
      <c r="D59" s="6">
        <v>45</v>
      </c>
      <c r="E59" s="6" t="str">
        <f>'SUB-1'!E59</f>
        <v>BTMC24O1045</v>
      </c>
      <c r="F59" s="6">
        <v>15</v>
      </c>
      <c r="G59" s="6">
        <v>19</v>
      </c>
      <c r="H59" s="6">
        <v>5</v>
      </c>
      <c r="I59" s="6">
        <v>10</v>
      </c>
      <c r="J59" s="6">
        <f t="shared" si="4"/>
        <v>15</v>
      </c>
      <c r="K59" s="6">
        <v>21</v>
      </c>
      <c r="L59" s="6">
        <f t="shared" si="5"/>
        <v>70</v>
      </c>
      <c r="M59" s="6">
        <f t="shared" si="6"/>
        <v>2</v>
      </c>
      <c r="N59" s="6" t="str">
        <f t="shared" si="7"/>
        <v>PASS</v>
      </c>
    </row>
    <row r="60" spans="4:14" x14ac:dyDescent="0.35">
      <c r="D60" s="6">
        <v>46</v>
      </c>
      <c r="E60" s="6" t="str">
        <f>'SUB-1'!E60</f>
        <v>BTMC24O1046</v>
      </c>
      <c r="F60" s="6">
        <v>17</v>
      </c>
      <c r="G60" s="6">
        <v>3</v>
      </c>
      <c r="H60" s="6">
        <v>5</v>
      </c>
      <c r="I60" s="6">
        <v>15</v>
      </c>
      <c r="J60" s="6">
        <f t="shared" si="4"/>
        <v>20</v>
      </c>
      <c r="K60" s="6">
        <v>27</v>
      </c>
      <c r="L60" s="6">
        <f t="shared" si="5"/>
        <v>67</v>
      </c>
      <c r="M60" s="6">
        <f t="shared" si="6"/>
        <v>2</v>
      </c>
      <c r="N60" s="6" t="str">
        <f t="shared" si="7"/>
        <v>PASS</v>
      </c>
    </row>
    <row r="61" spans="4:14" x14ac:dyDescent="0.35">
      <c r="D61" s="6">
        <v>47</v>
      </c>
      <c r="E61" s="6" t="str">
        <f>'SUB-1'!E61</f>
        <v>BTMC24O1047</v>
      </c>
      <c r="F61" s="6">
        <v>4</v>
      </c>
      <c r="G61" s="6">
        <v>9</v>
      </c>
      <c r="H61" s="6">
        <v>8</v>
      </c>
      <c r="I61" s="6">
        <v>4</v>
      </c>
      <c r="J61" s="6">
        <f t="shared" si="4"/>
        <v>12</v>
      </c>
      <c r="K61" s="6">
        <v>24</v>
      </c>
      <c r="L61" s="6">
        <f t="shared" si="5"/>
        <v>49</v>
      </c>
      <c r="M61" s="6">
        <f t="shared" si="6"/>
        <v>1</v>
      </c>
      <c r="N61" s="6" t="str">
        <f t="shared" si="7"/>
        <v>PASS</v>
      </c>
    </row>
    <row r="62" spans="4:14" x14ac:dyDescent="0.35">
      <c r="D62" s="6">
        <v>48</v>
      </c>
      <c r="E62" s="6" t="str">
        <f>'SUB-1'!E62</f>
        <v>BTMC24O1048</v>
      </c>
      <c r="F62" s="6">
        <v>3</v>
      </c>
      <c r="G62" s="6">
        <v>0</v>
      </c>
      <c r="H62" s="6">
        <v>8</v>
      </c>
      <c r="I62" s="6">
        <v>7</v>
      </c>
      <c r="J62" s="6">
        <f t="shared" si="4"/>
        <v>15</v>
      </c>
      <c r="K62" s="6">
        <v>1</v>
      </c>
      <c r="L62" s="6">
        <f t="shared" si="5"/>
        <v>19</v>
      </c>
      <c r="M62" s="6">
        <f t="shared" si="6"/>
        <v>0</v>
      </c>
      <c r="N62" s="6" t="str">
        <f t="shared" si="7"/>
        <v>FAIL</v>
      </c>
    </row>
    <row r="63" spans="4:14" x14ac:dyDescent="0.35">
      <c r="D63" s="6">
        <v>49</v>
      </c>
      <c r="E63" s="6" t="str">
        <f>'SUB-1'!E63</f>
        <v>BTMC24O1049</v>
      </c>
      <c r="F63" s="6">
        <v>19</v>
      </c>
      <c r="G63" s="6">
        <v>3</v>
      </c>
      <c r="H63" s="6">
        <v>6</v>
      </c>
      <c r="I63" s="6">
        <v>18</v>
      </c>
      <c r="J63" s="6">
        <f t="shared" si="4"/>
        <v>24</v>
      </c>
      <c r="K63" s="6">
        <v>13</v>
      </c>
      <c r="L63" s="6">
        <f t="shared" si="5"/>
        <v>59</v>
      </c>
      <c r="M63" s="6">
        <f t="shared" si="6"/>
        <v>2</v>
      </c>
      <c r="N63" s="6" t="str">
        <f t="shared" si="7"/>
        <v>PASS</v>
      </c>
    </row>
    <row r="64" spans="4:14" x14ac:dyDescent="0.35">
      <c r="D64" s="6">
        <v>50</v>
      </c>
      <c r="E64" s="6" t="str">
        <f>'SUB-1'!E64</f>
        <v>BTMC24O1050</v>
      </c>
      <c r="F64" s="6">
        <v>4</v>
      </c>
      <c r="G64" s="6">
        <v>17</v>
      </c>
      <c r="H64" s="6">
        <v>10</v>
      </c>
      <c r="I64" s="6">
        <v>17</v>
      </c>
      <c r="J64" s="6">
        <f t="shared" si="4"/>
        <v>27</v>
      </c>
      <c r="K64" s="6">
        <v>8</v>
      </c>
      <c r="L64" s="6">
        <f t="shared" si="5"/>
        <v>56</v>
      </c>
      <c r="M64" s="6">
        <f t="shared" si="6"/>
        <v>2</v>
      </c>
      <c r="N64" s="6" t="str">
        <f t="shared" si="7"/>
        <v>PASS</v>
      </c>
    </row>
    <row r="65" spans="4:14" x14ac:dyDescent="0.35">
      <c r="D65" s="6">
        <v>51</v>
      </c>
      <c r="E65" s="6" t="str">
        <f>'SUB-1'!E65</f>
        <v>BTMC24O1051</v>
      </c>
      <c r="F65" s="6">
        <v>5</v>
      </c>
      <c r="G65" s="6">
        <v>19</v>
      </c>
      <c r="H65" s="6">
        <v>4</v>
      </c>
      <c r="I65" s="6">
        <v>16</v>
      </c>
      <c r="J65" s="6">
        <f t="shared" si="4"/>
        <v>20</v>
      </c>
      <c r="K65" s="6">
        <v>26</v>
      </c>
      <c r="L65" s="6">
        <f t="shared" si="5"/>
        <v>70</v>
      </c>
      <c r="M65" s="6">
        <f t="shared" si="6"/>
        <v>2</v>
      </c>
      <c r="N65" s="6" t="str">
        <f t="shared" si="7"/>
        <v>PASS</v>
      </c>
    </row>
    <row r="66" spans="4:14" x14ac:dyDescent="0.35">
      <c r="D66" s="6">
        <v>52</v>
      </c>
      <c r="E66" s="6" t="str">
        <f>'SUB-1'!E66</f>
        <v>BTMC24O1052</v>
      </c>
      <c r="F66" s="6">
        <v>10</v>
      </c>
      <c r="G66" s="6">
        <v>13</v>
      </c>
      <c r="H66" s="6">
        <v>3</v>
      </c>
      <c r="I66" s="6">
        <v>19</v>
      </c>
      <c r="J66" s="6">
        <f t="shared" si="4"/>
        <v>22</v>
      </c>
      <c r="K66" s="6">
        <v>1</v>
      </c>
      <c r="L66" s="6">
        <f t="shared" si="5"/>
        <v>46</v>
      </c>
      <c r="M66" s="6">
        <f t="shared" si="6"/>
        <v>1</v>
      </c>
      <c r="N66" s="6" t="str">
        <f t="shared" si="7"/>
        <v>PASS</v>
      </c>
    </row>
    <row r="67" spans="4:14" x14ac:dyDescent="0.35">
      <c r="D67" s="6">
        <v>53</v>
      </c>
      <c r="E67" s="6" t="str">
        <f>'SUB-1'!E67</f>
        <v>BTMC24O1053</v>
      </c>
      <c r="F67" s="6">
        <v>19</v>
      </c>
      <c r="G67" s="6">
        <v>6</v>
      </c>
      <c r="H67" s="6">
        <v>1</v>
      </c>
      <c r="I67" s="6">
        <v>4</v>
      </c>
      <c r="J67" s="6">
        <f t="shared" si="4"/>
        <v>5</v>
      </c>
      <c r="K67" s="6">
        <v>13</v>
      </c>
      <c r="L67" s="6">
        <f t="shared" si="5"/>
        <v>43</v>
      </c>
      <c r="M67" s="6">
        <f t="shared" si="6"/>
        <v>1</v>
      </c>
      <c r="N67" s="6" t="str">
        <f t="shared" si="7"/>
        <v>PASS</v>
      </c>
    </row>
    <row r="68" spans="4:14" x14ac:dyDescent="0.35">
      <c r="D68" s="6">
        <v>54</v>
      </c>
      <c r="E68" s="6" t="str">
        <f>'SUB-1'!E68</f>
        <v>BTMC24O1054</v>
      </c>
      <c r="F68" s="6">
        <v>1</v>
      </c>
      <c r="G68" s="6">
        <v>16</v>
      </c>
      <c r="H68" s="6">
        <v>9</v>
      </c>
      <c r="I68" s="6">
        <v>7</v>
      </c>
      <c r="J68" s="6">
        <f t="shared" si="4"/>
        <v>16</v>
      </c>
      <c r="K68" s="6">
        <v>7</v>
      </c>
      <c r="L68" s="6">
        <f t="shared" si="5"/>
        <v>40</v>
      </c>
      <c r="M68" s="6">
        <f t="shared" si="6"/>
        <v>1</v>
      </c>
      <c r="N68" s="6" t="str">
        <f t="shared" si="7"/>
        <v>PASS</v>
      </c>
    </row>
    <row r="69" spans="4:14" x14ac:dyDescent="0.35">
      <c r="D69" s="6">
        <v>55</v>
      </c>
      <c r="E69" s="6" t="str">
        <f>'SUB-1'!E69</f>
        <v>BTMC24O1055</v>
      </c>
      <c r="F69" s="6">
        <v>7</v>
      </c>
      <c r="G69" s="6">
        <v>10</v>
      </c>
      <c r="H69" s="6">
        <v>4</v>
      </c>
      <c r="I69" s="6">
        <v>14</v>
      </c>
      <c r="J69" s="6">
        <f t="shared" si="4"/>
        <v>18</v>
      </c>
      <c r="K69" s="6">
        <v>9</v>
      </c>
      <c r="L69" s="6">
        <f t="shared" si="5"/>
        <v>44</v>
      </c>
      <c r="M69" s="6">
        <f t="shared" si="6"/>
        <v>1</v>
      </c>
      <c r="N69" s="6" t="str">
        <f t="shared" si="7"/>
        <v>PASS</v>
      </c>
    </row>
    <row r="70" spans="4:14" x14ac:dyDescent="0.35">
      <c r="D70" s="6">
        <v>56</v>
      </c>
      <c r="E70" s="6" t="str">
        <f>'SUB-1'!E70</f>
        <v>BTMC24O1056</v>
      </c>
      <c r="F70" s="6">
        <v>3</v>
      </c>
      <c r="G70" s="6">
        <v>1</v>
      </c>
      <c r="H70" s="6">
        <v>3</v>
      </c>
      <c r="I70" s="6">
        <v>13</v>
      </c>
      <c r="J70" s="6">
        <f t="shared" si="4"/>
        <v>16</v>
      </c>
      <c r="K70" s="6">
        <v>10</v>
      </c>
      <c r="L70" s="6">
        <f t="shared" si="5"/>
        <v>30</v>
      </c>
      <c r="M70" s="6">
        <f t="shared" si="6"/>
        <v>0</v>
      </c>
      <c r="N70" s="6" t="str">
        <f t="shared" si="7"/>
        <v>FAIL</v>
      </c>
    </row>
    <row r="71" spans="4:14" x14ac:dyDescent="0.35">
      <c r="D71" s="6">
        <v>57</v>
      </c>
      <c r="E71" s="6" t="str">
        <f>'SUB-1'!E71</f>
        <v>BTMC24O1057</v>
      </c>
      <c r="F71" s="6">
        <v>12</v>
      </c>
      <c r="G71" s="6">
        <v>18</v>
      </c>
      <c r="H71" s="6">
        <v>5</v>
      </c>
      <c r="I71" s="6">
        <v>4</v>
      </c>
      <c r="J71" s="6">
        <f t="shared" si="4"/>
        <v>9</v>
      </c>
      <c r="K71" s="6">
        <v>8</v>
      </c>
      <c r="L71" s="6">
        <f t="shared" si="5"/>
        <v>47</v>
      </c>
      <c r="M71" s="6">
        <f t="shared" si="6"/>
        <v>1</v>
      </c>
      <c r="N71" s="6" t="str">
        <f t="shared" si="7"/>
        <v>PASS</v>
      </c>
    </row>
    <row r="72" spans="4:14" x14ac:dyDescent="0.35">
      <c r="D72" s="6">
        <v>58</v>
      </c>
      <c r="E72" s="6" t="str">
        <f>'SUB-1'!E72</f>
        <v>BTMC24O1058</v>
      </c>
      <c r="F72" s="6">
        <v>20</v>
      </c>
      <c r="G72" s="6">
        <v>14</v>
      </c>
      <c r="H72" s="6">
        <v>4</v>
      </c>
      <c r="I72" s="6">
        <v>10</v>
      </c>
      <c r="J72" s="6">
        <f t="shared" si="4"/>
        <v>14</v>
      </c>
      <c r="K72" s="6">
        <v>23</v>
      </c>
      <c r="L72" s="6">
        <f t="shared" si="5"/>
        <v>71</v>
      </c>
      <c r="M72" s="6">
        <f t="shared" si="6"/>
        <v>2</v>
      </c>
      <c r="N72" s="6" t="str">
        <f t="shared" si="7"/>
        <v>PASS</v>
      </c>
    </row>
    <row r="73" spans="4:14" x14ac:dyDescent="0.35">
      <c r="D73" s="6">
        <v>59</v>
      </c>
      <c r="E73" s="6" t="str">
        <f>'SUB-1'!E73</f>
        <v>BTMC24O1059</v>
      </c>
      <c r="F73" s="6">
        <v>10</v>
      </c>
      <c r="G73" s="6">
        <v>6</v>
      </c>
      <c r="H73" s="6">
        <v>10</v>
      </c>
      <c r="I73" s="6">
        <v>19</v>
      </c>
      <c r="J73" s="6">
        <f t="shared" si="4"/>
        <v>29</v>
      </c>
      <c r="K73" s="6">
        <v>12</v>
      </c>
      <c r="L73" s="6">
        <f t="shared" si="5"/>
        <v>57</v>
      </c>
      <c r="M73" s="6">
        <f t="shared" si="6"/>
        <v>2</v>
      </c>
      <c r="N73" s="6" t="str">
        <f t="shared" si="7"/>
        <v>PASS</v>
      </c>
    </row>
    <row r="74" spans="4:14" x14ac:dyDescent="0.35">
      <c r="D74" s="6">
        <v>60</v>
      </c>
      <c r="E74" s="6" t="str">
        <f>'SUB-1'!E74</f>
        <v>BTMC24O1060</v>
      </c>
      <c r="F74" s="6">
        <v>6</v>
      </c>
      <c r="G74" s="6">
        <v>1</v>
      </c>
      <c r="H74" s="6">
        <v>6</v>
      </c>
      <c r="I74" s="6">
        <v>13</v>
      </c>
      <c r="J74" s="6">
        <f t="shared" si="4"/>
        <v>19</v>
      </c>
      <c r="K74" s="6">
        <v>28</v>
      </c>
      <c r="L74" s="6">
        <f t="shared" si="5"/>
        <v>54</v>
      </c>
      <c r="M74" s="6">
        <f t="shared" si="6"/>
        <v>2</v>
      </c>
      <c r="N74" s="6" t="str">
        <f t="shared" si="7"/>
        <v>PASS</v>
      </c>
    </row>
    <row r="75" spans="4:14" x14ac:dyDescent="0.35">
      <c r="D75" s="6">
        <v>61</v>
      </c>
      <c r="E75" s="6" t="str">
        <f>'SUB-1'!E75</f>
        <v>BTMC24O1061</v>
      </c>
      <c r="F75" s="6">
        <v>6</v>
      </c>
      <c r="G75" s="6">
        <v>6</v>
      </c>
      <c r="H75" s="6">
        <v>3</v>
      </c>
      <c r="I75" s="6">
        <v>12</v>
      </c>
      <c r="J75" s="6">
        <f t="shared" si="4"/>
        <v>15</v>
      </c>
      <c r="K75" s="6">
        <v>10</v>
      </c>
      <c r="L75" s="6">
        <f t="shared" si="5"/>
        <v>37</v>
      </c>
      <c r="M75" s="6">
        <f t="shared" si="6"/>
        <v>1</v>
      </c>
      <c r="N75" s="6" t="str">
        <f t="shared" si="7"/>
        <v>PASS</v>
      </c>
    </row>
    <row r="76" spans="4:14" x14ac:dyDescent="0.35">
      <c r="D76" s="6">
        <v>62</v>
      </c>
      <c r="E76" s="6" t="str">
        <f>'SUB-1'!E76</f>
        <v>BTMC24O1062</v>
      </c>
      <c r="F76" s="6">
        <v>8</v>
      </c>
      <c r="G76" s="6">
        <v>5</v>
      </c>
      <c r="H76" s="6">
        <v>3</v>
      </c>
      <c r="I76" s="6">
        <v>19</v>
      </c>
      <c r="J76" s="6">
        <f t="shared" si="4"/>
        <v>22</v>
      </c>
      <c r="K76" s="6">
        <v>14</v>
      </c>
      <c r="L76" s="6">
        <f t="shared" si="5"/>
        <v>49</v>
      </c>
      <c r="M76" s="6">
        <f t="shared" si="6"/>
        <v>1</v>
      </c>
      <c r="N76" s="6" t="str">
        <f t="shared" si="7"/>
        <v>PASS</v>
      </c>
    </row>
    <row r="77" spans="4:14" x14ac:dyDescent="0.35">
      <c r="D77" s="6">
        <v>63</v>
      </c>
      <c r="E77" s="6" t="str">
        <f>'SUB-1'!E77</f>
        <v>BTMC24O1063</v>
      </c>
      <c r="F77" s="6">
        <v>4</v>
      </c>
      <c r="G77" s="6">
        <v>13</v>
      </c>
      <c r="H77" s="6">
        <v>3</v>
      </c>
      <c r="I77" s="6">
        <v>8</v>
      </c>
      <c r="J77" s="6">
        <f t="shared" si="4"/>
        <v>11</v>
      </c>
      <c r="K77" s="6">
        <v>21</v>
      </c>
      <c r="L77" s="6">
        <f t="shared" si="5"/>
        <v>49</v>
      </c>
      <c r="M77" s="6">
        <f t="shared" si="6"/>
        <v>1</v>
      </c>
      <c r="N77" s="6" t="str">
        <f t="shared" si="7"/>
        <v>PASS</v>
      </c>
    </row>
    <row r="78" spans="4:14" x14ac:dyDescent="0.35">
      <c r="D78" s="6">
        <v>64</v>
      </c>
      <c r="E78" s="6" t="str">
        <f>'SUB-1'!E78</f>
        <v>BTMC24O1064</v>
      </c>
      <c r="F78" s="6">
        <v>9</v>
      </c>
      <c r="G78" s="6">
        <v>11</v>
      </c>
      <c r="H78" s="6">
        <v>0</v>
      </c>
      <c r="I78" s="6">
        <v>8</v>
      </c>
      <c r="J78" s="6">
        <f t="shared" si="4"/>
        <v>8</v>
      </c>
      <c r="K78" s="6">
        <v>14</v>
      </c>
      <c r="L78" s="6">
        <f t="shared" si="5"/>
        <v>42</v>
      </c>
      <c r="M78" s="6">
        <f t="shared" si="6"/>
        <v>1</v>
      </c>
      <c r="N78" s="6" t="str">
        <f t="shared" si="7"/>
        <v>PASS</v>
      </c>
    </row>
    <row r="79" spans="4:14" x14ac:dyDescent="0.35">
      <c r="D79" s="6">
        <v>65</v>
      </c>
      <c r="E79" s="6" t="str">
        <f>'SUB-1'!E79</f>
        <v>BTMC24O1065</v>
      </c>
      <c r="F79" s="6">
        <v>1</v>
      </c>
      <c r="G79" s="6">
        <v>7</v>
      </c>
      <c r="H79" s="6">
        <v>0</v>
      </c>
      <c r="I79" s="6">
        <v>17</v>
      </c>
      <c r="J79" s="6">
        <f t="shared" si="4"/>
        <v>17</v>
      </c>
      <c r="K79" s="6">
        <v>15</v>
      </c>
      <c r="L79" s="6">
        <f t="shared" si="5"/>
        <v>40</v>
      </c>
      <c r="M79" s="6">
        <f t="shared" si="6"/>
        <v>1</v>
      </c>
      <c r="N79" s="6" t="str">
        <f t="shared" si="7"/>
        <v>PASS</v>
      </c>
    </row>
    <row r="80" spans="4:14" x14ac:dyDescent="0.35">
      <c r="D80" s="6">
        <v>66</v>
      </c>
      <c r="E80" s="6" t="str">
        <f>'SUB-1'!E80</f>
        <v>BTMC24O1066</v>
      </c>
      <c r="F80" s="6">
        <v>6</v>
      </c>
      <c r="G80" s="6">
        <v>0</v>
      </c>
      <c r="H80" s="6">
        <v>4</v>
      </c>
      <c r="I80" s="6">
        <v>0</v>
      </c>
      <c r="J80" s="6">
        <f t="shared" si="4"/>
        <v>4</v>
      </c>
      <c r="K80" s="6">
        <v>18</v>
      </c>
      <c r="L80" s="6">
        <f t="shared" si="5"/>
        <v>28</v>
      </c>
      <c r="M80" s="6">
        <f t="shared" si="6"/>
        <v>0</v>
      </c>
      <c r="N80" s="6" t="str">
        <f t="shared" si="7"/>
        <v>FAIL</v>
      </c>
    </row>
    <row r="81" spans="4:14" x14ac:dyDescent="0.35">
      <c r="D81" s="6">
        <v>67</v>
      </c>
      <c r="E81" s="6" t="str">
        <f>'SUB-1'!E81</f>
        <v>BTMC24O1067</v>
      </c>
      <c r="F81" s="6">
        <v>2</v>
      </c>
      <c r="G81" s="6">
        <v>3</v>
      </c>
      <c r="H81" s="6">
        <v>6</v>
      </c>
      <c r="I81" s="6">
        <v>9</v>
      </c>
      <c r="J81" s="6">
        <f t="shared" si="4"/>
        <v>15</v>
      </c>
      <c r="K81" s="6">
        <v>19</v>
      </c>
      <c r="L81" s="6">
        <f t="shared" si="5"/>
        <v>39</v>
      </c>
      <c r="M81" s="6">
        <f t="shared" si="6"/>
        <v>1</v>
      </c>
      <c r="N81" s="6" t="str">
        <f t="shared" si="7"/>
        <v>PASS</v>
      </c>
    </row>
    <row r="82" spans="4:14" x14ac:dyDescent="0.35">
      <c r="D82" s="6">
        <v>68</v>
      </c>
      <c r="E82" s="6" t="str">
        <f>'SUB-1'!E82</f>
        <v>BTMC24O1068</v>
      </c>
      <c r="F82" s="6">
        <v>0</v>
      </c>
      <c r="G82" s="6">
        <v>7</v>
      </c>
      <c r="H82" s="6">
        <v>9</v>
      </c>
      <c r="I82" s="6">
        <v>10</v>
      </c>
      <c r="J82" s="6">
        <f t="shared" si="4"/>
        <v>19</v>
      </c>
      <c r="K82" s="6">
        <v>12</v>
      </c>
      <c r="L82" s="6">
        <f t="shared" si="5"/>
        <v>38</v>
      </c>
      <c r="M82" s="6">
        <f t="shared" si="6"/>
        <v>1</v>
      </c>
      <c r="N82" s="6" t="str">
        <f t="shared" si="7"/>
        <v>PASS</v>
      </c>
    </row>
    <row r="83" spans="4:14" x14ac:dyDescent="0.35">
      <c r="D83" s="6">
        <v>69</v>
      </c>
      <c r="E83" s="6" t="str">
        <f>'SUB-1'!E83</f>
        <v>BTMC24O1069</v>
      </c>
      <c r="F83" s="6">
        <v>2</v>
      </c>
      <c r="G83" s="6">
        <v>0</v>
      </c>
      <c r="H83" s="6">
        <v>10</v>
      </c>
      <c r="I83" s="6">
        <v>20</v>
      </c>
      <c r="J83" s="6">
        <f t="shared" si="4"/>
        <v>30</v>
      </c>
      <c r="K83" s="6">
        <v>21</v>
      </c>
      <c r="L83" s="6">
        <f t="shared" si="5"/>
        <v>53</v>
      </c>
      <c r="M83" s="6">
        <f t="shared" si="6"/>
        <v>2</v>
      </c>
      <c r="N83" s="6" t="str">
        <f t="shared" si="7"/>
        <v>PASS</v>
      </c>
    </row>
    <row r="84" spans="4:14" x14ac:dyDescent="0.35">
      <c r="D84" s="6">
        <v>70</v>
      </c>
      <c r="E84" s="6" t="str">
        <f>'SUB-1'!E84</f>
        <v>BTMC24O1070</v>
      </c>
      <c r="F84" s="6">
        <v>17</v>
      </c>
      <c r="G84" s="6">
        <v>20</v>
      </c>
      <c r="H84" s="6">
        <v>0</v>
      </c>
      <c r="I84" s="6">
        <v>3</v>
      </c>
      <c r="J84" s="6">
        <f t="shared" si="4"/>
        <v>3</v>
      </c>
      <c r="K84" s="6">
        <v>15</v>
      </c>
      <c r="L84" s="6">
        <f t="shared" si="5"/>
        <v>55</v>
      </c>
      <c r="M84" s="6">
        <f t="shared" si="6"/>
        <v>2</v>
      </c>
      <c r="N84" s="6" t="str">
        <f t="shared" si="7"/>
        <v>PASS</v>
      </c>
    </row>
    <row r="85" spans="4:14" x14ac:dyDescent="0.35">
      <c r="D85" s="6">
        <v>71</v>
      </c>
      <c r="E85" s="6" t="str">
        <f>'SUB-1'!E85</f>
        <v>BTMC24O1071</v>
      </c>
      <c r="F85" s="6">
        <v>5</v>
      </c>
      <c r="G85" s="6">
        <v>0</v>
      </c>
      <c r="H85" s="6">
        <v>0</v>
      </c>
      <c r="I85" s="6">
        <v>16</v>
      </c>
      <c r="J85" s="6">
        <f t="shared" si="4"/>
        <v>16</v>
      </c>
      <c r="K85" s="6">
        <v>1</v>
      </c>
      <c r="L85" s="6">
        <f t="shared" si="5"/>
        <v>22</v>
      </c>
      <c r="M85" s="6">
        <f t="shared" si="6"/>
        <v>0</v>
      </c>
      <c r="N85" s="6" t="str">
        <f t="shared" si="7"/>
        <v>FAIL</v>
      </c>
    </row>
    <row r="86" spans="4:14" x14ac:dyDescent="0.35">
      <c r="D86" s="6">
        <v>72</v>
      </c>
      <c r="E86" s="6" t="str">
        <f>'SUB-1'!E86</f>
        <v>BTMC24O1072</v>
      </c>
      <c r="F86" s="6">
        <v>17</v>
      </c>
      <c r="G86" s="6">
        <v>19</v>
      </c>
      <c r="H86" s="6">
        <v>0</v>
      </c>
      <c r="I86" s="6">
        <v>8</v>
      </c>
      <c r="J86" s="6">
        <f t="shared" si="4"/>
        <v>8</v>
      </c>
      <c r="K86" s="6">
        <v>23</v>
      </c>
      <c r="L86" s="6">
        <f t="shared" si="5"/>
        <v>67</v>
      </c>
      <c r="M86" s="6">
        <f t="shared" si="6"/>
        <v>2</v>
      </c>
      <c r="N86" s="6" t="str">
        <f t="shared" si="7"/>
        <v>PASS</v>
      </c>
    </row>
    <row r="87" spans="4:14" x14ac:dyDescent="0.35">
      <c r="D87" s="6">
        <v>73</v>
      </c>
      <c r="E87" s="6" t="str">
        <f>'SUB-1'!E87</f>
        <v>BTMC24O1073</v>
      </c>
      <c r="F87" s="6">
        <v>9</v>
      </c>
      <c r="G87" s="6">
        <v>3</v>
      </c>
      <c r="H87" s="6">
        <v>5</v>
      </c>
      <c r="I87" s="6">
        <v>10</v>
      </c>
      <c r="J87" s="6">
        <f t="shared" si="4"/>
        <v>15</v>
      </c>
      <c r="K87" s="6">
        <v>20</v>
      </c>
      <c r="L87" s="6">
        <f t="shared" si="5"/>
        <v>47</v>
      </c>
      <c r="M87" s="6">
        <f t="shared" si="6"/>
        <v>1</v>
      </c>
      <c r="N87" s="6" t="str">
        <f t="shared" si="7"/>
        <v>PASS</v>
      </c>
    </row>
    <row r="88" spans="4:14" x14ac:dyDescent="0.35">
      <c r="D88" s="6">
        <v>74</v>
      </c>
      <c r="E88" s="6" t="str">
        <f>'SUB-1'!E88</f>
        <v>BTMC24O1074</v>
      </c>
      <c r="F88" s="6">
        <v>20</v>
      </c>
      <c r="G88" s="6">
        <v>11</v>
      </c>
      <c r="H88" s="6">
        <v>5</v>
      </c>
      <c r="I88" s="6">
        <v>5</v>
      </c>
      <c r="J88" s="6">
        <f t="shared" si="4"/>
        <v>10</v>
      </c>
      <c r="K88" s="6">
        <v>11</v>
      </c>
      <c r="L88" s="6">
        <f t="shared" si="5"/>
        <v>52</v>
      </c>
      <c r="M88" s="6">
        <f t="shared" si="6"/>
        <v>2</v>
      </c>
      <c r="N88" s="6" t="str">
        <f t="shared" si="7"/>
        <v>PASS</v>
      </c>
    </row>
    <row r="89" spans="4:14" x14ac:dyDescent="0.35">
      <c r="D89" s="6">
        <v>75</v>
      </c>
      <c r="E89" s="6" t="str">
        <f>'SUB-1'!E89</f>
        <v>BTMC24O1075</v>
      </c>
      <c r="F89" s="6">
        <v>14</v>
      </c>
      <c r="G89" s="6">
        <v>12</v>
      </c>
      <c r="H89" s="6">
        <v>8</v>
      </c>
      <c r="I89" s="6">
        <v>8</v>
      </c>
      <c r="J89" s="6">
        <f t="shared" si="4"/>
        <v>16</v>
      </c>
      <c r="K89" s="6">
        <v>29</v>
      </c>
      <c r="L89" s="6">
        <f t="shared" si="5"/>
        <v>71</v>
      </c>
      <c r="M89" s="6">
        <f t="shared" si="6"/>
        <v>2</v>
      </c>
      <c r="N89" s="6" t="str">
        <f t="shared" si="7"/>
        <v>PASS</v>
      </c>
    </row>
    <row r="90" spans="4:14" x14ac:dyDescent="0.35">
      <c r="D90" s="6">
        <v>76</v>
      </c>
      <c r="E90" s="6" t="str">
        <f>'SUB-1'!E90</f>
        <v>BTMC24O1076</v>
      </c>
      <c r="F90" s="6">
        <v>5</v>
      </c>
      <c r="G90" s="6">
        <v>3</v>
      </c>
      <c r="H90" s="6">
        <v>10</v>
      </c>
      <c r="I90" s="6">
        <v>8</v>
      </c>
      <c r="J90" s="6">
        <f t="shared" si="4"/>
        <v>18</v>
      </c>
      <c r="K90" s="6">
        <v>1</v>
      </c>
      <c r="L90" s="6">
        <f t="shared" si="5"/>
        <v>27</v>
      </c>
      <c r="M90" s="6">
        <f t="shared" si="6"/>
        <v>0</v>
      </c>
      <c r="N90" s="6" t="str">
        <f t="shared" si="7"/>
        <v>FAIL</v>
      </c>
    </row>
    <row r="91" spans="4:14" x14ac:dyDescent="0.35">
      <c r="D91" s="6">
        <v>77</v>
      </c>
      <c r="E91" s="6" t="str">
        <f>'SUB-1'!E91</f>
        <v>BTMC24O1077</v>
      </c>
      <c r="F91" s="6">
        <v>0</v>
      </c>
      <c r="G91" s="6">
        <v>10</v>
      </c>
      <c r="H91" s="6">
        <v>3</v>
      </c>
      <c r="I91" s="6">
        <v>20</v>
      </c>
      <c r="J91" s="6">
        <f t="shared" si="4"/>
        <v>23</v>
      </c>
      <c r="K91" s="6">
        <v>28</v>
      </c>
      <c r="L91" s="6">
        <f t="shared" si="5"/>
        <v>61</v>
      </c>
      <c r="M91" s="6">
        <f t="shared" si="6"/>
        <v>2</v>
      </c>
      <c r="N91" s="6" t="str">
        <f t="shared" si="7"/>
        <v>PASS</v>
      </c>
    </row>
    <row r="92" spans="4:14" x14ac:dyDescent="0.35">
      <c r="D92" s="6">
        <v>78</v>
      </c>
      <c r="E92" s="6" t="str">
        <f>'SUB-1'!E92</f>
        <v>BTMC24O1078</v>
      </c>
      <c r="F92" s="6">
        <v>12</v>
      </c>
      <c r="G92" s="6">
        <v>18</v>
      </c>
      <c r="H92" s="6">
        <v>6</v>
      </c>
      <c r="I92" s="6">
        <v>14</v>
      </c>
      <c r="J92" s="6">
        <f t="shared" si="4"/>
        <v>20</v>
      </c>
      <c r="K92" s="6">
        <v>0</v>
      </c>
      <c r="L92" s="6">
        <f t="shared" si="5"/>
        <v>50</v>
      </c>
      <c r="M92" s="6">
        <f t="shared" si="6"/>
        <v>1</v>
      </c>
      <c r="N92" s="6" t="str">
        <f t="shared" si="7"/>
        <v>PASS</v>
      </c>
    </row>
    <row r="93" spans="4:14" x14ac:dyDescent="0.35">
      <c r="D93" s="6">
        <v>79</v>
      </c>
      <c r="E93" s="6" t="str">
        <f>'SUB-1'!E93</f>
        <v>BTMC24O1079</v>
      </c>
      <c r="F93" s="6">
        <v>8</v>
      </c>
      <c r="G93" s="6">
        <v>12</v>
      </c>
      <c r="H93" s="6">
        <v>6</v>
      </c>
      <c r="I93" s="6">
        <v>0</v>
      </c>
      <c r="J93" s="6">
        <f t="shared" si="4"/>
        <v>6</v>
      </c>
      <c r="K93" s="6">
        <v>20</v>
      </c>
      <c r="L93" s="6">
        <f t="shared" si="5"/>
        <v>46</v>
      </c>
      <c r="M93" s="6">
        <f t="shared" si="6"/>
        <v>1</v>
      </c>
      <c r="N93" s="6" t="str">
        <f t="shared" si="7"/>
        <v>PASS</v>
      </c>
    </row>
    <row r="94" spans="4:14" x14ac:dyDescent="0.35">
      <c r="D94" s="6">
        <v>80</v>
      </c>
      <c r="E94" s="6" t="str">
        <f>'SUB-1'!E94</f>
        <v>BTMC24O1080</v>
      </c>
      <c r="F94" s="6">
        <v>5</v>
      </c>
      <c r="G94" s="6">
        <v>1</v>
      </c>
      <c r="H94" s="6">
        <v>0</v>
      </c>
      <c r="I94" s="6">
        <v>1</v>
      </c>
      <c r="J94" s="6">
        <f t="shared" si="4"/>
        <v>1</v>
      </c>
      <c r="K94" s="6">
        <v>21</v>
      </c>
      <c r="L94" s="6">
        <f t="shared" si="5"/>
        <v>28</v>
      </c>
      <c r="M94" s="6">
        <f t="shared" si="6"/>
        <v>0</v>
      </c>
      <c r="N94" s="6" t="str">
        <f t="shared" si="7"/>
        <v>FAIL</v>
      </c>
    </row>
    <row r="95" spans="4:14" x14ac:dyDescent="0.35">
      <c r="D95" s="6">
        <v>81</v>
      </c>
      <c r="E95" s="6" t="str">
        <f>'SUB-1'!E95</f>
        <v>BTMC24O1081</v>
      </c>
      <c r="F95" s="6">
        <v>3</v>
      </c>
      <c r="G95" s="6">
        <v>16</v>
      </c>
      <c r="H95" s="6">
        <v>2</v>
      </c>
      <c r="I95" s="6">
        <v>1</v>
      </c>
      <c r="J95" s="6">
        <f t="shared" si="4"/>
        <v>3</v>
      </c>
      <c r="K95" s="6">
        <v>14</v>
      </c>
      <c r="L95" s="6">
        <f t="shared" si="5"/>
        <v>36</v>
      </c>
      <c r="M95" s="6">
        <f t="shared" si="6"/>
        <v>1</v>
      </c>
      <c r="N95" s="6" t="str">
        <f t="shared" si="7"/>
        <v>PASS</v>
      </c>
    </row>
    <row r="96" spans="4:14" x14ac:dyDescent="0.35">
      <c r="D96" s="6">
        <v>82</v>
      </c>
      <c r="E96" s="6" t="str">
        <f>'SUB-1'!E96</f>
        <v>BTMC24O1082</v>
      </c>
      <c r="F96" s="6">
        <v>19</v>
      </c>
      <c r="G96" s="6">
        <v>5</v>
      </c>
      <c r="H96" s="6">
        <v>9</v>
      </c>
      <c r="I96" s="6">
        <v>14</v>
      </c>
      <c r="J96" s="6">
        <f t="shared" si="4"/>
        <v>23</v>
      </c>
      <c r="K96" s="6">
        <v>0</v>
      </c>
      <c r="L96" s="6">
        <f t="shared" si="5"/>
        <v>47</v>
      </c>
      <c r="M96" s="6">
        <f t="shared" si="6"/>
        <v>1</v>
      </c>
      <c r="N96" s="6" t="str">
        <f t="shared" si="7"/>
        <v>PASS</v>
      </c>
    </row>
    <row r="97" spans="4:14" x14ac:dyDescent="0.35">
      <c r="D97" s="6">
        <v>83</v>
      </c>
      <c r="E97" s="6" t="str">
        <f>'SUB-1'!E97</f>
        <v>BTMC24O1083</v>
      </c>
      <c r="F97" s="6">
        <v>15</v>
      </c>
      <c r="G97" s="6">
        <v>14</v>
      </c>
      <c r="H97" s="6">
        <v>7</v>
      </c>
      <c r="I97" s="6">
        <v>13</v>
      </c>
      <c r="J97" s="6">
        <f t="shared" si="4"/>
        <v>20</v>
      </c>
      <c r="K97" s="6">
        <v>22</v>
      </c>
      <c r="L97" s="6">
        <f t="shared" si="5"/>
        <v>71</v>
      </c>
      <c r="M97" s="6">
        <f t="shared" si="6"/>
        <v>2</v>
      </c>
      <c r="N97" s="6" t="str">
        <f t="shared" si="7"/>
        <v>PASS</v>
      </c>
    </row>
    <row r="98" spans="4:14" x14ac:dyDescent="0.35">
      <c r="D98" s="6">
        <v>84</v>
      </c>
      <c r="E98" s="6" t="str">
        <f>'SUB-1'!E98</f>
        <v>BTMC24O1084</v>
      </c>
      <c r="F98" s="6">
        <v>9</v>
      </c>
      <c r="G98" s="6">
        <v>8</v>
      </c>
      <c r="H98" s="6">
        <v>3</v>
      </c>
      <c r="I98" s="6">
        <v>14</v>
      </c>
      <c r="J98" s="6">
        <f t="shared" si="4"/>
        <v>17</v>
      </c>
      <c r="K98" s="6">
        <v>20</v>
      </c>
      <c r="L98" s="6">
        <f t="shared" si="5"/>
        <v>54</v>
      </c>
      <c r="M98" s="6">
        <f t="shared" si="6"/>
        <v>2</v>
      </c>
      <c r="N98" s="6" t="str">
        <f t="shared" si="7"/>
        <v>PASS</v>
      </c>
    </row>
    <row r="99" spans="4:14" x14ac:dyDescent="0.35">
      <c r="D99" s="6">
        <v>85</v>
      </c>
      <c r="E99" s="6" t="str">
        <f>'SUB-1'!E99</f>
        <v>BTMC24O1085</v>
      </c>
      <c r="F99" s="6">
        <v>18</v>
      </c>
      <c r="G99" s="6">
        <v>6</v>
      </c>
      <c r="H99" s="6">
        <v>6</v>
      </c>
      <c r="I99" s="6">
        <v>16</v>
      </c>
      <c r="J99" s="6">
        <f t="shared" ref="J99:J114" si="8">H99+I99</f>
        <v>22</v>
      </c>
      <c r="K99" s="6">
        <v>18</v>
      </c>
      <c r="L99" s="6">
        <f t="shared" ref="L99:L114" si="9">K99+J99+G99+F99</f>
        <v>64</v>
      </c>
      <c r="M99" s="6">
        <f t="shared" ref="M99:M114" si="10">IF(L99&gt;75,3,IF(L99&gt;50,2,IF(L99&gt;35,1,0)))</f>
        <v>2</v>
      </c>
      <c r="N99" s="6" t="str">
        <f t="shared" ref="N99:N114" si="11">IF(L99&lt;35,"FAIL","PASS")</f>
        <v>PASS</v>
      </c>
    </row>
    <row r="100" spans="4:14" x14ac:dyDescent="0.35">
      <c r="D100" s="6">
        <v>86</v>
      </c>
      <c r="E100" s="6" t="str">
        <f>'SUB-1'!E100</f>
        <v>BTMC24O1086</v>
      </c>
      <c r="F100" s="6">
        <v>13</v>
      </c>
      <c r="G100" s="6">
        <v>13</v>
      </c>
      <c r="H100" s="6">
        <v>3</v>
      </c>
      <c r="I100" s="6">
        <v>14</v>
      </c>
      <c r="J100" s="6">
        <f t="shared" si="8"/>
        <v>17</v>
      </c>
      <c r="K100" s="6">
        <v>24</v>
      </c>
      <c r="L100" s="6">
        <f t="shared" si="9"/>
        <v>67</v>
      </c>
      <c r="M100" s="6">
        <f t="shared" si="10"/>
        <v>2</v>
      </c>
      <c r="N100" s="6" t="str">
        <f t="shared" si="11"/>
        <v>PASS</v>
      </c>
    </row>
    <row r="101" spans="4:14" x14ac:dyDescent="0.35">
      <c r="D101" s="6">
        <v>87</v>
      </c>
      <c r="E101" s="6" t="str">
        <f>'SUB-1'!E101</f>
        <v>BTMC24O1087</v>
      </c>
      <c r="F101" s="6">
        <v>17</v>
      </c>
      <c r="G101" s="6">
        <v>19</v>
      </c>
      <c r="H101" s="6">
        <v>10</v>
      </c>
      <c r="I101" s="6">
        <v>20</v>
      </c>
      <c r="J101" s="6">
        <f t="shared" si="8"/>
        <v>30</v>
      </c>
      <c r="K101" s="6">
        <v>24</v>
      </c>
      <c r="L101" s="6">
        <f t="shared" si="9"/>
        <v>90</v>
      </c>
      <c r="M101" s="6">
        <f t="shared" si="10"/>
        <v>3</v>
      </c>
      <c r="N101" s="6" t="str">
        <f t="shared" si="11"/>
        <v>PASS</v>
      </c>
    </row>
    <row r="102" spans="4:14" x14ac:dyDescent="0.35">
      <c r="D102" s="6">
        <v>88</v>
      </c>
      <c r="E102" s="6" t="str">
        <f>'SUB-1'!E102</f>
        <v>BTMC24O1088</v>
      </c>
      <c r="F102" s="6">
        <v>17</v>
      </c>
      <c r="G102" s="6">
        <v>18</v>
      </c>
      <c r="H102" s="6">
        <v>8</v>
      </c>
      <c r="I102" s="6">
        <v>13</v>
      </c>
      <c r="J102" s="6">
        <f t="shared" si="8"/>
        <v>21</v>
      </c>
      <c r="K102" s="6">
        <v>25</v>
      </c>
      <c r="L102" s="6">
        <f t="shared" si="9"/>
        <v>81</v>
      </c>
      <c r="M102" s="6">
        <f t="shared" si="10"/>
        <v>3</v>
      </c>
      <c r="N102" s="6" t="str">
        <f t="shared" si="11"/>
        <v>PASS</v>
      </c>
    </row>
    <row r="103" spans="4:14" x14ac:dyDescent="0.35">
      <c r="D103" s="6">
        <v>89</v>
      </c>
      <c r="E103" s="6" t="str">
        <f>'SUB-1'!E103</f>
        <v>BTMC24O1089</v>
      </c>
      <c r="F103" s="6">
        <v>10</v>
      </c>
      <c r="G103" s="6">
        <v>5</v>
      </c>
      <c r="H103" s="6">
        <v>1</v>
      </c>
      <c r="I103" s="6">
        <v>11</v>
      </c>
      <c r="J103" s="6">
        <f t="shared" si="8"/>
        <v>12</v>
      </c>
      <c r="K103" s="6">
        <v>27</v>
      </c>
      <c r="L103" s="6">
        <f t="shared" si="9"/>
        <v>54</v>
      </c>
      <c r="M103" s="6">
        <f t="shared" si="10"/>
        <v>2</v>
      </c>
      <c r="N103" s="6" t="str">
        <f t="shared" si="11"/>
        <v>PASS</v>
      </c>
    </row>
    <row r="104" spans="4:14" x14ac:dyDescent="0.35">
      <c r="D104" s="6">
        <v>90</v>
      </c>
      <c r="E104" s="6" t="str">
        <f>'SUB-1'!E104</f>
        <v>BTMC24O1090</v>
      </c>
      <c r="F104" s="6">
        <v>5</v>
      </c>
      <c r="G104" s="6">
        <v>2</v>
      </c>
      <c r="H104" s="6">
        <v>7</v>
      </c>
      <c r="I104" s="6">
        <v>5</v>
      </c>
      <c r="J104" s="6">
        <f t="shared" si="8"/>
        <v>12</v>
      </c>
      <c r="K104" s="6">
        <v>17</v>
      </c>
      <c r="L104" s="6">
        <f t="shared" si="9"/>
        <v>36</v>
      </c>
      <c r="M104" s="6">
        <f t="shared" si="10"/>
        <v>1</v>
      </c>
      <c r="N104" s="6" t="str">
        <f t="shared" si="11"/>
        <v>PASS</v>
      </c>
    </row>
    <row r="105" spans="4:14" x14ac:dyDescent="0.35">
      <c r="D105" s="6">
        <v>91</v>
      </c>
      <c r="E105" s="6" t="str">
        <f>'SUB-1'!E105</f>
        <v>BTMC24O1091</v>
      </c>
      <c r="F105" s="6">
        <v>14</v>
      </c>
      <c r="G105" s="6">
        <v>17</v>
      </c>
      <c r="H105" s="6">
        <v>4</v>
      </c>
      <c r="I105" s="6">
        <v>3</v>
      </c>
      <c r="J105" s="6">
        <f t="shared" si="8"/>
        <v>7</v>
      </c>
      <c r="K105" s="6">
        <v>18</v>
      </c>
      <c r="L105" s="6">
        <f t="shared" si="9"/>
        <v>56</v>
      </c>
      <c r="M105" s="6">
        <f t="shared" si="10"/>
        <v>2</v>
      </c>
      <c r="N105" s="6" t="str">
        <f t="shared" si="11"/>
        <v>PASS</v>
      </c>
    </row>
    <row r="106" spans="4:14" x14ac:dyDescent="0.35">
      <c r="D106" s="6">
        <v>92</v>
      </c>
      <c r="E106" s="6" t="str">
        <f>'SUB-1'!E106</f>
        <v>BTMC24O1092</v>
      </c>
      <c r="F106" s="6">
        <v>5</v>
      </c>
      <c r="G106" s="6">
        <v>2</v>
      </c>
      <c r="H106" s="6">
        <v>3</v>
      </c>
      <c r="I106" s="6">
        <v>19</v>
      </c>
      <c r="J106" s="6">
        <f t="shared" si="8"/>
        <v>22</v>
      </c>
      <c r="K106" s="6">
        <v>15</v>
      </c>
      <c r="L106" s="6">
        <f t="shared" si="9"/>
        <v>44</v>
      </c>
      <c r="M106" s="6">
        <f t="shared" si="10"/>
        <v>1</v>
      </c>
      <c r="N106" s="6" t="str">
        <f t="shared" si="11"/>
        <v>PASS</v>
      </c>
    </row>
    <row r="107" spans="4:14" x14ac:dyDescent="0.35">
      <c r="D107" s="6">
        <v>93</v>
      </c>
      <c r="E107" s="6" t="str">
        <f>'SUB-1'!E107</f>
        <v>BTMC24O1093</v>
      </c>
      <c r="F107" s="6">
        <v>6</v>
      </c>
      <c r="G107" s="6">
        <v>5</v>
      </c>
      <c r="H107" s="6">
        <v>5</v>
      </c>
      <c r="I107" s="6">
        <v>11</v>
      </c>
      <c r="J107" s="6">
        <f t="shared" si="8"/>
        <v>16</v>
      </c>
      <c r="K107" s="6">
        <v>24</v>
      </c>
      <c r="L107" s="6">
        <f t="shared" si="9"/>
        <v>51</v>
      </c>
      <c r="M107" s="6">
        <f t="shared" si="10"/>
        <v>2</v>
      </c>
      <c r="N107" s="6" t="str">
        <f t="shared" si="11"/>
        <v>PASS</v>
      </c>
    </row>
    <row r="108" spans="4:14" x14ac:dyDescent="0.35">
      <c r="D108" s="6">
        <v>94</v>
      </c>
      <c r="E108" s="6" t="str">
        <f>'SUB-1'!E108</f>
        <v>BTMC24O1094</v>
      </c>
      <c r="F108" s="6">
        <v>18</v>
      </c>
      <c r="G108" s="6">
        <v>19</v>
      </c>
      <c r="H108" s="6">
        <v>4</v>
      </c>
      <c r="I108" s="6">
        <v>7</v>
      </c>
      <c r="J108" s="6">
        <f t="shared" si="8"/>
        <v>11</v>
      </c>
      <c r="K108" s="6">
        <v>20</v>
      </c>
      <c r="L108" s="6">
        <f t="shared" si="9"/>
        <v>68</v>
      </c>
      <c r="M108" s="6">
        <f t="shared" si="10"/>
        <v>2</v>
      </c>
      <c r="N108" s="6" t="str">
        <f t="shared" si="11"/>
        <v>PASS</v>
      </c>
    </row>
    <row r="109" spans="4:14" x14ac:dyDescent="0.35">
      <c r="D109" s="6">
        <v>95</v>
      </c>
      <c r="E109" s="6" t="str">
        <f>'SUB-1'!E109</f>
        <v>BTMC24O1095</v>
      </c>
      <c r="F109" s="6">
        <v>20</v>
      </c>
      <c r="G109" s="6">
        <v>11</v>
      </c>
      <c r="H109" s="6">
        <v>2</v>
      </c>
      <c r="I109" s="6">
        <v>11</v>
      </c>
      <c r="J109" s="6">
        <f t="shared" si="8"/>
        <v>13</v>
      </c>
      <c r="K109" s="6">
        <v>10</v>
      </c>
      <c r="L109" s="6">
        <f t="shared" si="9"/>
        <v>54</v>
      </c>
      <c r="M109" s="6">
        <f t="shared" si="10"/>
        <v>2</v>
      </c>
      <c r="N109" s="6" t="str">
        <f t="shared" si="11"/>
        <v>PASS</v>
      </c>
    </row>
    <row r="110" spans="4:14" x14ac:dyDescent="0.35">
      <c r="D110" s="6">
        <v>96</v>
      </c>
      <c r="E110" s="6" t="str">
        <f>'SUB-1'!E110</f>
        <v>BTMC24O1096</v>
      </c>
      <c r="F110" s="6">
        <v>10</v>
      </c>
      <c r="G110" s="6">
        <v>20</v>
      </c>
      <c r="H110" s="6">
        <v>5</v>
      </c>
      <c r="I110" s="6">
        <v>0</v>
      </c>
      <c r="J110" s="6">
        <f t="shared" si="8"/>
        <v>5</v>
      </c>
      <c r="K110" s="6">
        <v>15</v>
      </c>
      <c r="L110" s="6">
        <f t="shared" si="9"/>
        <v>50</v>
      </c>
      <c r="M110" s="6">
        <f t="shared" si="10"/>
        <v>1</v>
      </c>
      <c r="N110" s="6" t="str">
        <f t="shared" si="11"/>
        <v>PASS</v>
      </c>
    </row>
    <row r="111" spans="4:14" x14ac:dyDescent="0.35">
      <c r="D111" s="6">
        <v>97</v>
      </c>
      <c r="E111" s="6" t="str">
        <f>'SUB-1'!E111</f>
        <v>BTMC24O1097</v>
      </c>
      <c r="F111" s="6">
        <v>14</v>
      </c>
      <c r="G111" s="6">
        <v>2</v>
      </c>
      <c r="H111" s="6">
        <v>5</v>
      </c>
      <c r="I111" s="6">
        <v>10</v>
      </c>
      <c r="J111" s="6">
        <f t="shared" si="8"/>
        <v>15</v>
      </c>
      <c r="K111" s="6">
        <v>24</v>
      </c>
      <c r="L111" s="6">
        <f t="shared" si="9"/>
        <v>55</v>
      </c>
      <c r="M111" s="6">
        <f t="shared" si="10"/>
        <v>2</v>
      </c>
      <c r="N111" s="6" t="str">
        <f t="shared" si="11"/>
        <v>PASS</v>
      </c>
    </row>
    <row r="112" spans="4:14" x14ac:dyDescent="0.35">
      <c r="D112" s="6">
        <v>98</v>
      </c>
      <c r="E112" s="6" t="str">
        <f>'SUB-1'!E112</f>
        <v>BTMC24O1098</v>
      </c>
      <c r="F112" s="6">
        <v>2</v>
      </c>
      <c r="G112" s="6">
        <v>16</v>
      </c>
      <c r="H112" s="6">
        <v>9</v>
      </c>
      <c r="I112" s="6">
        <v>11</v>
      </c>
      <c r="J112" s="6">
        <f t="shared" si="8"/>
        <v>20</v>
      </c>
      <c r="K112" s="6">
        <v>25</v>
      </c>
      <c r="L112" s="6">
        <f t="shared" si="9"/>
        <v>63</v>
      </c>
      <c r="M112" s="6">
        <f t="shared" si="10"/>
        <v>2</v>
      </c>
      <c r="N112" s="6" t="str">
        <f t="shared" si="11"/>
        <v>PASS</v>
      </c>
    </row>
    <row r="113" spans="4:14" x14ac:dyDescent="0.35">
      <c r="D113" s="6">
        <v>99</v>
      </c>
      <c r="E113" s="6" t="str">
        <f>'SUB-1'!E113</f>
        <v>BTMC24O1099</v>
      </c>
      <c r="F113" s="6">
        <v>14</v>
      </c>
      <c r="G113" s="6">
        <v>2</v>
      </c>
      <c r="H113" s="6">
        <v>1</v>
      </c>
      <c r="I113" s="6">
        <v>13</v>
      </c>
      <c r="J113" s="6">
        <f t="shared" si="8"/>
        <v>14</v>
      </c>
      <c r="K113" s="6">
        <v>1</v>
      </c>
      <c r="L113" s="6">
        <f t="shared" si="9"/>
        <v>31</v>
      </c>
      <c r="M113" s="6">
        <f t="shared" si="10"/>
        <v>0</v>
      </c>
      <c r="N113" s="6" t="str">
        <f t="shared" si="11"/>
        <v>FAIL</v>
      </c>
    </row>
    <row r="114" spans="4:14" x14ac:dyDescent="0.35">
      <c r="D114" s="6">
        <v>100</v>
      </c>
      <c r="E114" s="6" t="str">
        <f>'SUB-1'!E114</f>
        <v>BTMC24O1100</v>
      </c>
      <c r="F114" s="6">
        <v>1</v>
      </c>
      <c r="G114" s="6">
        <v>6</v>
      </c>
      <c r="H114" s="6">
        <v>9</v>
      </c>
      <c r="I114" s="6">
        <v>16</v>
      </c>
      <c r="J114" s="6">
        <f t="shared" si="8"/>
        <v>25</v>
      </c>
      <c r="K114" s="6">
        <v>4</v>
      </c>
      <c r="L114" s="6">
        <f t="shared" si="9"/>
        <v>36</v>
      </c>
      <c r="M114" s="6">
        <f t="shared" si="10"/>
        <v>1</v>
      </c>
      <c r="N114" s="6" t="str">
        <f t="shared" si="11"/>
        <v>PASS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P15:Q15"/>
  </mergeCells>
  <conditionalFormatting sqref="N15:N114">
    <cfRule type="containsText" dxfId="8" priority="1" operator="containsText" text="FAIL">
      <formula>NOT(ISERROR(SEARCH("FAIL",N15)))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E33E4-EC22-42C4-AFFB-A1A545018BAD}">
  <sheetPr codeName="Sheet6"/>
  <dimension ref="C1:S114"/>
  <sheetViews>
    <sheetView topLeftCell="H7" zoomScale="80" zoomScaleNormal="80" workbookViewId="0">
      <selection activeCell="Y32" sqref="Y32"/>
    </sheetView>
  </sheetViews>
  <sheetFormatPr defaultRowHeight="14.5" x14ac:dyDescent="0.35"/>
  <cols>
    <col min="4" max="4" width="6.54296875" customWidth="1"/>
    <col min="5" max="5" width="16.7265625" customWidth="1"/>
    <col min="6" max="6" width="16.81640625" customWidth="1"/>
    <col min="7" max="7" width="28" customWidth="1"/>
    <col min="8" max="8" width="11.453125" customWidth="1"/>
    <col min="9" max="9" width="10.81640625" customWidth="1"/>
    <col min="10" max="10" width="15.816406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9" ht="14.5" customHeight="1" x14ac:dyDescent="0.35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3:19" x14ac:dyDescent="0.35">
      <c r="C2" s="35"/>
      <c r="D2" s="161" t="s">
        <v>108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9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9" ht="25" x14ac:dyDescent="0.7">
      <c r="C4" s="35"/>
      <c r="D4" s="208" t="s">
        <v>109</v>
      </c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  <c r="P4" s="209"/>
      <c r="Q4" s="209"/>
    </row>
    <row r="5" spans="3:19" ht="23" x14ac:dyDescent="0.6">
      <c r="C5" s="35"/>
      <c r="D5" s="164" t="s">
        <v>107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9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9" ht="22" x14ac:dyDescent="0.6">
      <c r="C7" s="35"/>
      <c r="D7" s="35"/>
      <c r="E7" s="35"/>
      <c r="F7" s="35"/>
      <c r="G7" s="164" t="s">
        <v>110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19" ht="21" x14ac:dyDescent="0.5">
      <c r="C8" s="35"/>
      <c r="D8" s="160" t="s">
        <v>111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9" ht="21" x14ac:dyDescent="0.5">
      <c r="C9" s="7"/>
      <c r="D9" s="160" t="s">
        <v>112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9" ht="18.5" x14ac:dyDescent="0.45">
      <c r="E11" s="32">
        <v>25241105</v>
      </c>
      <c r="F11" s="32" t="s">
        <v>57</v>
      </c>
      <c r="G11" s="32"/>
      <c r="H11" s="32" t="s">
        <v>58</v>
      </c>
      <c r="I11" s="32"/>
    </row>
    <row r="12" spans="3:19" x14ac:dyDescent="0.35">
      <c r="D12" s="29" t="s">
        <v>42</v>
      </c>
      <c r="E12" s="29" t="s">
        <v>43</v>
      </c>
      <c r="F12" s="29" t="s">
        <v>44</v>
      </c>
      <c r="G12" s="29" t="s">
        <v>45</v>
      </c>
      <c r="H12" s="29" t="s">
        <v>46</v>
      </c>
      <c r="I12" s="29" t="s">
        <v>47</v>
      </c>
      <c r="J12" s="29" t="s">
        <v>48</v>
      </c>
      <c r="K12" s="29" t="s">
        <v>49</v>
      </c>
      <c r="L12" s="29" t="s">
        <v>50</v>
      </c>
      <c r="M12" s="29" t="s">
        <v>51</v>
      </c>
      <c r="N12" s="29" t="s">
        <v>52</v>
      </c>
    </row>
    <row r="13" spans="3:19" x14ac:dyDescent="0.35">
      <c r="D13" s="6"/>
      <c r="E13" s="6"/>
      <c r="F13" s="33">
        <v>20</v>
      </c>
      <c r="G13" s="33">
        <v>20</v>
      </c>
      <c r="H13" s="33">
        <v>10</v>
      </c>
      <c r="I13" s="33">
        <v>20</v>
      </c>
      <c r="J13" s="33">
        <v>30</v>
      </c>
      <c r="K13" s="33">
        <v>30</v>
      </c>
      <c r="L13" s="33">
        <v>100</v>
      </c>
      <c r="M13" s="33">
        <v>3</v>
      </c>
      <c r="N13" s="33" t="s">
        <v>53</v>
      </c>
    </row>
    <row r="14" spans="3:19" x14ac:dyDescent="0.35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3:19" x14ac:dyDescent="0.35">
      <c r="D15" s="6">
        <v>1</v>
      </c>
      <c r="E15" s="6" t="s">
        <v>140</v>
      </c>
      <c r="F15" s="6">
        <v>4</v>
      </c>
      <c r="G15" s="6">
        <v>10</v>
      </c>
      <c r="H15" s="6">
        <v>3</v>
      </c>
      <c r="I15" s="6">
        <v>8</v>
      </c>
      <c r="J15" s="6">
        <f t="shared" ref="J15:J35" si="0">H15+I15</f>
        <v>11</v>
      </c>
      <c r="K15" s="6">
        <v>24</v>
      </c>
      <c r="L15" s="6">
        <f t="shared" ref="L15:L34" si="1">K15+J15+G15+F15</f>
        <v>49</v>
      </c>
      <c r="M15" s="6">
        <f>IF(L15&gt;75,3,IF(L15&gt;50,2,IF(L15&gt;35,1,0)))</f>
        <v>1</v>
      </c>
      <c r="N15" s="6" t="str">
        <f>IF(L15&lt;35,"FAIL","PASS")</f>
        <v>PASS</v>
      </c>
      <c r="P15" s="107" t="s">
        <v>660</v>
      </c>
      <c r="Q15" s="107"/>
    </row>
    <row r="16" spans="3:19" x14ac:dyDescent="0.35">
      <c r="D16" s="6">
        <v>2</v>
      </c>
      <c r="E16" s="6" t="s">
        <v>147</v>
      </c>
      <c r="F16" s="6">
        <v>6</v>
      </c>
      <c r="G16" s="6">
        <v>7</v>
      </c>
      <c r="H16" s="6">
        <v>2</v>
      </c>
      <c r="I16" s="6">
        <v>14</v>
      </c>
      <c r="J16" s="6">
        <f t="shared" si="0"/>
        <v>16</v>
      </c>
      <c r="K16" s="6">
        <v>26</v>
      </c>
      <c r="L16" s="6">
        <f t="shared" si="1"/>
        <v>55</v>
      </c>
      <c r="M16" s="6">
        <f t="shared" ref="M16:M34" si="2">IF(L16&gt;75,3,IF(L16&gt;50,2,IF(L16&gt;35,1,0)))</f>
        <v>2</v>
      </c>
      <c r="N16" s="6" t="str">
        <f t="shared" ref="N16:N34" si="3">IF(L16&lt;35,"FAIL","PASS")</f>
        <v>PASS</v>
      </c>
      <c r="P16" s="215" t="s">
        <v>665</v>
      </c>
      <c r="Q16" s="212">
        <f>COUNTIF(N15:N114,N15)</f>
        <v>81</v>
      </c>
      <c r="R16" s="215"/>
      <c r="S16" s="215"/>
    </row>
    <row r="17" spans="4:19" x14ac:dyDescent="0.35">
      <c r="D17" s="6">
        <v>3</v>
      </c>
      <c r="E17" s="6" t="s">
        <v>152</v>
      </c>
      <c r="F17" s="6">
        <v>19</v>
      </c>
      <c r="G17" s="6">
        <v>12</v>
      </c>
      <c r="H17" s="6">
        <v>10</v>
      </c>
      <c r="I17" s="6">
        <v>1</v>
      </c>
      <c r="J17" s="6">
        <f t="shared" si="0"/>
        <v>11</v>
      </c>
      <c r="K17" s="6">
        <v>22</v>
      </c>
      <c r="L17" s="6">
        <f t="shared" si="1"/>
        <v>64</v>
      </c>
      <c r="M17" s="6">
        <f t="shared" si="2"/>
        <v>2</v>
      </c>
      <c r="N17" s="6" t="str">
        <f t="shared" si="3"/>
        <v>PASS</v>
      </c>
      <c r="P17" s="215" t="s">
        <v>667</v>
      </c>
      <c r="Q17" s="212">
        <f>COUNTIF(N15:N114,N23)</f>
        <v>19</v>
      </c>
      <c r="R17" s="212"/>
      <c r="S17" s="212"/>
    </row>
    <row r="18" spans="4:19" x14ac:dyDescent="0.35">
      <c r="D18" s="6">
        <v>4</v>
      </c>
      <c r="E18" s="6" t="s">
        <v>157</v>
      </c>
      <c r="F18" s="6">
        <v>20</v>
      </c>
      <c r="G18" s="6">
        <v>6</v>
      </c>
      <c r="H18" s="6">
        <v>3</v>
      </c>
      <c r="I18" s="6">
        <v>2</v>
      </c>
      <c r="J18" s="6">
        <f t="shared" si="0"/>
        <v>5</v>
      </c>
      <c r="K18" s="6">
        <v>12</v>
      </c>
      <c r="L18" s="6">
        <f t="shared" si="1"/>
        <v>43</v>
      </c>
      <c r="M18" s="6">
        <f t="shared" si="2"/>
        <v>1</v>
      </c>
      <c r="N18" s="6" t="str">
        <f t="shared" si="3"/>
        <v>PASS</v>
      </c>
      <c r="P18" s="212"/>
      <c r="Q18" s="212"/>
      <c r="R18" s="212"/>
      <c r="S18" s="212"/>
    </row>
    <row r="19" spans="4:19" x14ac:dyDescent="0.35">
      <c r="D19" s="6">
        <v>5</v>
      </c>
      <c r="E19" s="6" t="s">
        <v>162</v>
      </c>
      <c r="F19" s="6">
        <v>11</v>
      </c>
      <c r="G19" s="6">
        <v>20</v>
      </c>
      <c r="H19" s="6">
        <v>2</v>
      </c>
      <c r="I19" s="6">
        <v>15</v>
      </c>
      <c r="J19" s="6">
        <f t="shared" si="0"/>
        <v>17</v>
      </c>
      <c r="K19" s="6">
        <v>3</v>
      </c>
      <c r="L19" s="6">
        <f t="shared" si="1"/>
        <v>51</v>
      </c>
      <c r="M19" s="6">
        <f t="shared" si="2"/>
        <v>2</v>
      </c>
      <c r="N19" s="6" t="str">
        <f t="shared" si="3"/>
        <v>PASS</v>
      </c>
      <c r="Q19" s="215"/>
      <c r="R19" s="215"/>
      <c r="S19" s="215"/>
    </row>
    <row r="20" spans="4:19" x14ac:dyDescent="0.35">
      <c r="D20" s="6">
        <v>6</v>
      </c>
      <c r="E20" s="6" t="s">
        <v>167</v>
      </c>
      <c r="F20" s="6">
        <v>8</v>
      </c>
      <c r="G20" s="6">
        <v>20</v>
      </c>
      <c r="H20" s="6">
        <v>3</v>
      </c>
      <c r="I20" s="6">
        <v>18</v>
      </c>
      <c r="J20" s="6">
        <f t="shared" si="0"/>
        <v>21</v>
      </c>
      <c r="K20" s="6">
        <v>16</v>
      </c>
      <c r="L20" s="6">
        <f t="shared" si="1"/>
        <v>65</v>
      </c>
      <c r="M20" s="6">
        <f t="shared" si="2"/>
        <v>2</v>
      </c>
      <c r="N20" s="6" t="str">
        <f t="shared" si="3"/>
        <v>PASS</v>
      </c>
      <c r="Q20" s="212"/>
      <c r="R20" s="212"/>
      <c r="S20" s="212"/>
    </row>
    <row r="21" spans="4:19" x14ac:dyDescent="0.35">
      <c r="D21" s="6">
        <v>7</v>
      </c>
      <c r="E21" s="6" t="s">
        <v>565</v>
      </c>
      <c r="F21" s="6">
        <v>14</v>
      </c>
      <c r="G21" s="6">
        <v>20</v>
      </c>
      <c r="H21" s="6">
        <v>5</v>
      </c>
      <c r="I21" s="6">
        <v>7</v>
      </c>
      <c r="J21" s="6">
        <f t="shared" si="0"/>
        <v>12</v>
      </c>
      <c r="K21" s="6">
        <v>18</v>
      </c>
      <c r="L21" s="6">
        <f t="shared" si="1"/>
        <v>64</v>
      </c>
      <c r="M21" s="6">
        <f t="shared" si="2"/>
        <v>2</v>
      </c>
      <c r="N21" s="6" t="str">
        <f t="shared" si="3"/>
        <v>PASS</v>
      </c>
    </row>
    <row r="22" spans="4:19" x14ac:dyDescent="0.35">
      <c r="D22" s="6">
        <v>8</v>
      </c>
      <c r="E22" s="6" t="s">
        <v>566</v>
      </c>
      <c r="F22" s="6">
        <v>12</v>
      </c>
      <c r="G22" s="6">
        <v>3</v>
      </c>
      <c r="H22" s="6">
        <v>7</v>
      </c>
      <c r="I22" s="6">
        <v>18</v>
      </c>
      <c r="J22" s="6">
        <f t="shared" si="0"/>
        <v>25</v>
      </c>
      <c r="K22" s="6">
        <v>6</v>
      </c>
      <c r="L22" s="6">
        <f t="shared" si="1"/>
        <v>46</v>
      </c>
      <c r="M22" s="6">
        <f t="shared" si="2"/>
        <v>1</v>
      </c>
      <c r="N22" s="6" t="str">
        <f t="shared" si="3"/>
        <v>PASS</v>
      </c>
    </row>
    <row r="23" spans="4:19" x14ac:dyDescent="0.35">
      <c r="D23" s="6">
        <v>9</v>
      </c>
      <c r="E23" s="6" t="s">
        <v>176</v>
      </c>
      <c r="F23" s="6">
        <v>5</v>
      </c>
      <c r="G23" s="6">
        <v>9</v>
      </c>
      <c r="H23" s="6">
        <v>7</v>
      </c>
      <c r="I23" s="6">
        <v>2</v>
      </c>
      <c r="J23" s="6">
        <f t="shared" si="0"/>
        <v>9</v>
      </c>
      <c r="K23" s="6">
        <v>4</v>
      </c>
      <c r="L23" s="6">
        <f t="shared" si="1"/>
        <v>27</v>
      </c>
      <c r="M23" s="6">
        <f t="shared" si="2"/>
        <v>0</v>
      </c>
      <c r="N23" s="6" t="str">
        <f t="shared" si="3"/>
        <v>FAIL</v>
      </c>
    </row>
    <row r="24" spans="4:19" x14ac:dyDescent="0.35">
      <c r="D24" s="6">
        <v>10</v>
      </c>
      <c r="E24" s="6" t="s">
        <v>181</v>
      </c>
      <c r="F24" s="6">
        <v>18</v>
      </c>
      <c r="G24" s="6">
        <v>20</v>
      </c>
      <c r="H24" s="6">
        <v>4</v>
      </c>
      <c r="I24" s="6">
        <v>2</v>
      </c>
      <c r="J24" s="6">
        <f t="shared" si="0"/>
        <v>6</v>
      </c>
      <c r="K24" s="6">
        <v>7</v>
      </c>
      <c r="L24" s="6">
        <f t="shared" si="1"/>
        <v>51</v>
      </c>
      <c r="M24" s="6">
        <f t="shared" si="2"/>
        <v>2</v>
      </c>
      <c r="N24" s="6" t="str">
        <f t="shared" si="3"/>
        <v>PASS</v>
      </c>
    </row>
    <row r="25" spans="4:19" x14ac:dyDescent="0.35">
      <c r="D25" s="6">
        <v>11</v>
      </c>
      <c r="E25" s="6" t="s">
        <v>186</v>
      </c>
      <c r="F25" s="6">
        <v>10</v>
      </c>
      <c r="G25" s="6">
        <v>17</v>
      </c>
      <c r="H25" s="6">
        <v>4</v>
      </c>
      <c r="I25" s="6">
        <v>19</v>
      </c>
      <c r="J25" s="6">
        <f t="shared" si="0"/>
        <v>23</v>
      </c>
      <c r="K25" s="6">
        <v>17</v>
      </c>
      <c r="L25" s="6">
        <f t="shared" si="1"/>
        <v>67</v>
      </c>
      <c r="M25" s="6">
        <f t="shared" si="2"/>
        <v>2</v>
      </c>
      <c r="N25" s="6" t="str">
        <f t="shared" si="3"/>
        <v>PASS</v>
      </c>
    </row>
    <row r="26" spans="4:19" x14ac:dyDescent="0.35">
      <c r="D26" s="6">
        <v>12</v>
      </c>
      <c r="E26" s="6" t="s">
        <v>191</v>
      </c>
      <c r="F26" s="6">
        <v>3</v>
      </c>
      <c r="G26" s="6">
        <v>1</v>
      </c>
      <c r="H26" s="6">
        <v>1</v>
      </c>
      <c r="I26" s="6">
        <v>15</v>
      </c>
      <c r="J26" s="6">
        <f t="shared" si="0"/>
        <v>16</v>
      </c>
      <c r="K26" s="6">
        <v>24</v>
      </c>
      <c r="L26" s="6">
        <f t="shared" si="1"/>
        <v>44</v>
      </c>
      <c r="M26" s="6">
        <f t="shared" si="2"/>
        <v>1</v>
      </c>
      <c r="N26" s="6" t="str">
        <f t="shared" si="3"/>
        <v>PASS</v>
      </c>
    </row>
    <row r="27" spans="4:19" x14ac:dyDescent="0.35">
      <c r="D27" s="6">
        <v>13</v>
      </c>
      <c r="E27" s="6" t="s">
        <v>196</v>
      </c>
      <c r="F27" s="6">
        <v>9</v>
      </c>
      <c r="G27" s="6">
        <v>9</v>
      </c>
      <c r="H27" s="6">
        <v>2</v>
      </c>
      <c r="I27" s="6">
        <v>10</v>
      </c>
      <c r="J27" s="6">
        <f t="shared" si="0"/>
        <v>12</v>
      </c>
      <c r="K27" s="6">
        <v>29</v>
      </c>
      <c r="L27" s="6">
        <f t="shared" si="1"/>
        <v>59</v>
      </c>
      <c r="M27" s="6">
        <f t="shared" si="2"/>
        <v>2</v>
      </c>
      <c r="N27" s="6" t="str">
        <f t="shared" si="3"/>
        <v>PASS</v>
      </c>
    </row>
    <row r="28" spans="4:19" x14ac:dyDescent="0.35">
      <c r="D28" s="6">
        <v>14</v>
      </c>
      <c r="E28" s="6" t="s">
        <v>567</v>
      </c>
      <c r="F28" s="6">
        <v>3</v>
      </c>
      <c r="G28" s="6">
        <v>19</v>
      </c>
      <c r="H28" s="6">
        <v>0</v>
      </c>
      <c r="I28" s="6">
        <v>9</v>
      </c>
      <c r="J28" s="6">
        <f t="shared" si="0"/>
        <v>9</v>
      </c>
      <c r="K28" s="6">
        <v>3</v>
      </c>
      <c r="L28" s="6">
        <f t="shared" si="1"/>
        <v>34</v>
      </c>
      <c r="M28" s="6">
        <f t="shared" si="2"/>
        <v>0</v>
      </c>
      <c r="N28" s="6" t="str">
        <f t="shared" si="3"/>
        <v>FAIL</v>
      </c>
    </row>
    <row r="29" spans="4:19" x14ac:dyDescent="0.35">
      <c r="D29" s="6">
        <v>15</v>
      </c>
      <c r="E29" s="6" t="s">
        <v>568</v>
      </c>
      <c r="F29" s="6">
        <v>12</v>
      </c>
      <c r="G29" s="6">
        <v>9</v>
      </c>
      <c r="H29" s="6">
        <v>0</v>
      </c>
      <c r="I29" s="6">
        <v>20</v>
      </c>
      <c r="J29" s="6">
        <f t="shared" si="0"/>
        <v>20</v>
      </c>
      <c r="K29" s="6">
        <v>9</v>
      </c>
      <c r="L29" s="6">
        <f t="shared" si="1"/>
        <v>50</v>
      </c>
      <c r="M29" s="6">
        <f t="shared" si="2"/>
        <v>1</v>
      </c>
      <c r="N29" s="6" t="str">
        <f t="shared" si="3"/>
        <v>PASS</v>
      </c>
    </row>
    <row r="30" spans="4:19" x14ac:dyDescent="0.35">
      <c r="D30" s="6">
        <v>16</v>
      </c>
      <c r="E30" s="6" t="s">
        <v>204</v>
      </c>
      <c r="F30" s="6">
        <v>17</v>
      </c>
      <c r="G30" s="6">
        <v>13</v>
      </c>
      <c r="H30" s="6">
        <v>0</v>
      </c>
      <c r="I30" s="6">
        <v>13</v>
      </c>
      <c r="J30" s="6">
        <f t="shared" si="0"/>
        <v>13</v>
      </c>
      <c r="K30" s="6">
        <v>20</v>
      </c>
      <c r="L30" s="6">
        <f t="shared" si="1"/>
        <v>63</v>
      </c>
      <c r="M30" s="6">
        <f t="shared" si="2"/>
        <v>2</v>
      </c>
      <c r="N30" s="6" t="str">
        <f t="shared" si="3"/>
        <v>PASS</v>
      </c>
    </row>
    <row r="31" spans="4:19" x14ac:dyDescent="0.35">
      <c r="D31" s="6">
        <v>17</v>
      </c>
      <c r="E31" s="6" t="s">
        <v>209</v>
      </c>
      <c r="F31" s="6">
        <v>13</v>
      </c>
      <c r="G31" s="6">
        <v>8</v>
      </c>
      <c r="H31" s="6">
        <v>3</v>
      </c>
      <c r="I31" s="6">
        <v>2</v>
      </c>
      <c r="J31" s="6">
        <f t="shared" si="0"/>
        <v>5</v>
      </c>
      <c r="K31" s="6">
        <v>2</v>
      </c>
      <c r="L31" s="6">
        <f t="shared" si="1"/>
        <v>28</v>
      </c>
      <c r="M31" s="6">
        <f t="shared" si="2"/>
        <v>0</v>
      </c>
      <c r="N31" s="6" t="str">
        <f t="shared" si="3"/>
        <v>FAIL</v>
      </c>
    </row>
    <row r="32" spans="4:19" x14ac:dyDescent="0.35">
      <c r="D32" s="6">
        <v>18</v>
      </c>
      <c r="E32" s="6" t="s">
        <v>214</v>
      </c>
      <c r="F32" s="6">
        <v>12</v>
      </c>
      <c r="G32" s="6">
        <v>12</v>
      </c>
      <c r="H32" s="6">
        <v>7</v>
      </c>
      <c r="I32" s="6">
        <v>2</v>
      </c>
      <c r="J32" s="6">
        <f t="shared" si="0"/>
        <v>9</v>
      </c>
      <c r="K32" s="6">
        <v>10</v>
      </c>
      <c r="L32" s="6">
        <f t="shared" si="1"/>
        <v>43</v>
      </c>
      <c r="M32" s="6">
        <f t="shared" si="2"/>
        <v>1</v>
      </c>
      <c r="N32" s="6" t="str">
        <f t="shared" si="3"/>
        <v>PASS</v>
      </c>
    </row>
    <row r="33" spans="4:14" x14ac:dyDescent="0.35">
      <c r="D33" s="6">
        <v>19</v>
      </c>
      <c r="E33" s="6" t="s">
        <v>219</v>
      </c>
      <c r="F33" s="6">
        <v>19</v>
      </c>
      <c r="G33" s="6">
        <v>20</v>
      </c>
      <c r="H33" s="6">
        <v>4</v>
      </c>
      <c r="I33" s="6">
        <v>18</v>
      </c>
      <c r="J33" s="6">
        <f t="shared" si="0"/>
        <v>22</v>
      </c>
      <c r="K33" s="6">
        <v>25</v>
      </c>
      <c r="L33" s="6">
        <f t="shared" si="1"/>
        <v>86</v>
      </c>
      <c r="M33" s="6">
        <f t="shared" si="2"/>
        <v>3</v>
      </c>
      <c r="N33" s="6" t="str">
        <f t="shared" si="3"/>
        <v>PASS</v>
      </c>
    </row>
    <row r="34" spans="4:14" x14ac:dyDescent="0.35">
      <c r="D34" s="6">
        <v>20</v>
      </c>
      <c r="E34" s="6" t="s">
        <v>224</v>
      </c>
      <c r="F34" s="6">
        <v>16</v>
      </c>
      <c r="G34" s="6">
        <v>14</v>
      </c>
      <c r="H34" s="6">
        <v>3</v>
      </c>
      <c r="I34" s="6">
        <v>6</v>
      </c>
      <c r="J34" s="6">
        <f t="shared" si="0"/>
        <v>9</v>
      </c>
      <c r="K34" s="6">
        <v>23</v>
      </c>
      <c r="L34" s="6">
        <f t="shared" si="1"/>
        <v>62</v>
      </c>
      <c r="M34" s="6">
        <f t="shared" si="2"/>
        <v>2</v>
      </c>
      <c r="N34" s="6" t="str">
        <f t="shared" si="3"/>
        <v>PASS</v>
      </c>
    </row>
    <row r="35" spans="4:14" x14ac:dyDescent="0.35">
      <c r="D35" s="6">
        <f>'SUB-1'!D35</f>
        <v>21</v>
      </c>
      <c r="E35" s="6" t="str">
        <f>'SUB-1'!E35</f>
        <v>BTMC24O1021</v>
      </c>
      <c r="F35" s="6">
        <v>13</v>
      </c>
      <c r="G35" s="6">
        <v>20</v>
      </c>
      <c r="H35" s="6">
        <v>7</v>
      </c>
      <c r="I35" s="6">
        <v>20</v>
      </c>
      <c r="J35" s="6">
        <f t="shared" si="0"/>
        <v>27</v>
      </c>
      <c r="K35" s="6">
        <v>20</v>
      </c>
      <c r="L35" s="6">
        <f t="shared" ref="L35" si="4">K35+J35+G35+F35</f>
        <v>80</v>
      </c>
      <c r="M35" s="6">
        <f t="shared" ref="M35" si="5">IF(L35&gt;75,3,IF(L35&gt;50,2,IF(L35&gt;35,1,0)))</f>
        <v>3</v>
      </c>
      <c r="N35" s="6" t="str">
        <f t="shared" ref="N35" si="6">IF(L35&lt;35,"FAIL","PASS")</f>
        <v>PASS</v>
      </c>
    </row>
    <row r="36" spans="4:14" x14ac:dyDescent="0.35">
      <c r="D36" s="6">
        <f>'SUB-1'!D36</f>
        <v>22</v>
      </c>
      <c r="E36" s="6" t="str">
        <f>'SUB-1'!E36</f>
        <v>BTMC24O1022</v>
      </c>
      <c r="F36" s="6">
        <v>12</v>
      </c>
      <c r="G36" s="6">
        <v>6</v>
      </c>
      <c r="H36" s="6">
        <v>0</v>
      </c>
      <c r="I36" s="6">
        <v>9</v>
      </c>
      <c r="J36" s="6">
        <f t="shared" ref="J36:J99" si="7">H36+I36</f>
        <v>9</v>
      </c>
      <c r="K36" s="6">
        <v>17</v>
      </c>
      <c r="L36" s="6">
        <f t="shared" ref="L36:L99" si="8">K36+J36+G36+F36</f>
        <v>44</v>
      </c>
      <c r="M36" s="6">
        <f t="shared" ref="M36:M99" si="9">IF(L36&gt;75,3,IF(L36&gt;50,2,IF(L36&gt;35,1,0)))</f>
        <v>1</v>
      </c>
      <c r="N36" s="6" t="str">
        <f t="shared" ref="N36:N99" si="10">IF(L36&lt;35,"FAIL","PASS")</f>
        <v>PASS</v>
      </c>
    </row>
    <row r="37" spans="4:14" x14ac:dyDescent="0.35">
      <c r="D37" s="6">
        <f>'SUB-1'!D37</f>
        <v>23</v>
      </c>
      <c r="E37" s="6" t="str">
        <f>'SUB-1'!E37</f>
        <v>BTMC24O1023</v>
      </c>
      <c r="F37" s="6">
        <v>9</v>
      </c>
      <c r="G37" s="6">
        <v>11</v>
      </c>
      <c r="H37" s="6">
        <v>9</v>
      </c>
      <c r="I37" s="6">
        <v>0</v>
      </c>
      <c r="J37" s="6">
        <f t="shared" si="7"/>
        <v>9</v>
      </c>
      <c r="K37" s="6">
        <v>16</v>
      </c>
      <c r="L37" s="6">
        <f t="shared" si="8"/>
        <v>45</v>
      </c>
      <c r="M37" s="6">
        <f t="shared" si="9"/>
        <v>1</v>
      </c>
      <c r="N37" s="6" t="str">
        <f t="shared" si="10"/>
        <v>PASS</v>
      </c>
    </row>
    <row r="38" spans="4:14" x14ac:dyDescent="0.35">
      <c r="D38" s="6">
        <f>'SUB-1'!D38</f>
        <v>24</v>
      </c>
      <c r="E38" s="6" t="str">
        <f>'SUB-1'!E38</f>
        <v>BTMC24O1024</v>
      </c>
      <c r="F38" s="6">
        <v>14</v>
      </c>
      <c r="G38" s="6">
        <v>10</v>
      </c>
      <c r="H38" s="6">
        <v>1</v>
      </c>
      <c r="I38" s="6">
        <v>8</v>
      </c>
      <c r="J38" s="6">
        <f t="shared" si="7"/>
        <v>9</v>
      </c>
      <c r="K38" s="6">
        <v>22</v>
      </c>
      <c r="L38" s="6">
        <f t="shared" si="8"/>
        <v>55</v>
      </c>
      <c r="M38" s="6">
        <f t="shared" si="9"/>
        <v>2</v>
      </c>
      <c r="N38" s="6" t="str">
        <f t="shared" si="10"/>
        <v>PASS</v>
      </c>
    </row>
    <row r="39" spans="4:14" x14ac:dyDescent="0.35">
      <c r="D39" s="6">
        <f>'SUB-1'!D39</f>
        <v>25</v>
      </c>
      <c r="E39" s="6" t="str">
        <f>'SUB-1'!E39</f>
        <v>BTMC24O1025</v>
      </c>
      <c r="F39" s="6">
        <v>1</v>
      </c>
      <c r="G39" s="6">
        <v>16</v>
      </c>
      <c r="H39" s="6">
        <v>7</v>
      </c>
      <c r="I39" s="6">
        <v>18</v>
      </c>
      <c r="J39" s="6">
        <f t="shared" si="7"/>
        <v>25</v>
      </c>
      <c r="K39" s="6">
        <v>23</v>
      </c>
      <c r="L39" s="6">
        <f t="shared" si="8"/>
        <v>65</v>
      </c>
      <c r="M39" s="6">
        <f t="shared" si="9"/>
        <v>2</v>
      </c>
      <c r="N39" s="6" t="str">
        <f t="shared" si="10"/>
        <v>PASS</v>
      </c>
    </row>
    <row r="40" spans="4:14" x14ac:dyDescent="0.35">
      <c r="D40" s="6">
        <f>'SUB-1'!D40</f>
        <v>26</v>
      </c>
      <c r="E40" s="6" t="str">
        <f>'SUB-1'!E40</f>
        <v>BTMC24O1026</v>
      </c>
      <c r="F40" s="6">
        <v>8</v>
      </c>
      <c r="G40" s="6">
        <v>17</v>
      </c>
      <c r="H40" s="6">
        <v>8</v>
      </c>
      <c r="I40" s="6">
        <v>4</v>
      </c>
      <c r="J40" s="6">
        <f t="shared" si="7"/>
        <v>12</v>
      </c>
      <c r="K40" s="6">
        <v>14</v>
      </c>
      <c r="L40" s="6">
        <f t="shared" si="8"/>
        <v>51</v>
      </c>
      <c r="M40" s="6">
        <f t="shared" si="9"/>
        <v>2</v>
      </c>
      <c r="N40" s="6" t="str">
        <f t="shared" si="10"/>
        <v>PASS</v>
      </c>
    </row>
    <row r="41" spans="4:14" x14ac:dyDescent="0.35">
      <c r="D41" s="6">
        <f>'SUB-1'!D41</f>
        <v>27</v>
      </c>
      <c r="E41" s="6" t="str">
        <f>'SUB-1'!E41</f>
        <v>BTMC24O1027</v>
      </c>
      <c r="F41" s="6">
        <v>14</v>
      </c>
      <c r="G41" s="6">
        <v>4</v>
      </c>
      <c r="H41" s="6">
        <v>9</v>
      </c>
      <c r="I41" s="6">
        <v>17</v>
      </c>
      <c r="J41" s="6">
        <f t="shared" si="7"/>
        <v>26</v>
      </c>
      <c r="K41" s="6">
        <v>24</v>
      </c>
      <c r="L41" s="6">
        <f t="shared" si="8"/>
        <v>68</v>
      </c>
      <c r="M41" s="6">
        <f t="shared" si="9"/>
        <v>2</v>
      </c>
      <c r="N41" s="6" t="str">
        <f t="shared" si="10"/>
        <v>PASS</v>
      </c>
    </row>
    <row r="42" spans="4:14" x14ac:dyDescent="0.35">
      <c r="D42" s="6">
        <f>'SUB-1'!D42</f>
        <v>28</v>
      </c>
      <c r="E42" s="6" t="str">
        <f>'SUB-1'!E42</f>
        <v>BTMC24O1028</v>
      </c>
      <c r="F42" s="6">
        <v>20</v>
      </c>
      <c r="G42" s="6">
        <v>9</v>
      </c>
      <c r="H42" s="6">
        <v>0</v>
      </c>
      <c r="I42" s="6">
        <v>10</v>
      </c>
      <c r="J42" s="6">
        <f t="shared" si="7"/>
        <v>10</v>
      </c>
      <c r="K42" s="6">
        <v>1</v>
      </c>
      <c r="L42" s="6">
        <f t="shared" si="8"/>
        <v>40</v>
      </c>
      <c r="M42" s="6">
        <f t="shared" si="9"/>
        <v>1</v>
      </c>
      <c r="N42" s="6" t="str">
        <f t="shared" si="10"/>
        <v>PASS</v>
      </c>
    </row>
    <row r="43" spans="4:14" x14ac:dyDescent="0.35">
      <c r="D43" s="6">
        <f>'SUB-1'!D43</f>
        <v>29</v>
      </c>
      <c r="E43" s="6" t="str">
        <f>'SUB-1'!E43</f>
        <v>BTMC24O1029</v>
      </c>
      <c r="F43" s="6">
        <v>6</v>
      </c>
      <c r="G43" s="6">
        <v>12</v>
      </c>
      <c r="H43" s="6">
        <v>6</v>
      </c>
      <c r="I43" s="6">
        <v>2</v>
      </c>
      <c r="J43" s="6">
        <f t="shared" si="7"/>
        <v>8</v>
      </c>
      <c r="K43" s="6">
        <v>22</v>
      </c>
      <c r="L43" s="6">
        <f t="shared" si="8"/>
        <v>48</v>
      </c>
      <c r="M43" s="6">
        <f t="shared" si="9"/>
        <v>1</v>
      </c>
      <c r="N43" s="6" t="str">
        <f t="shared" si="10"/>
        <v>PASS</v>
      </c>
    </row>
    <row r="44" spans="4:14" x14ac:dyDescent="0.35">
      <c r="D44" s="6">
        <f>'SUB-1'!D44</f>
        <v>30</v>
      </c>
      <c r="E44" s="6" t="str">
        <f>'SUB-1'!E44</f>
        <v>BTMC24O1030</v>
      </c>
      <c r="F44" s="6">
        <v>0</v>
      </c>
      <c r="G44" s="6">
        <v>5</v>
      </c>
      <c r="H44" s="6">
        <v>7</v>
      </c>
      <c r="I44" s="6">
        <v>7</v>
      </c>
      <c r="J44" s="6">
        <f t="shared" si="7"/>
        <v>14</v>
      </c>
      <c r="K44" s="6">
        <v>30</v>
      </c>
      <c r="L44" s="6">
        <f t="shared" si="8"/>
        <v>49</v>
      </c>
      <c r="M44" s="6">
        <f t="shared" si="9"/>
        <v>1</v>
      </c>
      <c r="N44" s="6" t="str">
        <f t="shared" si="10"/>
        <v>PASS</v>
      </c>
    </row>
    <row r="45" spans="4:14" x14ac:dyDescent="0.35">
      <c r="D45" s="6">
        <f>'SUB-1'!D45</f>
        <v>31</v>
      </c>
      <c r="E45" s="6" t="str">
        <f>'SUB-1'!E45</f>
        <v>BTMC24O1031</v>
      </c>
      <c r="F45" s="6">
        <v>7</v>
      </c>
      <c r="G45" s="6">
        <v>3</v>
      </c>
      <c r="H45" s="6">
        <v>9</v>
      </c>
      <c r="I45" s="6">
        <v>2</v>
      </c>
      <c r="J45" s="6">
        <f t="shared" si="7"/>
        <v>11</v>
      </c>
      <c r="K45" s="6">
        <v>15</v>
      </c>
      <c r="L45" s="6">
        <f t="shared" si="8"/>
        <v>36</v>
      </c>
      <c r="M45" s="6">
        <f t="shared" si="9"/>
        <v>1</v>
      </c>
      <c r="N45" s="6" t="str">
        <f t="shared" si="10"/>
        <v>PASS</v>
      </c>
    </row>
    <row r="46" spans="4:14" x14ac:dyDescent="0.35">
      <c r="D46" s="6">
        <f>'SUB-1'!D46</f>
        <v>32</v>
      </c>
      <c r="E46" s="6" t="str">
        <f>'SUB-1'!E46</f>
        <v>BTMC24O1032</v>
      </c>
      <c r="F46" s="6">
        <v>18</v>
      </c>
      <c r="G46" s="6">
        <v>1</v>
      </c>
      <c r="H46" s="6">
        <v>3</v>
      </c>
      <c r="I46" s="6">
        <v>7</v>
      </c>
      <c r="J46" s="6">
        <f t="shared" si="7"/>
        <v>10</v>
      </c>
      <c r="K46" s="6">
        <v>4</v>
      </c>
      <c r="L46" s="6">
        <f t="shared" si="8"/>
        <v>33</v>
      </c>
      <c r="M46" s="6">
        <f t="shared" si="9"/>
        <v>0</v>
      </c>
      <c r="N46" s="6" t="str">
        <f t="shared" si="10"/>
        <v>FAIL</v>
      </c>
    </row>
    <row r="47" spans="4:14" x14ac:dyDescent="0.35">
      <c r="D47" s="6">
        <f>'SUB-1'!D47</f>
        <v>33</v>
      </c>
      <c r="E47" s="6" t="str">
        <f>'SUB-1'!E47</f>
        <v>BTMC24O1033</v>
      </c>
      <c r="F47" s="6">
        <v>20</v>
      </c>
      <c r="G47" s="6">
        <v>20</v>
      </c>
      <c r="H47" s="6">
        <v>10</v>
      </c>
      <c r="I47" s="6">
        <v>7</v>
      </c>
      <c r="J47" s="6">
        <f t="shared" si="7"/>
        <v>17</v>
      </c>
      <c r="K47" s="6">
        <v>6</v>
      </c>
      <c r="L47" s="6">
        <f t="shared" si="8"/>
        <v>63</v>
      </c>
      <c r="M47" s="6">
        <f t="shared" si="9"/>
        <v>2</v>
      </c>
      <c r="N47" s="6" t="str">
        <f t="shared" si="10"/>
        <v>PASS</v>
      </c>
    </row>
    <row r="48" spans="4:14" x14ac:dyDescent="0.35">
      <c r="D48" s="6">
        <f>'SUB-1'!D48</f>
        <v>34</v>
      </c>
      <c r="E48" s="6" t="str">
        <f>'SUB-1'!E48</f>
        <v>BTMC24O1034</v>
      </c>
      <c r="F48" s="6">
        <v>0</v>
      </c>
      <c r="G48" s="6">
        <v>20</v>
      </c>
      <c r="H48" s="6">
        <v>5</v>
      </c>
      <c r="I48" s="6">
        <v>20</v>
      </c>
      <c r="J48" s="6">
        <f t="shared" si="7"/>
        <v>25</v>
      </c>
      <c r="K48" s="6">
        <v>24</v>
      </c>
      <c r="L48" s="6">
        <f t="shared" si="8"/>
        <v>69</v>
      </c>
      <c r="M48" s="6">
        <f t="shared" si="9"/>
        <v>2</v>
      </c>
      <c r="N48" s="6" t="str">
        <f t="shared" si="10"/>
        <v>PASS</v>
      </c>
    </row>
    <row r="49" spans="4:14" x14ac:dyDescent="0.35">
      <c r="D49" s="6">
        <f>'SUB-1'!D49</f>
        <v>35</v>
      </c>
      <c r="E49" s="6" t="str">
        <f>'SUB-1'!E49</f>
        <v>BTMC24O1035</v>
      </c>
      <c r="F49" s="6">
        <v>1</v>
      </c>
      <c r="G49" s="6">
        <v>11</v>
      </c>
      <c r="H49" s="6">
        <v>1</v>
      </c>
      <c r="I49" s="6">
        <v>6</v>
      </c>
      <c r="J49" s="6">
        <f t="shared" si="7"/>
        <v>7</v>
      </c>
      <c r="K49" s="6">
        <v>0</v>
      </c>
      <c r="L49" s="6">
        <f t="shared" si="8"/>
        <v>19</v>
      </c>
      <c r="M49" s="6">
        <f t="shared" si="9"/>
        <v>0</v>
      </c>
      <c r="N49" s="6" t="str">
        <f t="shared" si="10"/>
        <v>FAIL</v>
      </c>
    </row>
    <row r="50" spans="4:14" x14ac:dyDescent="0.35">
      <c r="D50" s="6">
        <f>'SUB-1'!D50</f>
        <v>36</v>
      </c>
      <c r="E50" s="6" t="str">
        <f>'SUB-1'!E50</f>
        <v>BTMC24O1036</v>
      </c>
      <c r="F50" s="6">
        <v>18</v>
      </c>
      <c r="G50" s="6">
        <v>2</v>
      </c>
      <c r="H50" s="6">
        <v>4</v>
      </c>
      <c r="I50" s="6">
        <v>3</v>
      </c>
      <c r="J50" s="6">
        <f t="shared" si="7"/>
        <v>7</v>
      </c>
      <c r="K50" s="6">
        <v>12</v>
      </c>
      <c r="L50" s="6">
        <f t="shared" si="8"/>
        <v>39</v>
      </c>
      <c r="M50" s="6">
        <f t="shared" si="9"/>
        <v>1</v>
      </c>
      <c r="N50" s="6" t="str">
        <f t="shared" si="10"/>
        <v>PASS</v>
      </c>
    </row>
    <row r="51" spans="4:14" x14ac:dyDescent="0.35">
      <c r="D51" s="6">
        <f>'SUB-1'!D51</f>
        <v>37</v>
      </c>
      <c r="E51" s="6" t="str">
        <f>'SUB-1'!E51</f>
        <v>BTMC24O1037</v>
      </c>
      <c r="F51" s="6">
        <v>17</v>
      </c>
      <c r="G51" s="6">
        <v>11</v>
      </c>
      <c r="H51" s="6">
        <v>2</v>
      </c>
      <c r="I51" s="6">
        <v>1</v>
      </c>
      <c r="J51" s="6">
        <f t="shared" si="7"/>
        <v>3</v>
      </c>
      <c r="K51" s="6">
        <v>2</v>
      </c>
      <c r="L51" s="6">
        <f t="shared" si="8"/>
        <v>33</v>
      </c>
      <c r="M51" s="6">
        <f t="shared" si="9"/>
        <v>0</v>
      </c>
      <c r="N51" s="6" t="str">
        <f t="shared" si="10"/>
        <v>FAIL</v>
      </c>
    </row>
    <row r="52" spans="4:14" x14ac:dyDescent="0.35">
      <c r="D52" s="6">
        <f>'SUB-1'!D52</f>
        <v>38</v>
      </c>
      <c r="E52" s="6" t="str">
        <f>'SUB-1'!E52</f>
        <v>BTMC24O1038</v>
      </c>
      <c r="F52" s="6">
        <v>17</v>
      </c>
      <c r="G52" s="6">
        <v>7</v>
      </c>
      <c r="H52" s="6">
        <v>2</v>
      </c>
      <c r="I52" s="6">
        <v>1</v>
      </c>
      <c r="J52" s="6">
        <f t="shared" si="7"/>
        <v>3</v>
      </c>
      <c r="K52" s="6">
        <v>26</v>
      </c>
      <c r="L52" s="6">
        <f t="shared" si="8"/>
        <v>53</v>
      </c>
      <c r="M52" s="6">
        <f t="shared" si="9"/>
        <v>2</v>
      </c>
      <c r="N52" s="6" t="str">
        <f t="shared" si="10"/>
        <v>PASS</v>
      </c>
    </row>
    <row r="53" spans="4:14" x14ac:dyDescent="0.35">
      <c r="D53" s="6">
        <f>'SUB-1'!D53</f>
        <v>39</v>
      </c>
      <c r="E53" s="6" t="str">
        <f>'SUB-1'!E53</f>
        <v>BTMC24O1039</v>
      </c>
      <c r="F53" s="6">
        <v>13</v>
      </c>
      <c r="G53" s="6">
        <v>8</v>
      </c>
      <c r="H53" s="6">
        <v>9</v>
      </c>
      <c r="I53" s="6">
        <v>12</v>
      </c>
      <c r="J53" s="6">
        <f t="shared" si="7"/>
        <v>21</v>
      </c>
      <c r="K53" s="6">
        <v>23</v>
      </c>
      <c r="L53" s="6">
        <f t="shared" si="8"/>
        <v>65</v>
      </c>
      <c r="M53" s="6">
        <f t="shared" si="9"/>
        <v>2</v>
      </c>
      <c r="N53" s="6" t="str">
        <f t="shared" si="10"/>
        <v>PASS</v>
      </c>
    </row>
    <row r="54" spans="4:14" x14ac:dyDescent="0.35">
      <c r="D54" s="6">
        <f>'SUB-1'!D54</f>
        <v>40</v>
      </c>
      <c r="E54" s="6" t="str">
        <f>'SUB-1'!E54</f>
        <v>BTMC24O1040</v>
      </c>
      <c r="F54" s="6">
        <v>13</v>
      </c>
      <c r="G54" s="6">
        <v>3</v>
      </c>
      <c r="H54" s="6">
        <v>5</v>
      </c>
      <c r="I54" s="6">
        <v>20</v>
      </c>
      <c r="J54" s="6">
        <f t="shared" si="7"/>
        <v>25</v>
      </c>
      <c r="K54" s="6">
        <v>26</v>
      </c>
      <c r="L54" s="6">
        <f t="shared" si="8"/>
        <v>67</v>
      </c>
      <c r="M54" s="6">
        <f t="shared" si="9"/>
        <v>2</v>
      </c>
      <c r="N54" s="6" t="str">
        <f t="shared" si="10"/>
        <v>PASS</v>
      </c>
    </row>
    <row r="55" spans="4:14" x14ac:dyDescent="0.35">
      <c r="D55" s="6">
        <f>'SUB-1'!D55</f>
        <v>41</v>
      </c>
      <c r="E55" s="6" t="str">
        <f>'SUB-1'!E55</f>
        <v>BTMC24O1041</v>
      </c>
      <c r="F55" s="6">
        <v>12</v>
      </c>
      <c r="G55" s="6">
        <v>9</v>
      </c>
      <c r="H55" s="6">
        <v>9</v>
      </c>
      <c r="I55" s="6">
        <v>2</v>
      </c>
      <c r="J55" s="6">
        <f t="shared" si="7"/>
        <v>11</v>
      </c>
      <c r="K55" s="6">
        <v>26</v>
      </c>
      <c r="L55" s="6">
        <f t="shared" si="8"/>
        <v>58</v>
      </c>
      <c r="M55" s="6">
        <f t="shared" si="9"/>
        <v>2</v>
      </c>
      <c r="N55" s="6" t="str">
        <f t="shared" si="10"/>
        <v>PASS</v>
      </c>
    </row>
    <row r="56" spans="4:14" x14ac:dyDescent="0.35">
      <c r="D56" s="6">
        <f>'SUB-1'!D56</f>
        <v>42</v>
      </c>
      <c r="E56" s="6" t="str">
        <f>'SUB-1'!E56</f>
        <v>BTMC24O1042</v>
      </c>
      <c r="F56" s="6">
        <v>0</v>
      </c>
      <c r="G56" s="6">
        <v>8</v>
      </c>
      <c r="H56" s="6">
        <v>7</v>
      </c>
      <c r="I56" s="6">
        <v>14</v>
      </c>
      <c r="J56" s="6">
        <f t="shared" si="7"/>
        <v>21</v>
      </c>
      <c r="K56" s="6">
        <v>22</v>
      </c>
      <c r="L56" s="6">
        <f t="shared" si="8"/>
        <v>51</v>
      </c>
      <c r="M56" s="6">
        <f t="shared" si="9"/>
        <v>2</v>
      </c>
      <c r="N56" s="6" t="str">
        <f t="shared" si="10"/>
        <v>PASS</v>
      </c>
    </row>
    <row r="57" spans="4:14" x14ac:dyDescent="0.35">
      <c r="D57" s="6">
        <f>'SUB-1'!D57</f>
        <v>43</v>
      </c>
      <c r="E57" s="6" t="str">
        <f>'SUB-1'!E57</f>
        <v>BTMC24O1043</v>
      </c>
      <c r="F57" s="6">
        <v>7</v>
      </c>
      <c r="G57" s="6">
        <v>18</v>
      </c>
      <c r="H57" s="6">
        <v>2</v>
      </c>
      <c r="I57" s="6">
        <v>19</v>
      </c>
      <c r="J57" s="6">
        <f t="shared" si="7"/>
        <v>21</v>
      </c>
      <c r="K57" s="6">
        <v>20</v>
      </c>
      <c r="L57" s="6">
        <f t="shared" si="8"/>
        <v>66</v>
      </c>
      <c r="M57" s="6">
        <f t="shared" si="9"/>
        <v>2</v>
      </c>
      <c r="N57" s="6" t="str">
        <f t="shared" si="10"/>
        <v>PASS</v>
      </c>
    </row>
    <row r="58" spans="4:14" x14ac:dyDescent="0.35">
      <c r="D58" s="6">
        <f>'SUB-1'!D58</f>
        <v>44</v>
      </c>
      <c r="E58" s="6" t="str">
        <f>'SUB-1'!E58</f>
        <v>BTMC24O1044</v>
      </c>
      <c r="F58" s="6">
        <v>10</v>
      </c>
      <c r="G58" s="6">
        <v>13</v>
      </c>
      <c r="H58" s="6">
        <v>6</v>
      </c>
      <c r="I58" s="6">
        <v>14</v>
      </c>
      <c r="J58" s="6">
        <f t="shared" si="7"/>
        <v>20</v>
      </c>
      <c r="K58" s="6">
        <v>7</v>
      </c>
      <c r="L58" s="6">
        <f t="shared" si="8"/>
        <v>50</v>
      </c>
      <c r="M58" s="6">
        <f t="shared" si="9"/>
        <v>1</v>
      </c>
      <c r="N58" s="6" t="str">
        <f t="shared" si="10"/>
        <v>PASS</v>
      </c>
    </row>
    <row r="59" spans="4:14" x14ac:dyDescent="0.35">
      <c r="D59" s="6">
        <f>'SUB-1'!D59</f>
        <v>45</v>
      </c>
      <c r="E59" s="6" t="str">
        <f>'SUB-1'!E59</f>
        <v>BTMC24O1045</v>
      </c>
      <c r="F59" s="6">
        <v>20</v>
      </c>
      <c r="G59" s="6">
        <v>1</v>
      </c>
      <c r="H59" s="6">
        <v>7</v>
      </c>
      <c r="I59" s="6">
        <v>14</v>
      </c>
      <c r="J59" s="6">
        <f t="shared" si="7"/>
        <v>21</v>
      </c>
      <c r="K59" s="6">
        <v>20</v>
      </c>
      <c r="L59" s="6">
        <f t="shared" si="8"/>
        <v>62</v>
      </c>
      <c r="M59" s="6">
        <f t="shared" si="9"/>
        <v>2</v>
      </c>
      <c r="N59" s="6" t="str">
        <f t="shared" si="10"/>
        <v>PASS</v>
      </c>
    </row>
    <row r="60" spans="4:14" x14ac:dyDescent="0.35">
      <c r="D60" s="6">
        <f>'SUB-1'!D60</f>
        <v>46</v>
      </c>
      <c r="E60" s="6" t="str">
        <f>'SUB-1'!E60</f>
        <v>BTMC24O1046</v>
      </c>
      <c r="F60" s="6">
        <v>4</v>
      </c>
      <c r="G60" s="6">
        <v>7</v>
      </c>
      <c r="H60" s="6">
        <v>6</v>
      </c>
      <c r="I60" s="6">
        <v>18</v>
      </c>
      <c r="J60" s="6">
        <f t="shared" si="7"/>
        <v>24</v>
      </c>
      <c r="K60" s="6">
        <v>18</v>
      </c>
      <c r="L60" s="6">
        <f t="shared" si="8"/>
        <v>53</v>
      </c>
      <c r="M60" s="6">
        <f t="shared" si="9"/>
        <v>2</v>
      </c>
      <c r="N60" s="6" t="str">
        <f t="shared" si="10"/>
        <v>PASS</v>
      </c>
    </row>
    <row r="61" spans="4:14" x14ac:dyDescent="0.35">
      <c r="D61" s="6">
        <f>'SUB-1'!D61</f>
        <v>47</v>
      </c>
      <c r="E61" s="6" t="str">
        <f>'SUB-1'!E61</f>
        <v>BTMC24O1047</v>
      </c>
      <c r="F61" s="6">
        <v>17</v>
      </c>
      <c r="G61" s="6">
        <v>8</v>
      </c>
      <c r="H61" s="6">
        <v>4</v>
      </c>
      <c r="I61" s="6">
        <v>1</v>
      </c>
      <c r="J61" s="6">
        <f t="shared" si="7"/>
        <v>5</v>
      </c>
      <c r="K61" s="6">
        <v>12</v>
      </c>
      <c r="L61" s="6">
        <f t="shared" si="8"/>
        <v>42</v>
      </c>
      <c r="M61" s="6">
        <f t="shared" si="9"/>
        <v>1</v>
      </c>
      <c r="N61" s="6" t="str">
        <f t="shared" si="10"/>
        <v>PASS</v>
      </c>
    </row>
    <row r="62" spans="4:14" x14ac:dyDescent="0.35">
      <c r="D62" s="6">
        <f>'SUB-1'!D62</f>
        <v>48</v>
      </c>
      <c r="E62" s="6" t="str">
        <f>'SUB-1'!E62</f>
        <v>BTMC24O1048</v>
      </c>
      <c r="F62" s="6">
        <v>15</v>
      </c>
      <c r="G62" s="6">
        <v>4</v>
      </c>
      <c r="H62" s="6">
        <v>3</v>
      </c>
      <c r="I62" s="6">
        <v>3</v>
      </c>
      <c r="J62" s="6">
        <f t="shared" si="7"/>
        <v>6</v>
      </c>
      <c r="K62" s="6">
        <v>8</v>
      </c>
      <c r="L62" s="6">
        <f t="shared" si="8"/>
        <v>33</v>
      </c>
      <c r="M62" s="6">
        <f t="shared" si="9"/>
        <v>0</v>
      </c>
      <c r="N62" s="6" t="str">
        <f t="shared" si="10"/>
        <v>FAIL</v>
      </c>
    </row>
    <row r="63" spans="4:14" x14ac:dyDescent="0.35">
      <c r="D63" s="6">
        <f>'SUB-1'!D63</f>
        <v>49</v>
      </c>
      <c r="E63" s="6" t="str">
        <f>'SUB-1'!E63</f>
        <v>BTMC24O1049</v>
      </c>
      <c r="F63" s="6">
        <v>9</v>
      </c>
      <c r="G63" s="6">
        <v>12</v>
      </c>
      <c r="H63" s="6">
        <v>0</v>
      </c>
      <c r="I63" s="6">
        <v>17</v>
      </c>
      <c r="J63" s="6">
        <f t="shared" si="7"/>
        <v>17</v>
      </c>
      <c r="K63" s="6">
        <v>28</v>
      </c>
      <c r="L63" s="6">
        <f t="shared" si="8"/>
        <v>66</v>
      </c>
      <c r="M63" s="6">
        <f t="shared" si="9"/>
        <v>2</v>
      </c>
      <c r="N63" s="6" t="str">
        <f t="shared" si="10"/>
        <v>PASS</v>
      </c>
    </row>
    <row r="64" spans="4:14" x14ac:dyDescent="0.35">
      <c r="D64" s="6">
        <f>'SUB-1'!D64</f>
        <v>50</v>
      </c>
      <c r="E64" s="6" t="str">
        <f>'SUB-1'!E64</f>
        <v>BTMC24O1050</v>
      </c>
      <c r="F64" s="6">
        <v>8</v>
      </c>
      <c r="G64" s="6">
        <v>7</v>
      </c>
      <c r="H64" s="6">
        <v>6</v>
      </c>
      <c r="I64" s="6">
        <v>11</v>
      </c>
      <c r="J64" s="6">
        <f t="shared" si="7"/>
        <v>17</v>
      </c>
      <c r="K64" s="6">
        <v>21</v>
      </c>
      <c r="L64" s="6">
        <f t="shared" si="8"/>
        <v>53</v>
      </c>
      <c r="M64" s="6">
        <f t="shared" si="9"/>
        <v>2</v>
      </c>
      <c r="N64" s="6" t="str">
        <f t="shared" si="10"/>
        <v>PASS</v>
      </c>
    </row>
    <row r="65" spans="4:14" x14ac:dyDescent="0.35">
      <c r="D65" s="6">
        <f>'SUB-1'!D65</f>
        <v>51</v>
      </c>
      <c r="E65" s="6" t="str">
        <f>'SUB-1'!E65</f>
        <v>BTMC24O1051</v>
      </c>
      <c r="F65" s="6">
        <v>3</v>
      </c>
      <c r="G65" s="6">
        <v>6</v>
      </c>
      <c r="H65" s="6">
        <v>0</v>
      </c>
      <c r="I65" s="6">
        <v>4</v>
      </c>
      <c r="J65" s="6">
        <f t="shared" si="7"/>
        <v>4</v>
      </c>
      <c r="K65" s="6">
        <v>18</v>
      </c>
      <c r="L65" s="6">
        <f t="shared" si="8"/>
        <v>31</v>
      </c>
      <c r="M65" s="6">
        <f t="shared" si="9"/>
        <v>0</v>
      </c>
      <c r="N65" s="6" t="str">
        <f t="shared" si="10"/>
        <v>FAIL</v>
      </c>
    </row>
    <row r="66" spans="4:14" x14ac:dyDescent="0.35">
      <c r="D66" s="6">
        <f>'SUB-1'!D66</f>
        <v>52</v>
      </c>
      <c r="E66" s="6" t="str">
        <f>'SUB-1'!E66</f>
        <v>BTMC24O1052</v>
      </c>
      <c r="F66" s="6">
        <v>15</v>
      </c>
      <c r="G66" s="6">
        <v>18</v>
      </c>
      <c r="H66" s="6">
        <v>1</v>
      </c>
      <c r="I66" s="6">
        <v>10</v>
      </c>
      <c r="J66" s="6">
        <f t="shared" si="7"/>
        <v>11</v>
      </c>
      <c r="K66" s="6">
        <v>17</v>
      </c>
      <c r="L66" s="6">
        <f t="shared" si="8"/>
        <v>61</v>
      </c>
      <c r="M66" s="6">
        <f t="shared" si="9"/>
        <v>2</v>
      </c>
      <c r="N66" s="6" t="str">
        <f t="shared" si="10"/>
        <v>PASS</v>
      </c>
    </row>
    <row r="67" spans="4:14" x14ac:dyDescent="0.35">
      <c r="D67" s="6">
        <f>'SUB-1'!D67</f>
        <v>53</v>
      </c>
      <c r="E67" s="6" t="str">
        <f>'SUB-1'!E67</f>
        <v>BTMC24O1053</v>
      </c>
      <c r="F67" s="6">
        <v>8</v>
      </c>
      <c r="G67" s="6">
        <v>18</v>
      </c>
      <c r="H67" s="6">
        <v>8</v>
      </c>
      <c r="I67" s="6">
        <v>16</v>
      </c>
      <c r="J67" s="6">
        <f t="shared" si="7"/>
        <v>24</v>
      </c>
      <c r="K67" s="6">
        <v>24</v>
      </c>
      <c r="L67" s="6">
        <f t="shared" si="8"/>
        <v>74</v>
      </c>
      <c r="M67" s="6">
        <f t="shared" si="9"/>
        <v>2</v>
      </c>
      <c r="N67" s="6" t="str">
        <f t="shared" si="10"/>
        <v>PASS</v>
      </c>
    </row>
    <row r="68" spans="4:14" x14ac:dyDescent="0.35">
      <c r="D68" s="6">
        <f>'SUB-1'!D68</f>
        <v>54</v>
      </c>
      <c r="E68" s="6" t="str">
        <f>'SUB-1'!E68</f>
        <v>BTMC24O1054</v>
      </c>
      <c r="F68" s="6">
        <v>4</v>
      </c>
      <c r="G68" s="6">
        <v>1</v>
      </c>
      <c r="H68" s="6">
        <v>1</v>
      </c>
      <c r="I68" s="6">
        <v>15</v>
      </c>
      <c r="J68" s="6">
        <f t="shared" si="7"/>
        <v>16</v>
      </c>
      <c r="K68" s="6">
        <v>12</v>
      </c>
      <c r="L68" s="6">
        <f t="shared" si="8"/>
        <v>33</v>
      </c>
      <c r="M68" s="6">
        <f t="shared" si="9"/>
        <v>0</v>
      </c>
      <c r="N68" s="6" t="str">
        <f t="shared" si="10"/>
        <v>FAIL</v>
      </c>
    </row>
    <row r="69" spans="4:14" x14ac:dyDescent="0.35">
      <c r="D69" s="6">
        <f>'SUB-1'!D69</f>
        <v>55</v>
      </c>
      <c r="E69" s="6" t="str">
        <f>'SUB-1'!E69</f>
        <v>BTMC24O1055</v>
      </c>
      <c r="F69" s="6">
        <v>8</v>
      </c>
      <c r="G69" s="6">
        <v>10</v>
      </c>
      <c r="H69" s="6">
        <v>7</v>
      </c>
      <c r="I69" s="6">
        <v>6</v>
      </c>
      <c r="J69" s="6">
        <f t="shared" si="7"/>
        <v>13</v>
      </c>
      <c r="K69" s="6">
        <v>19</v>
      </c>
      <c r="L69" s="6">
        <f t="shared" si="8"/>
        <v>50</v>
      </c>
      <c r="M69" s="6">
        <f t="shared" si="9"/>
        <v>1</v>
      </c>
      <c r="N69" s="6" t="str">
        <f t="shared" si="10"/>
        <v>PASS</v>
      </c>
    </row>
    <row r="70" spans="4:14" x14ac:dyDescent="0.35">
      <c r="D70" s="6">
        <f>'SUB-1'!D70</f>
        <v>56</v>
      </c>
      <c r="E70" s="6" t="str">
        <f>'SUB-1'!E70</f>
        <v>BTMC24O1056</v>
      </c>
      <c r="F70" s="6">
        <v>20</v>
      </c>
      <c r="G70" s="6">
        <v>18</v>
      </c>
      <c r="H70" s="6">
        <v>4</v>
      </c>
      <c r="I70" s="6">
        <v>9</v>
      </c>
      <c r="J70" s="6">
        <f t="shared" si="7"/>
        <v>13</v>
      </c>
      <c r="K70" s="6">
        <v>30</v>
      </c>
      <c r="L70" s="6">
        <f t="shared" si="8"/>
        <v>81</v>
      </c>
      <c r="M70" s="6">
        <f t="shared" si="9"/>
        <v>3</v>
      </c>
      <c r="N70" s="6" t="str">
        <f t="shared" si="10"/>
        <v>PASS</v>
      </c>
    </row>
    <row r="71" spans="4:14" x14ac:dyDescent="0.35">
      <c r="D71" s="6">
        <f>'SUB-1'!D71</f>
        <v>57</v>
      </c>
      <c r="E71" s="6" t="str">
        <f>'SUB-1'!E71</f>
        <v>BTMC24O1057</v>
      </c>
      <c r="F71" s="6">
        <v>7</v>
      </c>
      <c r="G71" s="6">
        <v>0</v>
      </c>
      <c r="H71" s="6">
        <v>5</v>
      </c>
      <c r="I71" s="6">
        <v>2</v>
      </c>
      <c r="J71" s="6">
        <f t="shared" si="7"/>
        <v>7</v>
      </c>
      <c r="K71" s="6">
        <v>2</v>
      </c>
      <c r="L71" s="6">
        <f t="shared" si="8"/>
        <v>16</v>
      </c>
      <c r="M71" s="6">
        <f t="shared" si="9"/>
        <v>0</v>
      </c>
      <c r="N71" s="6" t="str">
        <f t="shared" si="10"/>
        <v>FAIL</v>
      </c>
    </row>
    <row r="72" spans="4:14" x14ac:dyDescent="0.35">
      <c r="D72" s="6">
        <f>'SUB-1'!D72</f>
        <v>58</v>
      </c>
      <c r="E72" s="6" t="str">
        <f>'SUB-1'!E72</f>
        <v>BTMC24O1058</v>
      </c>
      <c r="F72" s="6">
        <v>9</v>
      </c>
      <c r="G72" s="6">
        <v>20</v>
      </c>
      <c r="H72" s="6">
        <v>3</v>
      </c>
      <c r="I72" s="6">
        <v>11</v>
      </c>
      <c r="J72" s="6">
        <f t="shared" si="7"/>
        <v>14</v>
      </c>
      <c r="K72" s="6">
        <v>18</v>
      </c>
      <c r="L72" s="6">
        <f t="shared" si="8"/>
        <v>61</v>
      </c>
      <c r="M72" s="6">
        <f t="shared" si="9"/>
        <v>2</v>
      </c>
      <c r="N72" s="6" t="str">
        <f t="shared" si="10"/>
        <v>PASS</v>
      </c>
    </row>
    <row r="73" spans="4:14" x14ac:dyDescent="0.35">
      <c r="D73" s="6">
        <f>'SUB-1'!D73</f>
        <v>59</v>
      </c>
      <c r="E73" s="6" t="str">
        <f>'SUB-1'!E73</f>
        <v>BTMC24O1059</v>
      </c>
      <c r="F73" s="6">
        <v>18</v>
      </c>
      <c r="G73" s="6">
        <v>6</v>
      </c>
      <c r="H73" s="6">
        <v>3</v>
      </c>
      <c r="I73" s="6">
        <v>12</v>
      </c>
      <c r="J73" s="6">
        <f t="shared" si="7"/>
        <v>15</v>
      </c>
      <c r="K73" s="6">
        <v>18</v>
      </c>
      <c r="L73" s="6">
        <f t="shared" si="8"/>
        <v>57</v>
      </c>
      <c r="M73" s="6">
        <f t="shared" si="9"/>
        <v>2</v>
      </c>
      <c r="N73" s="6" t="str">
        <f t="shared" si="10"/>
        <v>PASS</v>
      </c>
    </row>
    <row r="74" spans="4:14" x14ac:dyDescent="0.35">
      <c r="D74" s="6">
        <f>'SUB-1'!D74</f>
        <v>60</v>
      </c>
      <c r="E74" s="6" t="str">
        <f>'SUB-1'!E74</f>
        <v>BTMC24O1060</v>
      </c>
      <c r="F74" s="6">
        <v>9</v>
      </c>
      <c r="G74" s="6">
        <v>1</v>
      </c>
      <c r="H74" s="6">
        <v>0</v>
      </c>
      <c r="I74" s="6">
        <v>15</v>
      </c>
      <c r="J74" s="6">
        <f t="shared" si="7"/>
        <v>15</v>
      </c>
      <c r="K74" s="6">
        <v>6</v>
      </c>
      <c r="L74" s="6">
        <f t="shared" si="8"/>
        <v>31</v>
      </c>
      <c r="M74" s="6">
        <f t="shared" si="9"/>
        <v>0</v>
      </c>
      <c r="N74" s="6" t="str">
        <f t="shared" si="10"/>
        <v>FAIL</v>
      </c>
    </row>
    <row r="75" spans="4:14" x14ac:dyDescent="0.35">
      <c r="D75" s="6">
        <f>'SUB-1'!D75</f>
        <v>61</v>
      </c>
      <c r="E75" s="6" t="str">
        <f>'SUB-1'!E75</f>
        <v>BTMC24O1061</v>
      </c>
      <c r="F75" s="6">
        <v>2</v>
      </c>
      <c r="G75" s="6">
        <v>0</v>
      </c>
      <c r="H75" s="6">
        <v>4</v>
      </c>
      <c r="I75" s="6">
        <v>10</v>
      </c>
      <c r="J75" s="6">
        <f t="shared" si="7"/>
        <v>14</v>
      </c>
      <c r="K75" s="6">
        <v>19</v>
      </c>
      <c r="L75" s="6">
        <f t="shared" si="8"/>
        <v>35</v>
      </c>
      <c r="M75" s="6">
        <f t="shared" si="9"/>
        <v>0</v>
      </c>
      <c r="N75" s="6" t="str">
        <f t="shared" si="10"/>
        <v>PASS</v>
      </c>
    </row>
    <row r="76" spans="4:14" x14ac:dyDescent="0.35">
      <c r="D76" s="6">
        <f>'SUB-1'!D76</f>
        <v>62</v>
      </c>
      <c r="E76" s="6" t="str">
        <f>'SUB-1'!E76</f>
        <v>BTMC24O1062</v>
      </c>
      <c r="F76" s="6">
        <v>14</v>
      </c>
      <c r="G76" s="6">
        <v>10</v>
      </c>
      <c r="H76" s="6">
        <v>5</v>
      </c>
      <c r="I76" s="6">
        <v>6</v>
      </c>
      <c r="J76" s="6">
        <f t="shared" si="7"/>
        <v>11</v>
      </c>
      <c r="K76" s="6">
        <v>7</v>
      </c>
      <c r="L76" s="6">
        <f t="shared" si="8"/>
        <v>42</v>
      </c>
      <c r="M76" s="6">
        <f t="shared" si="9"/>
        <v>1</v>
      </c>
      <c r="N76" s="6" t="str">
        <f t="shared" si="10"/>
        <v>PASS</v>
      </c>
    </row>
    <row r="77" spans="4:14" x14ac:dyDescent="0.35">
      <c r="D77" s="6">
        <f>'SUB-1'!D77</f>
        <v>63</v>
      </c>
      <c r="E77" s="6" t="str">
        <f>'SUB-1'!E77</f>
        <v>BTMC24O1063</v>
      </c>
      <c r="F77" s="6">
        <v>6</v>
      </c>
      <c r="G77" s="6">
        <v>5</v>
      </c>
      <c r="H77" s="6">
        <v>5</v>
      </c>
      <c r="I77" s="6">
        <v>6</v>
      </c>
      <c r="J77" s="6">
        <f t="shared" si="7"/>
        <v>11</v>
      </c>
      <c r="K77" s="6">
        <v>8</v>
      </c>
      <c r="L77" s="6">
        <f t="shared" si="8"/>
        <v>30</v>
      </c>
      <c r="M77" s="6">
        <f t="shared" si="9"/>
        <v>0</v>
      </c>
      <c r="N77" s="6" t="str">
        <f t="shared" si="10"/>
        <v>FAIL</v>
      </c>
    </row>
    <row r="78" spans="4:14" x14ac:dyDescent="0.35">
      <c r="D78" s="6">
        <f>'SUB-1'!D78</f>
        <v>64</v>
      </c>
      <c r="E78" s="6" t="str">
        <f>'SUB-1'!E78</f>
        <v>BTMC24O1064</v>
      </c>
      <c r="F78" s="6">
        <v>5</v>
      </c>
      <c r="G78" s="6">
        <v>3</v>
      </c>
      <c r="H78" s="6">
        <v>3</v>
      </c>
      <c r="I78" s="6">
        <v>12</v>
      </c>
      <c r="J78" s="6">
        <f t="shared" si="7"/>
        <v>15</v>
      </c>
      <c r="K78" s="6">
        <v>19</v>
      </c>
      <c r="L78" s="6">
        <f t="shared" si="8"/>
        <v>42</v>
      </c>
      <c r="M78" s="6">
        <f t="shared" si="9"/>
        <v>1</v>
      </c>
      <c r="N78" s="6" t="str">
        <f t="shared" si="10"/>
        <v>PASS</v>
      </c>
    </row>
    <row r="79" spans="4:14" x14ac:dyDescent="0.35">
      <c r="D79" s="6">
        <f>'SUB-1'!D79</f>
        <v>65</v>
      </c>
      <c r="E79" s="6" t="str">
        <f>'SUB-1'!E79</f>
        <v>BTMC24O1065</v>
      </c>
      <c r="F79" s="6">
        <v>13</v>
      </c>
      <c r="G79" s="6">
        <v>4</v>
      </c>
      <c r="H79" s="6">
        <v>3</v>
      </c>
      <c r="I79" s="6">
        <v>4</v>
      </c>
      <c r="J79" s="6">
        <f t="shared" si="7"/>
        <v>7</v>
      </c>
      <c r="K79" s="6">
        <v>22</v>
      </c>
      <c r="L79" s="6">
        <f t="shared" si="8"/>
        <v>46</v>
      </c>
      <c r="M79" s="6">
        <f t="shared" si="9"/>
        <v>1</v>
      </c>
      <c r="N79" s="6" t="str">
        <f t="shared" si="10"/>
        <v>PASS</v>
      </c>
    </row>
    <row r="80" spans="4:14" x14ac:dyDescent="0.35">
      <c r="D80" s="6">
        <f>'SUB-1'!D80</f>
        <v>66</v>
      </c>
      <c r="E80" s="6" t="str">
        <f>'SUB-1'!E80</f>
        <v>BTMC24O1066</v>
      </c>
      <c r="F80" s="6">
        <v>2</v>
      </c>
      <c r="G80" s="6">
        <v>19</v>
      </c>
      <c r="H80" s="6">
        <v>7</v>
      </c>
      <c r="I80" s="6">
        <v>3</v>
      </c>
      <c r="J80" s="6">
        <f t="shared" si="7"/>
        <v>10</v>
      </c>
      <c r="K80" s="6">
        <v>19</v>
      </c>
      <c r="L80" s="6">
        <f t="shared" si="8"/>
        <v>50</v>
      </c>
      <c r="M80" s="6">
        <f t="shared" si="9"/>
        <v>1</v>
      </c>
      <c r="N80" s="6" t="str">
        <f t="shared" si="10"/>
        <v>PASS</v>
      </c>
    </row>
    <row r="81" spans="4:14" x14ac:dyDescent="0.35">
      <c r="D81" s="6">
        <f>'SUB-1'!D81</f>
        <v>67</v>
      </c>
      <c r="E81" s="6" t="str">
        <f>'SUB-1'!E81</f>
        <v>BTMC24O1067</v>
      </c>
      <c r="F81" s="6">
        <v>0</v>
      </c>
      <c r="G81" s="6">
        <v>3</v>
      </c>
      <c r="H81" s="6">
        <v>2</v>
      </c>
      <c r="I81" s="6">
        <v>5</v>
      </c>
      <c r="J81" s="6">
        <f t="shared" si="7"/>
        <v>7</v>
      </c>
      <c r="K81" s="6">
        <v>14</v>
      </c>
      <c r="L81" s="6">
        <f t="shared" si="8"/>
        <v>24</v>
      </c>
      <c r="M81" s="6">
        <f t="shared" si="9"/>
        <v>0</v>
      </c>
      <c r="N81" s="6" t="str">
        <f t="shared" si="10"/>
        <v>FAIL</v>
      </c>
    </row>
    <row r="82" spans="4:14" x14ac:dyDescent="0.35">
      <c r="D82" s="6">
        <f>'SUB-1'!D82</f>
        <v>68</v>
      </c>
      <c r="E82" s="6" t="str">
        <f>'SUB-1'!E82</f>
        <v>BTMC24O1068</v>
      </c>
      <c r="F82" s="6">
        <v>10</v>
      </c>
      <c r="G82" s="6">
        <v>10</v>
      </c>
      <c r="H82" s="6">
        <v>8</v>
      </c>
      <c r="I82" s="6">
        <v>1</v>
      </c>
      <c r="J82" s="6">
        <f t="shared" si="7"/>
        <v>9</v>
      </c>
      <c r="K82" s="6">
        <v>13</v>
      </c>
      <c r="L82" s="6">
        <f t="shared" si="8"/>
        <v>42</v>
      </c>
      <c r="M82" s="6">
        <f t="shared" si="9"/>
        <v>1</v>
      </c>
      <c r="N82" s="6" t="str">
        <f t="shared" si="10"/>
        <v>PASS</v>
      </c>
    </row>
    <row r="83" spans="4:14" x14ac:dyDescent="0.35">
      <c r="D83" s="6">
        <f>'SUB-1'!D83</f>
        <v>69</v>
      </c>
      <c r="E83" s="6" t="str">
        <f>'SUB-1'!E83</f>
        <v>BTMC24O1069</v>
      </c>
      <c r="F83" s="6">
        <v>5</v>
      </c>
      <c r="G83" s="6">
        <v>5</v>
      </c>
      <c r="H83" s="6">
        <v>4</v>
      </c>
      <c r="I83" s="6">
        <v>6</v>
      </c>
      <c r="J83" s="6">
        <f t="shared" si="7"/>
        <v>10</v>
      </c>
      <c r="K83" s="6">
        <v>28</v>
      </c>
      <c r="L83" s="6">
        <f t="shared" si="8"/>
        <v>48</v>
      </c>
      <c r="M83" s="6">
        <f t="shared" si="9"/>
        <v>1</v>
      </c>
      <c r="N83" s="6" t="str">
        <f t="shared" si="10"/>
        <v>PASS</v>
      </c>
    </row>
    <row r="84" spans="4:14" x14ac:dyDescent="0.35">
      <c r="D84" s="6">
        <f>'SUB-1'!D84</f>
        <v>70</v>
      </c>
      <c r="E84" s="6" t="str">
        <f>'SUB-1'!E84</f>
        <v>BTMC24O1070</v>
      </c>
      <c r="F84" s="6">
        <v>12</v>
      </c>
      <c r="G84" s="6">
        <v>16</v>
      </c>
      <c r="H84" s="6">
        <v>6</v>
      </c>
      <c r="I84" s="6">
        <v>8</v>
      </c>
      <c r="J84" s="6">
        <f t="shared" si="7"/>
        <v>14</v>
      </c>
      <c r="K84" s="6">
        <v>14</v>
      </c>
      <c r="L84" s="6">
        <f t="shared" si="8"/>
        <v>56</v>
      </c>
      <c r="M84" s="6">
        <f t="shared" si="9"/>
        <v>2</v>
      </c>
      <c r="N84" s="6" t="str">
        <f t="shared" si="10"/>
        <v>PASS</v>
      </c>
    </row>
    <row r="85" spans="4:14" x14ac:dyDescent="0.35">
      <c r="D85" s="6">
        <f>'SUB-1'!D85</f>
        <v>71</v>
      </c>
      <c r="E85" s="6" t="str">
        <f>'SUB-1'!E85</f>
        <v>BTMC24O1071</v>
      </c>
      <c r="F85" s="6">
        <v>17</v>
      </c>
      <c r="G85" s="6">
        <v>4</v>
      </c>
      <c r="H85" s="6">
        <v>1</v>
      </c>
      <c r="I85" s="6">
        <v>11</v>
      </c>
      <c r="J85" s="6">
        <f t="shared" si="7"/>
        <v>12</v>
      </c>
      <c r="K85" s="6">
        <v>18</v>
      </c>
      <c r="L85" s="6">
        <f t="shared" si="8"/>
        <v>51</v>
      </c>
      <c r="M85" s="6">
        <f t="shared" si="9"/>
        <v>2</v>
      </c>
      <c r="N85" s="6" t="str">
        <f t="shared" si="10"/>
        <v>PASS</v>
      </c>
    </row>
    <row r="86" spans="4:14" x14ac:dyDescent="0.35">
      <c r="D86" s="6">
        <f>'SUB-1'!D86</f>
        <v>72</v>
      </c>
      <c r="E86" s="6" t="str">
        <f>'SUB-1'!E86</f>
        <v>BTMC24O1072</v>
      </c>
      <c r="F86" s="6">
        <v>19</v>
      </c>
      <c r="G86" s="6">
        <v>3</v>
      </c>
      <c r="H86" s="6">
        <v>10</v>
      </c>
      <c r="I86" s="6">
        <v>8</v>
      </c>
      <c r="J86" s="6">
        <f t="shared" si="7"/>
        <v>18</v>
      </c>
      <c r="K86" s="6">
        <v>11</v>
      </c>
      <c r="L86" s="6">
        <f t="shared" si="8"/>
        <v>51</v>
      </c>
      <c r="M86" s="6">
        <f t="shared" si="9"/>
        <v>2</v>
      </c>
      <c r="N86" s="6" t="str">
        <f t="shared" si="10"/>
        <v>PASS</v>
      </c>
    </row>
    <row r="87" spans="4:14" x14ac:dyDescent="0.35">
      <c r="D87" s="6">
        <f>'SUB-1'!D87</f>
        <v>73</v>
      </c>
      <c r="E87" s="6" t="str">
        <f>'SUB-1'!E87</f>
        <v>BTMC24O1073</v>
      </c>
      <c r="F87" s="6">
        <v>7</v>
      </c>
      <c r="G87" s="6">
        <v>6</v>
      </c>
      <c r="H87" s="6">
        <v>2</v>
      </c>
      <c r="I87" s="6">
        <v>11</v>
      </c>
      <c r="J87" s="6">
        <f t="shared" si="7"/>
        <v>13</v>
      </c>
      <c r="K87" s="6">
        <v>8</v>
      </c>
      <c r="L87" s="6">
        <f t="shared" si="8"/>
        <v>34</v>
      </c>
      <c r="M87" s="6">
        <f t="shared" si="9"/>
        <v>0</v>
      </c>
      <c r="N87" s="6" t="str">
        <f t="shared" si="10"/>
        <v>FAIL</v>
      </c>
    </row>
    <row r="88" spans="4:14" x14ac:dyDescent="0.35">
      <c r="D88" s="6">
        <f>'SUB-1'!D88</f>
        <v>74</v>
      </c>
      <c r="E88" s="6" t="str">
        <f>'SUB-1'!E88</f>
        <v>BTMC24O1074</v>
      </c>
      <c r="F88" s="6">
        <v>16</v>
      </c>
      <c r="G88" s="6">
        <v>10</v>
      </c>
      <c r="H88" s="6">
        <v>8</v>
      </c>
      <c r="I88" s="6">
        <v>19</v>
      </c>
      <c r="J88" s="6">
        <f t="shared" si="7"/>
        <v>27</v>
      </c>
      <c r="K88" s="6">
        <v>20</v>
      </c>
      <c r="L88" s="6">
        <f t="shared" si="8"/>
        <v>73</v>
      </c>
      <c r="M88" s="6">
        <f t="shared" si="9"/>
        <v>2</v>
      </c>
      <c r="N88" s="6" t="str">
        <f t="shared" si="10"/>
        <v>PASS</v>
      </c>
    </row>
    <row r="89" spans="4:14" x14ac:dyDescent="0.35">
      <c r="D89" s="6">
        <f>'SUB-1'!D89</f>
        <v>75</v>
      </c>
      <c r="E89" s="6" t="str">
        <f>'SUB-1'!E89</f>
        <v>BTMC24O1075</v>
      </c>
      <c r="F89" s="6">
        <v>1</v>
      </c>
      <c r="G89" s="6">
        <v>9</v>
      </c>
      <c r="H89" s="6">
        <v>8</v>
      </c>
      <c r="I89" s="6">
        <v>18</v>
      </c>
      <c r="J89" s="6">
        <f t="shared" si="7"/>
        <v>26</v>
      </c>
      <c r="K89" s="6">
        <v>6</v>
      </c>
      <c r="L89" s="6">
        <f t="shared" si="8"/>
        <v>42</v>
      </c>
      <c r="M89" s="6">
        <f t="shared" si="9"/>
        <v>1</v>
      </c>
      <c r="N89" s="6" t="str">
        <f t="shared" si="10"/>
        <v>PASS</v>
      </c>
    </row>
    <row r="90" spans="4:14" x14ac:dyDescent="0.35">
      <c r="D90" s="6">
        <f>'SUB-1'!D90</f>
        <v>76</v>
      </c>
      <c r="E90" s="6" t="str">
        <f>'SUB-1'!E90</f>
        <v>BTMC24O1076</v>
      </c>
      <c r="F90" s="6">
        <v>8</v>
      </c>
      <c r="G90" s="6">
        <v>12</v>
      </c>
      <c r="H90" s="6">
        <v>6</v>
      </c>
      <c r="I90" s="6">
        <v>20</v>
      </c>
      <c r="J90" s="6">
        <f t="shared" si="7"/>
        <v>26</v>
      </c>
      <c r="K90" s="6">
        <v>4</v>
      </c>
      <c r="L90" s="6">
        <f t="shared" si="8"/>
        <v>50</v>
      </c>
      <c r="M90" s="6">
        <f t="shared" si="9"/>
        <v>1</v>
      </c>
      <c r="N90" s="6" t="str">
        <f t="shared" si="10"/>
        <v>PASS</v>
      </c>
    </row>
    <row r="91" spans="4:14" x14ac:dyDescent="0.35">
      <c r="D91" s="6">
        <f>'SUB-1'!D91</f>
        <v>77</v>
      </c>
      <c r="E91" s="6" t="str">
        <f>'SUB-1'!E91</f>
        <v>BTMC24O1077</v>
      </c>
      <c r="F91" s="6">
        <v>5</v>
      </c>
      <c r="G91" s="6">
        <v>4</v>
      </c>
      <c r="H91" s="6">
        <v>0</v>
      </c>
      <c r="I91" s="6">
        <v>14</v>
      </c>
      <c r="J91" s="6">
        <f t="shared" si="7"/>
        <v>14</v>
      </c>
      <c r="K91" s="6">
        <v>29</v>
      </c>
      <c r="L91" s="6">
        <f t="shared" si="8"/>
        <v>52</v>
      </c>
      <c r="M91" s="6">
        <f t="shared" si="9"/>
        <v>2</v>
      </c>
      <c r="N91" s="6" t="str">
        <f t="shared" si="10"/>
        <v>PASS</v>
      </c>
    </row>
    <row r="92" spans="4:14" x14ac:dyDescent="0.35">
      <c r="D92" s="6">
        <f>'SUB-1'!D92</f>
        <v>78</v>
      </c>
      <c r="E92" s="6" t="str">
        <f>'SUB-1'!E92</f>
        <v>BTMC24O1078</v>
      </c>
      <c r="F92" s="6">
        <v>3</v>
      </c>
      <c r="G92" s="6">
        <v>10</v>
      </c>
      <c r="H92" s="6">
        <v>3</v>
      </c>
      <c r="I92" s="6">
        <v>9</v>
      </c>
      <c r="J92" s="6">
        <f t="shared" si="7"/>
        <v>12</v>
      </c>
      <c r="K92" s="6">
        <v>12</v>
      </c>
      <c r="L92" s="6">
        <f t="shared" si="8"/>
        <v>37</v>
      </c>
      <c r="M92" s="6">
        <f t="shared" si="9"/>
        <v>1</v>
      </c>
      <c r="N92" s="6" t="str">
        <f t="shared" si="10"/>
        <v>PASS</v>
      </c>
    </row>
    <row r="93" spans="4:14" x14ac:dyDescent="0.35">
      <c r="D93" s="6">
        <f>'SUB-1'!D93</f>
        <v>79</v>
      </c>
      <c r="E93" s="6" t="str">
        <f>'SUB-1'!E93</f>
        <v>BTMC24O1079</v>
      </c>
      <c r="F93" s="6">
        <v>10</v>
      </c>
      <c r="G93" s="6">
        <v>19</v>
      </c>
      <c r="H93" s="6">
        <v>9</v>
      </c>
      <c r="I93" s="6">
        <v>11</v>
      </c>
      <c r="J93" s="6">
        <f t="shared" si="7"/>
        <v>20</v>
      </c>
      <c r="K93" s="6">
        <v>13</v>
      </c>
      <c r="L93" s="6">
        <f t="shared" si="8"/>
        <v>62</v>
      </c>
      <c r="M93" s="6">
        <f t="shared" si="9"/>
        <v>2</v>
      </c>
      <c r="N93" s="6" t="str">
        <f t="shared" si="10"/>
        <v>PASS</v>
      </c>
    </row>
    <row r="94" spans="4:14" x14ac:dyDescent="0.35">
      <c r="D94" s="6">
        <f>'SUB-1'!D94</f>
        <v>80</v>
      </c>
      <c r="E94" s="6" t="str">
        <f>'SUB-1'!E94</f>
        <v>BTMC24O1080</v>
      </c>
      <c r="F94" s="6">
        <v>14</v>
      </c>
      <c r="G94" s="6">
        <v>9</v>
      </c>
      <c r="H94" s="6">
        <v>5</v>
      </c>
      <c r="I94" s="6">
        <v>10</v>
      </c>
      <c r="J94" s="6">
        <f t="shared" si="7"/>
        <v>15</v>
      </c>
      <c r="K94" s="6">
        <v>10</v>
      </c>
      <c r="L94" s="6">
        <f t="shared" si="8"/>
        <v>48</v>
      </c>
      <c r="M94" s="6">
        <f t="shared" si="9"/>
        <v>1</v>
      </c>
      <c r="N94" s="6" t="str">
        <f t="shared" si="10"/>
        <v>PASS</v>
      </c>
    </row>
    <row r="95" spans="4:14" x14ac:dyDescent="0.35">
      <c r="D95" s="6">
        <f>'SUB-1'!D95</f>
        <v>81</v>
      </c>
      <c r="E95" s="6" t="str">
        <f>'SUB-1'!E95</f>
        <v>BTMC24O1081</v>
      </c>
      <c r="F95" s="6">
        <v>16</v>
      </c>
      <c r="G95" s="6">
        <v>0</v>
      </c>
      <c r="H95" s="6">
        <v>5</v>
      </c>
      <c r="I95" s="6">
        <v>14</v>
      </c>
      <c r="J95" s="6">
        <f t="shared" si="7"/>
        <v>19</v>
      </c>
      <c r="K95" s="6">
        <v>0</v>
      </c>
      <c r="L95" s="6">
        <f t="shared" si="8"/>
        <v>35</v>
      </c>
      <c r="M95" s="6">
        <f t="shared" si="9"/>
        <v>0</v>
      </c>
      <c r="N95" s="6" t="str">
        <f t="shared" si="10"/>
        <v>PASS</v>
      </c>
    </row>
    <row r="96" spans="4:14" x14ac:dyDescent="0.35">
      <c r="D96" s="6">
        <f>'SUB-1'!D96</f>
        <v>82</v>
      </c>
      <c r="E96" s="6" t="str">
        <f>'SUB-1'!E96</f>
        <v>BTMC24O1082</v>
      </c>
      <c r="F96" s="6">
        <v>12</v>
      </c>
      <c r="G96" s="6">
        <v>20</v>
      </c>
      <c r="H96" s="6">
        <v>0</v>
      </c>
      <c r="I96" s="6">
        <v>1</v>
      </c>
      <c r="J96" s="6">
        <f t="shared" si="7"/>
        <v>1</v>
      </c>
      <c r="K96" s="6">
        <v>27</v>
      </c>
      <c r="L96" s="6">
        <f t="shared" si="8"/>
        <v>60</v>
      </c>
      <c r="M96" s="6">
        <f t="shared" si="9"/>
        <v>2</v>
      </c>
      <c r="N96" s="6" t="str">
        <f t="shared" si="10"/>
        <v>PASS</v>
      </c>
    </row>
    <row r="97" spans="4:14" x14ac:dyDescent="0.35">
      <c r="D97" s="6">
        <f>'SUB-1'!D97</f>
        <v>83</v>
      </c>
      <c r="E97" s="6" t="str">
        <f>'SUB-1'!E97</f>
        <v>BTMC24O1083</v>
      </c>
      <c r="F97" s="6">
        <v>8</v>
      </c>
      <c r="G97" s="6">
        <v>20</v>
      </c>
      <c r="H97" s="6">
        <v>3</v>
      </c>
      <c r="I97" s="6">
        <v>12</v>
      </c>
      <c r="J97" s="6">
        <f t="shared" si="7"/>
        <v>15</v>
      </c>
      <c r="K97" s="6">
        <v>13</v>
      </c>
      <c r="L97" s="6">
        <f t="shared" si="8"/>
        <v>56</v>
      </c>
      <c r="M97" s="6">
        <f t="shared" si="9"/>
        <v>2</v>
      </c>
      <c r="N97" s="6" t="str">
        <f t="shared" si="10"/>
        <v>PASS</v>
      </c>
    </row>
    <row r="98" spans="4:14" x14ac:dyDescent="0.35">
      <c r="D98" s="6">
        <f>'SUB-1'!D98</f>
        <v>84</v>
      </c>
      <c r="E98" s="6" t="str">
        <f>'SUB-1'!E98</f>
        <v>BTMC24O1084</v>
      </c>
      <c r="F98" s="6">
        <v>13</v>
      </c>
      <c r="G98" s="6">
        <v>11</v>
      </c>
      <c r="H98" s="6">
        <v>0</v>
      </c>
      <c r="I98" s="6">
        <v>0</v>
      </c>
      <c r="J98" s="6">
        <f t="shared" si="7"/>
        <v>0</v>
      </c>
      <c r="K98" s="6">
        <v>3</v>
      </c>
      <c r="L98" s="6">
        <f t="shared" si="8"/>
        <v>27</v>
      </c>
      <c r="M98" s="6">
        <f t="shared" si="9"/>
        <v>0</v>
      </c>
      <c r="N98" s="6" t="str">
        <f t="shared" si="10"/>
        <v>FAIL</v>
      </c>
    </row>
    <row r="99" spans="4:14" x14ac:dyDescent="0.35">
      <c r="D99" s="6">
        <f>'SUB-1'!D99</f>
        <v>85</v>
      </c>
      <c r="E99" s="6" t="str">
        <f>'SUB-1'!E99</f>
        <v>BTMC24O1085</v>
      </c>
      <c r="F99" s="6">
        <v>7</v>
      </c>
      <c r="G99" s="6">
        <v>4</v>
      </c>
      <c r="H99" s="6">
        <v>9</v>
      </c>
      <c r="I99" s="6">
        <v>16</v>
      </c>
      <c r="J99" s="6">
        <f t="shared" si="7"/>
        <v>25</v>
      </c>
      <c r="K99" s="6">
        <v>6</v>
      </c>
      <c r="L99" s="6">
        <f t="shared" si="8"/>
        <v>42</v>
      </c>
      <c r="M99" s="6">
        <f t="shared" si="9"/>
        <v>1</v>
      </c>
      <c r="N99" s="6" t="str">
        <f t="shared" si="10"/>
        <v>PASS</v>
      </c>
    </row>
    <row r="100" spans="4:14" x14ac:dyDescent="0.35">
      <c r="D100" s="6">
        <f>'SUB-1'!D100</f>
        <v>86</v>
      </c>
      <c r="E100" s="6" t="str">
        <f>'SUB-1'!E100</f>
        <v>BTMC24O1086</v>
      </c>
      <c r="F100" s="6">
        <v>11</v>
      </c>
      <c r="G100" s="6">
        <v>6</v>
      </c>
      <c r="H100" s="6">
        <v>3</v>
      </c>
      <c r="I100" s="6">
        <v>20</v>
      </c>
      <c r="J100" s="6">
        <f t="shared" ref="J100:J114" si="11">H100+I100</f>
        <v>23</v>
      </c>
      <c r="K100" s="6">
        <v>11</v>
      </c>
      <c r="L100" s="6">
        <f t="shared" ref="L100:L114" si="12">K100+J100+G100+F100</f>
        <v>51</v>
      </c>
      <c r="M100" s="6">
        <f t="shared" ref="M100:M114" si="13">IF(L100&gt;75,3,IF(L100&gt;50,2,IF(L100&gt;35,1,0)))</f>
        <v>2</v>
      </c>
      <c r="N100" s="6" t="str">
        <f t="shared" ref="N100:N114" si="14">IF(L100&lt;35,"FAIL","PASS")</f>
        <v>PASS</v>
      </c>
    </row>
    <row r="101" spans="4:14" x14ac:dyDescent="0.35">
      <c r="D101" s="6">
        <f>'SUB-1'!D101</f>
        <v>87</v>
      </c>
      <c r="E101" s="6" t="str">
        <f>'SUB-1'!E101</f>
        <v>BTMC24O1087</v>
      </c>
      <c r="F101" s="6">
        <v>15</v>
      </c>
      <c r="G101" s="6">
        <v>19</v>
      </c>
      <c r="H101" s="6">
        <v>9</v>
      </c>
      <c r="I101" s="6">
        <v>20</v>
      </c>
      <c r="J101" s="6">
        <f t="shared" si="11"/>
        <v>29</v>
      </c>
      <c r="K101" s="6">
        <v>27</v>
      </c>
      <c r="L101" s="6">
        <f t="shared" si="12"/>
        <v>90</v>
      </c>
      <c r="M101" s="6">
        <f t="shared" si="13"/>
        <v>3</v>
      </c>
      <c r="N101" s="6" t="str">
        <f t="shared" si="14"/>
        <v>PASS</v>
      </c>
    </row>
    <row r="102" spans="4:14" x14ac:dyDescent="0.35">
      <c r="D102" s="6">
        <f>'SUB-1'!D102</f>
        <v>88</v>
      </c>
      <c r="E102" s="6" t="str">
        <f>'SUB-1'!E102</f>
        <v>BTMC24O1088</v>
      </c>
      <c r="F102" s="6">
        <v>18</v>
      </c>
      <c r="G102" s="6">
        <v>16</v>
      </c>
      <c r="H102" s="6">
        <v>3</v>
      </c>
      <c r="I102" s="6">
        <v>19</v>
      </c>
      <c r="J102" s="6">
        <f t="shared" si="11"/>
        <v>22</v>
      </c>
      <c r="K102" s="6">
        <v>27</v>
      </c>
      <c r="L102" s="6">
        <f t="shared" si="12"/>
        <v>83</v>
      </c>
      <c r="M102" s="6">
        <f t="shared" si="13"/>
        <v>3</v>
      </c>
      <c r="N102" s="6" t="str">
        <f t="shared" si="14"/>
        <v>PASS</v>
      </c>
    </row>
    <row r="103" spans="4:14" x14ac:dyDescent="0.35">
      <c r="D103" s="6">
        <f>'SUB-1'!D103</f>
        <v>89</v>
      </c>
      <c r="E103" s="6" t="str">
        <f>'SUB-1'!E103</f>
        <v>BTMC24O1089</v>
      </c>
      <c r="F103" s="6">
        <v>5</v>
      </c>
      <c r="G103" s="6">
        <v>7</v>
      </c>
      <c r="H103" s="6">
        <v>10</v>
      </c>
      <c r="I103" s="6">
        <v>2</v>
      </c>
      <c r="J103" s="6">
        <f t="shared" si="11"/>
        <v>12</v>
      </c>
      <c r="K103" s="6">
        <v>0</v>
      </c>
      <c r="L103" s="6">
        <f t="shared" si="12"/>
        <v>24</v>
      </c>
      <c r="M103" s="6">
        <f t="shared" si="13"/>
        <v>0</v>
      </c>
      <c r="N103" s="6" t="str">
        <f t="shared" si="14"/>
        <v>FAIL</v>
      </c>
    </row>
    <row r="104" spans="4:14" x14ac:dyDescent="0.35">
      <c r="D104" s="6">
        <f>'SUB-1'!D104</f>
        <v>90</v>
      </c>
      <c r="E104" s="6" t="str">
        <f>'SUB-1'!E104</f>
        <v>BTMC24O1090</v>
      </c>
      <c r="F104" s="6">
        <v>11</v>
      </c>
      <c r="G104" s="6">
        <v>5</v>
      </c>
      <c r="H104" s="6">
        <v>2</v>
      </c>
      <c r="I104" s="6">
        <v>5</v>
      </c>
      <c r="J104" s="6">
        <f t="shared" si="11"/>
        <v>7</v>
      </c>
      <c r="K104" s="6">
        <v>1</v>
      </c>
      <c r="L104" s="6">
        <f t="shared" si="12"/>
        <v>24</v>
      </c>
      <c r="M104" s="6">
        <f t="shared" si="13"/>
        <v>0</v>
      </c>
      <c r="N104" s="6" t="str">
        <f t="shared" si="14"/>
        <v>FAIL</v>
      </c>
    </row>
    <row r="105" spans="4:14" x14ac:dyDescent="0.35">
      <c r="D105" s="6">
        <f>'SUB-1'!D105</f>
        <v>91</v>
      </c>
      <c r="E105" s="6" t="str">
        <f>'SUB-1'!E105</f>
        <v>BTMC24O1091</v>
      </c>
      <c r="F105" s="6">
        <v>7</v>
      </c>
      <c r="G105" s="6">
        <v>0</v>
      </c>
      <c r="H105" s="6">
        <v>9</v>
      </c>
      <c r="I105" s="6">
        <v>12</v>
      </c>
      <c r="J105" s="6">
        <f t="shared" si="11"/>
        <v>21</v>
      </c>
      <c r="K105" s="6">
        <v>26</v>
      </c>
      <c r="L105" s="6">
        <f t="shared" si="12"/>
        <v>54</v>
      </c>
      <c r="M105" s="6">
        <f t="shared" si="13"/>
        <v>2</v>
      </c>
      <c r="N105" s="6" t="str">
        <f t="shared" si="14"/>
        <v>PASS</v>
      </c>
    </row>
    <row r="106" spans="4:14" x14ac:dyDescent="0.35">
      <c r="D106" s="6">
        <f>'SUB-1'!D106</f>
        <v>92</v>
      </c>
      <c r="E106" s="6" t="str">
        <f>'SUB-1'!E106</f>
        <v>BTMC24O1092</v>
      </c>
      <c r="F106" s="6">
        <v>20</v>
      </c>
      <c r="G106" s="6">
        <v>20</v>
      </c>
      <c r="H106" s="6">
        <v>4</v>
      </c>
      <c r="I106" s="6">
        <v>16</v>
      </c>
      <c r="J106" s="6">
        <f t="shared" si="11"/>
        <v>20</v>
      </c>
      <c r="K106" s="6">
        <v>7</v>
      </c>
      <c r="L106" s="6">
        <f t="shared" si="12"/>
        <v>67</v>
      </c>
      <c r="M106" s="6">
        <f t="shared" si="13"/>
        <v>2</v>
      </c>
      <c r="N106" s="6" t="str">
        <f t="shared" si="14"/>
        <v>PASS</v>
      </c>
    </row>
    <row r="107" spans="4:14" x14ac:dyDescent="0.35">
      <c r="D107" s="6">
        <f>'SUB-1'!D107</f>
        <v>93</v>
      </c>
      <c r="E107" s="6" t="str">
        <f>'SUB-1'!E107</f>
        <v>BTMC24O1093</v>
      </c>
      <c r="F107" s="6">
        <v>4</v>
      </c>
      <c r="G107" s="6">
        <v>14</v>
      </c>
      <c r="H107" s="6">
        <v>1</v>
      </c>
      <c r="I107" s="6">
        <v>1</v>
      </c>
      <c r="J107" s="6">
        <f t="shared" si="11"/>
        <v>2</v>
      </c>
      <c r="K107" s="6">
        <v>7</v>
      </c>
      <c r="L107" s="6">
        <f t="shared" si="12"/>
        <v>27</v>
      </c>
      <c r="M107" s="6">
        <f t="shared" si="13"/>
        <v>0</v>
      </c>
      <c r="N107" s="6" t="str">
        <f t="shared" si="14"/>
        <v>FAIL</v>
      </c>
    </row>
    <row r="108" spans="4:14" x14ac:dyDescent="0.35">
      <c r="D108" s="6">
        <f>'SUB-1'!D108</f>
        <v>94</v>
      </c>
      <c r="E108" s="6" t="str">
        <f>'SUB-1'!E108</f>
        <v>BTMC24O1094</v>
      </c>
      <c r="F108" s="6">
        <v>13</v>
      </c>
      <c r="G108" s="6">
        <v>2</v>
      </c>
      <c r="H108" s="6">
        <v>2</v>
      </c>
      <c r="I108" s="6">
        <v>7</v>
      </c>
      <c r="J108" s="6">
        <f t="shared" si="11"/>
        <v>9</v>
      </c>
      <c r="K108" s="6">
        <v>22</v>
      </c>
      <c r="L108" s="6">
        <f t="shared" si="12"/>
        <v>46</v>
      </c>
      <c r="M108" s="6">
        <f t="shared" si="13"/>
        <v>1</v>
      </c>
      <c r="N108" s="6" t="str">
        <f t="shared" si="14"/>
        <v>PASS</v>
      </c>
    </row>
    <row r="109" spans="4:14" x14ac:dyDescent="0.35">
      <c r="D109" s="6">
        <f>'SUB-1'!D109</f>
        <v>95</v>
      </c>
      <c r="E109" s="6" t="str">
        <f>'SUB-1'!E109</f>
        <v>BTMC24O1095</v>
      </c>
      <c r="F109" s="6">
        <v>10</v>
      </c>
      <c r="G109" s="6">
        <v>5</v>
      </c>
      <c r="H109" s="6">
        <v>4</v>
      </c>
      <c r="I109" s="6">
        <v>10</v>
      </c>
      <c r="J109" s="6">
        <f t="shared" si="11"/>
        <v>14</v>
      </c>
      <c r="K109" s="6">
        <v>13</v>
      </c>
      <c r="L109" s="6">
        <f t="shared" si="12"/>
        <v>42</v>
      </c>
      <c r="M109" s="6">
        <f t="shared" si="13"/>
        <v>1</v>
      </c>
      <c r="N109" s="6" t="str">
        <f t="shared" si="14"/>
        <v>PASS</v>
      </c>
    </row>
    <row r="110" spans="4:14" x14ac:dyDescent="0.35">
      <c r="D110" s="6">
        <f>'SUB-1'!D110</f>
        <v>96</v>
      </c>
      <c r="E110" s="6" t="str">
        <f>'SUB-1'!E110</f>
        <v>BTMC24O1096</v>
      </c>
      <c r="F110" s="6">
        <v>18</v>
      </c>
      <c r="G110" s="6">
        <v>0</v>
      </c>
      <c r="H110" s="6">
        <v>10</v>
      </c>
      <c r="I110" s="6">
        <v>20</v>
      </c>
      <c r="J110" s="6">
        <f t="shared" si="11"/>
        <v>30</v>
      </c>
      <c r="K110" s="6">
        <v>20</v>
      </c>
      <c r="L110" s="6">
        <f t="shared" si="12"/>
        <v>68</v>
      </c>
      <c r="M110" s="6">
        <f t="shared" si="13"/>
        <v>2</v>
      </c>
      <c r="N110" s="6" t="str">
        <f t="shared" si="14"/>
        <v>PASS</v>
      </c>
    </row>
    <row r="111" spans="4:14" x14ac:dyDescent="0.35">
      <c r="D111" s="6">
        <f>'SUB-1'!D111</f>
        <v>97</v>
      </c>
      <c r="E111" s="6" t="str">
        <f>'SUB-1'!E111</f>
        <v>BTMC24O1097</v>
      </c>
      <c r="F111" s="6">
        <v>13</v>
      </c>
      <c r="G111" s="6">
        <v>14</v>
      </c>
      <c r="H111" s="6">
        <v>7</v>
      </c>
      <c r="I111" s="6">
        <v>19</v>
      </c>
      <c r="J111" s="6">
        <f t="shared" si="11"/>
        <v>26</v>
      </c>
      <c r="K111" s="6">
        <v>22</v>
      </c>
      <c r="L111" s="6">
        <f t="shared" si="12"/>
        <v>75</v>
      </c>
      <c r="M111" s="6">
        <f t="shared" si="13"/>
        <v>2</v>
      </c>
      <c r="N111" s="6" t="str">
        <f t="shared" si="14"/>
        <v>PASS</v>
      </c>
    </row>
    <row r="112" spans="4:14" x14ac:dyDescent="0.35">
      <c r="D112" s="6">
        <f>'SUB-1'!D112</f>
        <v>98</v>
      </c>
      <c r="E112" s="6" t="str">
        <f>'SUB-1'!E112</f>
        <v>BTMC24O1098</v>
      </c>
      <c r="F112" s="6">
        <v>9</v>
      </c>
      <c r="G112" s="6">
        <v>2</v>
      </c>
      <c r="H112" s="6">
        <v>9</v>
      </c>
      <c r="I112" s="6">
        <v>0</v>
      </c>
      <c r="J112" s="6">
        <f t="shared" si="11"/>
        <v>9</v>
      </c>
      <c r="K112" s="6">
        <v>13</v>
      </c>
      <c r="L112" s="6">
        <f t="shared" si="12"/>
        <v>33</v>
      </c>
      <c r="M112" s="6">
        <f t="shared" si="13"/>
        <v>0</v>
      </c>
      <c r="N112" s="6" t="str">
        <f t="shared" si="14"/>
        <v>FAIL</v>
      </c>
    </row>
    <row r="113" spans="4:14" x14ac:dyDescent="0.35">
      <c r="D113" s="6">
        <f>'SUB-1'!D113</f>
        <v>99</v>
      </c>
      <c r="E113" s="6" t="str">
        <f>'SUB-1'!E113</f>
        <v>BTMC24O1099</v>
      </c>
      <c r="F113" s="6">
        <v>18</v>
      </c>
      <c r="G113" s="6">
        <v>2</v>
      </c>
      <c r="H113" s="6">
        <v>9</v>
      </c>
      <c r="I113" s="6">
        <v>7</v>
      </c>
      <c r="J113" s="6">
        <f t="shared" si="11"/>
        <v>16</v>
      </c>
      <c r="K113" s="6">
        <v>1</v>
      </c>
      <c r="L113" s="6">
        <f t="shared" si="12"/>
        <v>37</v>
      </c>
      <c r="M113" s="6">
        <f t="shared" si="13"/>
        <v>1</v>
      </c>
      <c r="N113" s="6" t="str">
        <f t="shared" si="14"/>
        <v>PASS</v>
      </c>
    </row>
    <row r="114" spans="4:14" x14ac:dyDescent="0.35">
      <c r="D114" s="6">
        <f>'SUB-1'!D114</f>
        <v>100</v>
      </c>
      <c r="E114" s="6" t="str">
        <f>'SUB-1'!E114</f>
        <v>BTMC24O1100</v>
      </c>
      <c r="F114" s="6">
        <v>10</v>
      </c>
      <c r="G114" s="6">
        <v>8</v>
      </c>
      <c r="H114" s="6">
        <v>3</v>
      </c>
      <c r="I114" s="6">
        <v>12</v>
      </c>
      <c r="J114" s="6">
        <f t="shared" si="11"/>
        <v>15</v>
      </c>
      <c r="K114" s="6">
        <v>25</v>
      </c>
      <c r="L114" s="6">
        <f t="shared" si="12"/>
        <v>58</v>
      </c>
      <c r="M114" s="6">
        <f t="shared" si="13"/>
        <v>2</v>
      </c>
      <c r="N114" s="6" t="str">
        <f t="shared" si="14"/>
        <v>PASS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P15:Q15"/>
  </mergeCells>
  <conditionalFormatting sqref="N15:N114">
    <cfRule type="containsText" dxfId="7" priority="1" operator="containsText" text="FAIL">
      <formula>NOT(ISERROR(SEARCH("FAIL",N15)))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B688F-2C25-446F-ABA5-1A973C2DAF37}">
  <sheetPr codeName="Sheet7"/>
  <dimension ref="C1:Q115"/>
  <sheetViews>
    <sheetView topLeftCell="B7" zoomScale="80" zoomScaleNormal="80" workbookViewId="0">
      <selection activeCell="L17" sqref="L17:M18"/>
    </sheetView>
  </sheetViews>
  <sheetFormatPr defaultRowHeight="14.5" x14ac:dyDescent="0.35"/>
  <cols>
    <col min="4" max="4" width="6.54296875" customWidth="1"/>
    <col min="5" max="5" width="16.7265625" customWidth="1"/>
    <col min="6" max="6" width="19.45312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116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115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ht="23" x14ac:dyDescent="0.6">
      <c r="C5" s="35"/>
      <c r="D5" s="164" t="s">
        <v>113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s="11" customFormat="1" ht="22" x14ac:dyDescent="0.6">
      <c r="C7" s="34"/>
      <c r="D7" s="34"/>
      <c r="E7" s="34"/>
      <c r="F7" s="34"/>
      <c r="G7" s="164" t="s">
        <v>114</v>
      </c>
      <c r="H7" s="166"/>
      <c r="I7" s="166"/>
      <c r="J7" s="166"/>
      <c r="K7" s="166"/>
      <c r="L7" s="166"/>
      <c r="M7" s="34"/>
      <c r="N7" s="34"/>
      <c r="O7" s="34"/>
      <c r="P7" s="34"/>
      <c r="Q7" s="40"/>
    </row>
    <row r="8" spans="3:17" s="11" customFormat="1" ht="21" x14ac:dyDescent="0.5">
      <c r="C8" s="34"/>
      <c r="D8" s="160" t="s">
        <v>117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s="11" customFormat="1" ht="21" x14ac:dyDescent="0.5">
      <c r="C9" s="40"/>
      <c r="D9" s="160" t="s">
        <v>118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>
        <v>25241106</v>
      </c>
      <c r="F11" s="32" t="s">
        <v>59</v>
      </c>
      <c r="G11" s="32" t="s">
        <v>30</v>
      </c>
      <c r="L11" s="7"/>
      <c r="M11" s="7"/>
      <c r="N11" s="7"/>
    </row>
    <row r="12" spans="3:17" x14ac:dyDescent="0.35">
      <c r="D12" s="29" t="s">
        <v>42</v>
      </c>
      <c r="E12" s="29" t="s">
        <v>43</v>
      </c>
      <c r="F12" s="29" t="s">
        <v>60</v>
      </c>
      <c r="G12" s="29" t="s">
        <v>49</v>
      </c>
      <c r="H12" s="29" t="s">
        <v>50</v>
      </c>
      <c r="I12" s="29" t="s">
        <v>52</v>
      </c>
      <c r="J12" s="29" t="s">
        <v>51</v>
      </c>
      <c r="L12" s="7"/>
      <c r="M12" s="7"/>
      <c r="N12" s="7"/>
    </row>
    <row r="13" spans="3:17" x14ac:dyDescent="0.35">
      <c r="D13" s="6"/>
      <c r="E13" s="6"/>
      <c r="F13" s="29" t="s">
        <v>61</v>
      </c>
      <c r="G13" s="6"/>
      <c r="H13" s="6"/>
      <c r="I13" s="6"/>
      <c r="J13" s="6"/>
      <c r="L13" s="7"/>
      <c r="M13" s="7"/>
      <c r="N13" s="7"/>
    </row>
    <row r="14" spans="3:17" x14ac:dyDescent="0.35">
      <c r="D14" s="6"/>
      <c r="E14" s="6"/>
      <c r="F14" s="33">
        <v>70</v>
      </c>
      <c r="G14" s="33">
        <v>30</v>
      </c>
      <c r="H14" s="33">
        <v>100</v>
      </c>
      <c r="I14" s="33" t="s">
        <v>53</v>
      </c>
      <c r="J14" s="33">
        <v>1</v>
      </c>
      <c r="L14" s="7"/>
      <c r="M14" s="7"/>
      <c r="N14" s="7"/>
    </row>
    <row r="15" spans="3:17" x14ac:dyDescent="0.35">
      <c r="D15" s="6"/>
      <c r="E15" s="6"/>
      <c r="F15" s="6"/>
      <c r="G15" s="6"/>
      <c r="H15" s="6"/>
      <c r="I15" s="6"/>
      <c r="J15" s="6"/>
      <c r="L15" s="7"/>
      <c r="M15" s="7"/>
      <c r="N15" s="7"/>
    </row>
    <row r="16" spans="3:17" x14ac:dyDescent="0.35">
      <c r="D16" s="6">
        <v>1</v>
      </c>
      <c r="E16" s="6" t="s">
        <v>140</v>
      </c>
      <c r="F16" s="6">
        <v>66</v>
      </c>
      <c r="G16" s="6">
        <v>0</v>
      </c>
      <c r="H16" s="6">
        <f>F16+G16</f>
        <v>66</v>
      </c>
      <c r="I16" s="6" t="str">
        <f>IF(H16&lt;35,"FAIL","PASS")</f>
        <v>PASS</v>
      </c>
      <c r="J16" s="6" t="str">
        <f>IF(H16&lt;35,"0","1")</f>
        <v>1</v>
      </c>
      <c r="L16" s="107" t="s">
        <v>660</v>
      </c>
      <c r="M16" s="107"/>
      <c r="N16" s="7"/>
    </row>
    <row r="17" spans="4:15" x14ac:dyDescent="0.35">
      <c r="D17" s="6">
        <v>2</v>
      </c>
      <c r="E17" s="6" t="s">
        <v>147</v>
      </c>
      <c r="F17" s="6">
        <v>20</v>
      </c>
      <c r="G17" s="6">
        <v>10</v>
      </c>
      <c r="H17" s="6">
        <f t="shared" ref="H17:H36" si="0">F17+G17</f>
        <v>30</v>
      </c>
      <c r="I17" s="6" t="str">
        <f t="shared" ref="I17:I35" si="1">IF(H17&lt;35,"FAIL","PASS")</f>
        <v>FAIL</v>
      </c>
      <c r="J17" s="6" t="str">
        <f t="shared" ref="J17:J35" si="2">IF(H17&lt;35,"0","1")</f>
        <v>0</v>
      </c>
      <c r="L17" s="216" t="s">
        <v>668</v>
      </c>
      <c r="M17" s="217">
        <f>COUNTIF(I16:I115,I16)</f>
        <v>78</v>
      </c>
      <c r="N17" s="212"/>
      <c r="O17" s="212"/>
    </row>
    <row r="18" spans="4:15" x14ac:dyDescent="0.35">
      <c r="D18" s="6">
        <v>3</v>
      </c>
      <c r="E18" s="6" t="s">
        <v>152</v>
      </c>
      <c r="F18" s="6">
        <v>42</v>
      </c>
      <c r="G18" s="6">
        <v>24</v>
      </c>
      <c r="H18" s="6">
        <f t="shared" si="0"/>
        <v>66</v>
      </c>
      <c r="I18" s="6" t="str">
        <f t="shared" si="1"/>
        <v>PASS</v>
      </c>
      <c r="J18" s="6" t="str">
        <f t="shared" si="2"/>
        <v>1</v>
      </c>
      <c r="L18" s="216" t="s">
        <v>666</v>
      </c>
      <c r="M18" s="217">
        <f>COUNTIF(I16:I115,I17)</f>
        <v>22</v>
      </c>
      <c r="N18" s="215"/>
      <c r="O18" s="215"/>
    </row>
    <row r="19" spans="4:15" x14ac:dyDescent="0.35">
      <c r="D19" s="6">
        <v>4</v>
      </c>
      <c r="E19" s="6" t="s">
        <v>157</v>
      </c>
      <c r="F19" s="6">
        <v>60</v>
      </c>
      <c r="G19" s="6">
        <v>10</v>
      </c>
      <c r="H19" s="6">
        <f t="shared" si="0"/>
        <v>70</v>
      </c>
      <c r="I19" s="6" t="str">
        <f t="shared" si="1"/>
        <v>PASS</v>
      </c>
      <c r="J19" s="6" t="str">
        <f t="shared" si="2"/>
        <v>1</v>
      </c>
      <c r="L19" s="212"/>
      <c r="M19" s="212"/>
      <c r="N19" s="212"/>
      <c r="O19" s="212"/>
    </row>
    <row r="20" spans="4:15" x14ac:dyDescent="0.35">
      <c r="D20" s="6">
        <v>5</v>
      </c>
      <c r="E20" s="6" t="s">
        <v>162</v>
      </c>
      <c r="F20" s="6">
        <v>30</v>
      </c>
      <c r="G20" s="6">
        <v>11</v>
      </c>
      <c r="H20" s="6">
        <f t="shared" si="0"/>
        <v>41</v>
      </c>
      <c r="I20" s="6" t="str">
        <f t="shared" si="1"/>
        <v>PASS</v>
      </c>
      <c r="J20" s="6" t="str">
        <f t="shared" si="2"/>
        <v>1</v>
      </c>
      <c r="L20" s="212"/>
      <c r="M20" s="212"/>
      <c r="N20" s="212"/>
      <c r="O20" s="212"/>
    </row>
    <row r="21" spans="4:15" x14ac:dyDescent="0.35">
      <c r="D21" s="6">
        <v>6</v>
      </c>
      <c r="E21" s="6" t="s">
        <v>167</v>
      </c>
      <c r="F21" s="6">
        <v>22</v>
      </c>
      <c r="G21" s="6">
        <v>5</v>
      </c>
      <c r="H21" s="6">
        <f t="shared" si="0"/>
        <v>27</v>
      </c>
      <c r="I21" s="6" t="str">
        <f t="shared" si="1"/>
        <v>FAIL</v>
      </c>
      <c r="J21" s="6" t="str">
        <f t="shared" si="2"/>
        <v>0</v>
      </c>
      <c r="L21" s="212"/>
      <c r="M21" s="215"/>
      <c r="N21" s="215"/>
      <c r="O21" s="215"/>
    </row>
    <row r="22" spans="4:15" x14ac:dyDescent="0.35">
      <c r="D22" s="6">
        <v>7</v>
      </c>
      <c r="E22" s="6" t="s">
        <v>565</v>
      </c>
      <c r="F22" s="6">
        <v>30</v>
      </c>
      <c r="G22" s="6">
        <v>23</v>
      </c>
      <c r="H22" s="6">
        <f t="shared" si="0"/>
        <v>53</v>
      </c>
      <c r="I22" s="6" t="str">
        <f t="shared" si="1"/>
        <v>PASS</v>
      </c>
      <c r="J22" s="6" t="str">
        <f t="shared" si="2"/>
        <v>1</v>
      </c>
      <c r="L22" s="212"/>
      <c r="M22" s="212"/>
      <c r="N22" s="212"/>
      <c r="O22" s="212"/>
    </row>
    <row r="23" spans="4:15" x14ac:dyDescent="0.35">
      <c r="D23" s="6">
        <v>8</v>
      </c>
      <c r="E23" s="6" t="s">
        <v>566</v>
      </c>
      <c r="F23" s="6">
        <v>2</v>
      </c>
      <c r="G23" s="6">
        <v>9</v>
      </c>
      <c r="H23" s="6">
        <f t="shared" si="0"/>
        <v>11</v>
      </c>
      <c r="I23" s="6" t="str">
        <f t="shared" si="1"/>
        <v>FAIL</v>
      </c>
      <c r="J23" s="6" t="str">
        <f t="shared" si="2"/>
        <v>0</v>
      </c>
      <c r="L23" s="7"/>
      <c r="M23" s="7"/>
      <c r="N23" s="7"/>
    </row>
    <row r="24" spans="4:15" x14ac:dyDescent="0.35">
      <c r="D24" s="6">
        <v>9</v>
      </c>
      <c r="E24" s="6" t="s">
        <v>176</v>
      </c>
      <c r="F24" s="6">
        <v>59</v>
      </c>
      <c r="G24" s="6">
        <v>13</v>
      </c>
      <c r="H24" s="6">
        <f t="shared" si="0"/>
        <v>72</v>
      </c>
      <c r="I24" s="6" t="str">
        <f t="shared" si="1"/>
        <v>PASS</v>
      </c>
      <c r="J24" s="6" t="str">
        <f t="shared" si="2"/>
        <v>1</v>
      </c>
      <c r="L24" s="7"/>
      <c r="N24" s="7"/>
    </row>
    <row r="25" spans="4:15" x14ac:dyDescent="0.35">
      <c r="D25" s="6">
        <v>10</v>
      </c>
      <c r="E25" s="6" t="s">
        <v>181</v>
      </c>
      <c r="F25" s="6">
        <v>56</v>
      </c>
      <c r="G25" s="6">
        <v>4</v>
      </c>
      <c r="H25" s="6">
        <f t="shared" si="0"/>
        <v>60</v>
      </c>
      <c r="I25" s="6" t="str">
        <f t="shared" si="1"/>
        <v>PASS</v>
      </c>
      <c r="J25" s="6" t="str">
        <f t="shared" si="2"/>
        <v>1</v>
      </c>
      <c r="L25" s="7"/>
      <c r="M25" s="7"/>
      <c r="N25" s="7"/>
    </row>
    <row r="26" spans="4:15" x14ac:dyDescent="0.35">
      <c r="D26" s="6">
        <v>11</v>
      </c>
      <c r="E26" s="6" t="s">
        <v>186</v>
      </c>
      <c r="F26" s="6">
        <v>10</v>
      </c>
      <c r="G26" s="6">
        <v>4</v>
      </c>
      <c r="H26" s="6">
        <f t="shared" si="0"/>
        <v>14</v>
      </c>
      <c r="I26" s="6" t="str">
        <f t="shared" si="1"/>
        <v>FAIL</v>
      </c>
      <c r="J26" s="6" t="str">
        <f t="shared" si="2"/>
        <v>0</v>
      </c>
      <c r="L26" s="7"/>
      <c r="M26" s="7"/>
      <c r="N26" s="7"/>
    </row>
    <row r="27" spans="4:15" x14ac:dyDescent="0.35">
      <c r="D27" s="6">
        <v>12</v>
      </c>
      <c r="E27" s="6" t="s">
        <v>191</v>
      </c>
      <c r="F27" s="6">
        <v>46</v>
      </c>
      <c r="G27" s="6">
        <v>5</v>
      </c>
      <c r="H27" s="6">
        <f t="shared" si="0"/>
        <v>51</v>
      </c>
      <c r="I27" s="6" t="str">
        <f t="shared" si="1"/>
        <v>PASS</v>
      </c>
      <c r="J27" s="6" t="str">
        <f t="shared" si="2"/>
        <v>1</v>
      </c>
      <c r="L27" s="7"/>
      <c r="M27" s="7"/>
      <c r="N27" s="7"/>
    </row>
    <row r="28" spans="4:15" x14ac:dyDescent="0.35">
      <c r="D28" s="6">
        <v>13</v>
      </c>
      <c r="E28" s="6" t="s">
        <v>196</v>
      </c>
      <c r="F28" s="6">
        <v>64</v>
      </c>
      <c r="G28" s="6">
        <v>12</v>
      </c>
      <c r="H28" s="6">
        <f t="shared" si="0"/>
        <v>76</v>
      </c>
      <c r="I28" s="6" t="str">
        <f t="shared" si="1"/>
        <v>PASS</v>
      </c>
      <c r="J28" s="6" t="str">
        <f t="shared" si="2"/>
        <v>1</v>
      </c>
      <c r="L28" s="7"/>
      <c r="M28" s="7"/>
      <c r="N28" s="7"/>
    </row>
    <row r="29" spans="4:15" x14ac:dyDescent="0.35">
      <c r="D29" s="6">
        <v>14</v>
      </c>
      <c r="E29" s="6" t="s">
        <v>567</v>
      </c>
      <c r="F29" s="6">
        <v>11</v>
      </c>
      <c r="G29" s="6">
        <v>14</v>
      </c>
      <c r="H29" s="6">
        <f t="shared" si="0"/>
        <v>25</v>
      </c>
      <c r="I29" s="6" t="str">
        <f t="shared" si="1"/>
        <v>FAIL</v>
      </c>
      <c r="J29" s="6" t="str">
        <f t="shared" si="2"/>
        <v>0</v>
      </c>
      <c r="L29" s="7"/>
      <c r="M29" s="7"/>
      <c r="N29" s="7"/>
    </row>
    <row r="30" spans="4:15" x14ac:dyDescent="0.35">
      <c r="D30" s="6">
        <v>15</v>
      </c>
      <c r="E30" s="6" t="s">
        <v>568</v>
      </c>
      <c r="F30" s="6">
        <v>41</v>
      </c>
      <c r="G30" s="6">
        <v>23</v>
      </c>
      <c r="H30" s="6">
        <f t="shared" si="0"/>
        <v>64</v>
      </c>
      <c r="I30" s="6" t="str">
        <f t="shared" si="1"/>
        <v>PASS</v>
      </c>
      <c r="J30" s="6" t="str">
        <f t="shared" si="2"/>
        <v>1</v>
      </c>
      <c r="L30" s="7"/>
      <c r="M30" s="7"/>
      <c r="N30" s="7"/>
    </row>
    <row r="31" spans="4:15" x14ac:dyDescent="0.35">
      <c r="D31" s="6">
        <v>16</v>
      </c>
      <c r="E31" s="6" t="s">
        <v>204</v>
      </c>
      <c r="F31" s="6">
        <v>64</v>
      </c>
      <c r="G31" s="6">
        <v>13</v>
      </c>
      <c r="H31" s="6">
        <f t="shared" si="0"/>
        <v>77</v>
      </c>
      <c r="I31" s="6" t="str">
        <f t="shared" si="1"/>
        <v>PASS</v>
      </c>
      <c r="J31" s="6" t="str">
        <f t="shared" si="2"/>
        <v>1</v>
      </c>
      <c r="L31" s="7"/>
      <c r="M31" s="7"/>
      <c r="N31" s="7"/>
    </row>
    <row r="32" spans="4:15" x14ac:dyDescent="0.35">
      <c r="D32" s="6">
        <v>17</v>
      </c>
      <c r="E32" s="6" t="s">
        <v>209</v>
      </c>
      <c r="F32" s="6">
        <v>59</v>
      </c>
      <c r="G32" s="6">
        <v>25</v>
      </c>
      <c r="H32" s="6">
        <f t="shared" si="0"/>
        <v>84</v>
      </c>
      <c r="I32" s="6" t="str">
        <f t="shared" si="1"/>
        <v>PASS</v>
      </c>
      <c r="J32" s="6" t="str">
        <f t="shared" si="2"/>
        <v>1</v>
      </c>
      <c r="L32" s="7"/>
      <c r="M32" s="7"/>
      <c r="N32" s="7"/>
    </row>
    <row r="33" spans="4:14" x14ac:dyDescent="0.35">
      <c r="D33" s="6">
        <v>18</v>
      </c>
      <c r="E33" s="6" t="s">
        <v>214</v>
      </c>
      <c r="F33" s="6">
        <v>26</v>
      </c>
      <c r="G33" s="6">
        <v>6</v>
      </c>
      <c r="H33" s="6">
        <f t="shared" si="0"/>
        <v>32</v>
      </c>
      <c r="I33" s="6" t="str">
        <f t="shared" si="1"/>
        <v>FAIL</v>
      </c>
      <c r="J33" s="6" t="str">
        <f t="shared" si="2"/>
        <v>0</v>
      </c>
      <c r="L33" s="7"/>
      <c r="M33" s="7"/>
      <c r="N33" s="7"/>
    </row>
    <row r="34" spans="4:14" x14ac:dyDescent="0.35">
      <c r="D34" s="6">
        <v>19</v>
      </c>
      <c r="E34" s="6" t="s">
        <v>219</v>
      </c>
      <c r="F34" s="6">
        <v>64</v>
      </c>
      <c r="G34" s="6">
        <v>28</v>
      </c>
      <c r="H34" s="6">
        <f t="shared" si="0"/>
        <v>92</v>
      </c>
      <c r="I34" s="6" t="str">
        <f t="shared" si="1"/>
        <v>PASS</v>
      </c>
      <c r="J34" s="6" t="str">
        <f t="shared" si="2"/>
        <v>1</v>
      </c>
      <c r="L34" s="7"/>
      <c r="M34" s="7"/>
      <c r="N34" s="7"/>
    </row>
    <row r="35" spans="4:14" x14ac:dyDescent="0.35">
      <c r="D35" s="6">
        <v>20</v>
      </c>
      <c r="E35" s="6" t="s">
        <v>224</v>
      </c>
      <c r="F35" s="6">
        <v>3</v>
      </c>
      <c r="G35" s="6">
        <v>18</v>
      </c>
      <c r="H35" s="6">
        <f t="shared" si="0"/>
        <v>21</v>
      </c>
      <c r="I35" s="6" t="str">
        <f t="shared" si="1"/>
        <v>FAIL</v>
      </c>
      <c r="J35" s="6" t="str">
        <f t="shared" si="2"/>
        <v>0</v>
      </c>
      <c r="L35" s="7"/>
      <c r="M35" s="7"/>
      <c r="N35" s="7"/>
    </row>
    <row r="36" spans="4:14" x14ac:dyDescent="0.35">
      <c r="D36" s="6">
        <f>'SUB-1'!D35</f>
        <v>21</v>
      </c>
      <c r="E36" s="6" t="str">
        <f>'SUB-1'!E35</f>
        <v>BTMC24O1021</v>
      </c>
      <c r="F36" s="6">
        <v>65</v>
      </c>
      <c r="G36" s="6">
        <v>25</v>
      </c>
      <c r="H36" s="6">
        <f t="shared" si="0"/>
        <v>90</v>
      </c>
      <c r="I36" s="6" t="str">
        <f t="shared" ref="I36" si="3">IF(H36&lt;35,"FAIL","PASS")</f>
        <v>PASS</v>
      </c>
      <c r="J36" s="6" t="str">
        <f t="shared" ref="J36" si="4">IF(H36&lt;35,"0","1")</f>
        <v>1</v>
      </c>
    </row>
    <row r="37" spans="4:14" x14ac:dyDescent="0.35">
      <c r="D37" s="6">
        <f>'SUB-1'!D36</f>
        <v>22</v>
      </c>
      <c r="E37" s="6" t="str">
        <f>'SUB-1'!E36</f>
        <v>BTMC24O1022</v>
      </c>
      <c r="F37" s="6">
        <v>53</v>
      </c>
      <c r="G37" s="6">
        <v>3</v>
      </c>
      <c r="H37" s="6">
        <f t="shared" ref="H37:H100" si="5">F37+G37</f>
        <v>56</v>
      </c>
      <c r="I37" s="6" t="str">
        <f t="shared" ref="I37:I100" si="6">IF(H37&lt;35,"FAIL","PASS")</f>
        <v>PASS</v>
      </c>
      <c r="J37" s="6" t="str">
        <f t="shared" ref="J37:J100" si="7">IF(H37&lt;35,"0","1")</f>
        <v>1</v>
      </c>
    </row>
    <row r="38" spans="4:14" x14ac:dyDescent="0.35">
      <c r="D38" s="6">
        <f>'SUB-1'!D37</f>
        <v>23</v>
      </c>
      <c r="E38" s="6" t="str">
        <f>'SUB-1'!E37</f>
        <v>BTMC24O1023</v>
      </c>
      <c r="F38" s="6">
        <v>46</v>
      </c>
      <c r="G38" s="6">
        <v>8</v>
      </c>
      <c r="H38" s="6">
        <f t="shared" si="5"/>
        <v>54</v>
      </c>
      <c r="I38" s="6" t="str">
        <f t="shared" si="6"/>
        <v>PASS</v>
      </c>
      <c r="J38" s="6" t="str">
        <f t="shared" si="7"/>
        <v>1</v>
      </c>
    </row>
    <row r="39" spans="4:14" x14ac:dyDescent="0.35">
      <c r="D39" s="6">
        <f>'SUB-1'!D38</f>
        <v>24</v>
      </c>
      <c r="E39" s="6" t="str">
        <f>'SUB-1'!E38</f>
        <v>BTMC24O1024</v>
      </c>
      <c r="F39" s="6">
        <v>61</v>
      </c>
      <c r="G39" s="6">
        <v>12</v>
      </c>
      <c r="H39" s="6">
        <f t="shared" si="5"/>
        <v>73</v>
      </c>
      <c r="I39" s="6" t="str">
        <f t="shared" si="6"/>
        <v>PASS</v>
      </c>
      <c r="J39" s="6" t="str">
        <f t="shared" si="7"/>
        <v>1</v>
      </c>
    </row>
    <row r="40" spans="4:14" x14ac:dyDescent="0.35">
      <c r="D40" s="6">
        <f>'SUB-1'!D39</f>
        <v>25</v>
      </c>
      <c r="E40" s="6" t="str">
        <f>'SUB-1'!E39</f>
        <v>BTMC24O1025</v>
      </c>
      <c r="F40" s="6">
        <v>21</v>
      </c>
      <c r="G40" s="6">
        <v>19</v>
      </c>
      <c r="H40" s="6">
        <f t="shared" si="5"/>
        <v>40</v>
      </c>
      <c r="I40" s="6" t="str">
        <f t="shared" si="6"/>
        <v>PASS</v>
      </c>
      <c r="J40" s="6" t="str">
        <f t="shared" si="7"/>
        <v>1</v>
      </c>
    </row>
    <row r="41" spans="4:14" x14ac:dyDescent="0.35">
      <c r="D41" s="6">
        <f>'SUB-1'!D40</f>
        <v>26</v>
      </c>
      <c r="E41" s="6" t="str">
        <f>'SUB-1'!E40</f>
        <v>BTMC24O1026</v>
      </c>
      <c r="F41" s="6">
        <v>50</v>
      </c>
      <c r="G41" s="6">
        <v>11</v>
      </c>
      <c r="H41" s="6">
        <f t="shared" si="5"/>
        <v>61</v>
      </c>
      <c r="I41" s="6" t="str">
        <f t="shared" si="6"/>
        <v>PASS</v>
      </c>
      <c r="J41" s="6" t="str">
        <f t="shared" si="7"/>
        <v>1</v>
      </c>
    </row>
    <row r="42" spans="4:14" x14ac:dyDescent="0.35">
      <c r="D42" s="6">
        <f>'SUB-1'!D41</f>
        <v>27</v>
      </c>
      <c r="E42" s="6" t="str">
        <f>'SUB-1'!E41</f>
        <v>BTMC24O1027</v>
      </c>
      <c r="F42" s="6">
        <v>44</v>
      </c>
      <c r="G42" s="6">
        <v>10</v>
      </c>
      <c r="H42" s="6">
        <f t="shared" si="5"/>
        <v>54</v>
      </c>
      <c r="I42" s="6" t="str">
        <f t="shared" si="6"/>
        <v>PASS</v>
      </c>
      <c r="J42" s="6" t="str">
        <f t="shared" si="7"/>
        <v>1</v>
      </c>
    </row>
    <row r="43" spans="4:14" x14ac:dyDescent="0.35">
      <c r="D43" s="6">
        <f>'SUB-1'!D42</f>
        <v>28</v>
      </c>
      <c r="E43" s="6" t="str">
        <f>'SUB-1'!E42</f>
        <v>BTMC24O1028</v>
      </c>
      <c r="F43" s="6">
        <v>64</v>
      </c>
      <c r="G43" s="6">
        <v>13</v>
      </c>
      <c r="H43" s="6">
        <f t="shared" si="5"/>
        <v>77</v>
      </c>
      <c r="I43" s="6" t="str">
        <f t="shared" si="6"/>
        <v>PASS</v>
      </c>
      <c r="J43" s="6" t="str">
        <f t="shared" si="7"/>
        <v>1</v>
      </c>
    </row>
    <row r="44" spans="4:14" x14ac:dyDescent="0.35">
      <c r="D44" s="6">
        <f>'SUB-1'!D43</f>
        <v>29</v>
      </c>
      <c r="E44" s="6" t="str">
        <f>'SUB-1'!E43</f>
        <v>BTMC24O1029</v>
      </c>
      <c r="F44" s="6">
        <v>29</v>
      </c>
      <c r="G44" s="6">
        <v>15</v>
      </c>
      <c r="H44" s="6">
        <f t="shared" si="5"/>
        <v>44</v>
      </c>
      <c r="I44" s="6" t="str">
        <f t="shared" si="6"/>
        <v>PASS</v>
      </c>
      <c r="J44" s="6" t="str">
        <f t="shared" si="7"/>
        <v>1</v>
      </c>
    </row>
    <row r="45" spans="4:14" x14ac:dyDescent="0.35">
      <c r="D45" s="6">
        <f>'SUB-1'!D44</f>
        <v>30</v>
      </c>
      <c r="E45" s="6" t="str">
        <f>'SUB-1'!E44</f>
        <v>BTMC24O1030</v>
      </c>
      <c r="F45" s="6">
        <v>37</v>
      </c>
      <c r="G45" s="6">
        <v>9</v>
      </c>
      <c r="H45" s="6">
        <f t="shared" si="5"/>
        <v>46</v>
      </c>
      <c r="I45" s="6" t="str">
        <f t="shared" si="6"/>
        <v>PASS</v>
      </c>
      <c r="J45" s="6" t="str">
        <f t="shared" si="7"/>
        <v>1</v>
      </c>
    </row>
    <row r="46" spans="4:14" x14ac:dyDescent="0.35">
      <c r="D46" s="6">
        <f>'SUB-1'!D45</f>
        <v>31</v>
      </c>
      <c r="E46" s="6" t="str">
        <f>'SUB-1'!E45</f>
        <v>BTMC24O1031</v>
      </c>
      <c r="F46" s="6">
        <v>49</v>
      </c>
      <c r="G46" s="6">
        <v>22</v>
      </c>
      <c r="H46" s="6">
        <f t="shared" si="5"/>
        <v>71</v>
      </c>
      <c r="I46" s="6" t="str">
        <f t="shared" si="6"/>
        <v>PASS</v>
      </c>
      <c r="J46" s="6" t="str">
        <f t="shared" si="7"/>
        <v>1</v>
      </c>
    </row>
    <row r="47" spans="4:14" x14ac:dyDescent="0.35">
      <c r="D47" s="6">
        <f>'SUB-1'!D46</f>
        <v>32</v>
      </c>
      <c r="E47" s="6" t="str">
        <f>'SUB-1'!E46</f>
        <v>BTMC24O1032</v>
      </c>
      <c r="F47" s="6">
        <v>32</v>
      </c>
      <c r="G47" s="6">
        <v>9</v>
      </c>
      <c r="H47" s="6">
        <f t="shared" si="5"/>
        <v>41</v>
      </c>
      <c r="I47" s="6" t="str">
        <f t="shared" si="6"/>
        <v>PASS</v>
      </c>
      <c r="J47" s="6" t="str">
        <f t="shared" si="7"/>
        <v>1</v>
      </c>
    </row>
    <row r="48" spans="4:14" x14ac:dyDescent="0.35">
      <c r="D48" s="6">
        <f>'SUB-1'!D47</f>
        <v>33</v>
      </c>
      <c r="E48" s="6" t="str">
        <f>'SUB-1'!E47</f>
        <v>BTMC24O1033</v>
      </c>
      <c r="F48" s="6">
        <v>8</v>
      </c>
      <c r="G48" s="6">
        <v>14</v>
      </c>
      <c r="H48" s="6">
        <f t="shared" si="5"/>
        <v>22</v>
      </c>
      <c r="I48" s="6" t="str">
        <f t="shared" si="6"/>
        <v>FAIL</v>
      </c>
      <c r="J48" s="6" t="str">
        <f t="shared" si="7"/>
        <v>0</v>
      </c>
    </row>
    <row r="49" spans="4:10" x14ac:dyDescent="0.35">
      <c r="D49" s="6">
        <f>'SUB-1'!D48</f>
        <v>34</v>
      </c>
      <c r="E49" s="6" t="str">
        <f>'SUB-1'!E48</f>
        <v>BTMC24O1034</v>
      </c>
      <c r="F49" s="6">
        <v>5</v>
      </c>
      <c r="G49" s="6">
        <v>24</v>
      </c>
      <c r="H49" s="6">
        <f t="shared" si="5"/>
        <v>29</v>
      </c>
      <c r="I49" s="6" t="str">
        <f t="shared" si="6"/>
        <v>FAIL</v>
      </c>
      <c r="J49" s="6" t="str">
        <f t="shared" si="7"/>
        <v>0</v>
      </c>
    </row>
    <row r="50" spans="4:10" x14ac:dyDescent="0.35">
      <c r="D50" s="6">
        <f>'SUB-1'!D49</f>
        <v>35</v>
      </c>
      <c r="E50" s="6" t="str">
        <f>'SUB-1'!E49</f>
        <v>BTMC24O1035</v>
      </c>
      <c r="F50" s="6">
        <v>63</v>
      </c>
      <c r="G50" s="6">
        <v>3</v>
      </c>
      <c r="H50" s="6">
        <f t="shared" si="5"/>
        <v>66</v>
      </c>
      <c r="I50" s="6" t="str">
        <f t="shared" si="6"/>
        <v>PASS</v>
      </c>
      <c r="J50" s="6" t="str">
        <f t="shared" si="7"/>
        <v>1</v>
      </c>
    </row>
    <row r="51" spans="4:10" x14ac:dyDescent="0.35">
      <c r="D51" s="6">
        <f>'SUB-1'!D50</f>
        <v>36</v>
      </c>
      <c r="E51" s="6" t="str">
        <f>'SUB-1'!E50</f>
        <v>BTMC24O1036</v>
      </c>
      <c r="F51" s="6">
        <v>3</v>
      </c>
      <c r="G51" s="6">
        <v>19</v>
      </c>
      <c r="H51" s="6">
        <f t="shared" si="5"/>
        <v>22</v>
      </c>
      <c r="I51" s="6" t="str">
        <f t="shared" si="6"/>
        <v>FAIL</v>
      </c>
      <c r="J51" s="6" t="str">
        <f t="shared" si="7"/>
        <v>0</v>
      </c>
    </row>
    <row r="52" spans="4:10" x14ac:dyDescent="0.35">
      <c r="D52" s="6">
        <f>'SUB-1'!D51</f>
        <v>37</v>
      </c>
      <c r="E52" s="6" t="str">
        <f>'SUB-1'!E51</f>
        <v>BTMC24O1037</v>
      </c>
      <c r="F52" s="6">
        <v>70</v>
      </c>
      <c r="G52" s="6">
        <v>27</v>
      </c>
      <c r="H52" s="6">
        <f t="shared" si="5"/>
        <v>97</v>
      </c>
      <c r="I52" s="6" t="str">
        <f t="shared" si="6"/>
        <v>PASS</v>
      </c>
      <c r="J52" s="6" t="str">
        <f t="shared" si="7"/>
        <v>1</v>
      </c>
    </row>
    <row r="53" spans="4:10" x14ac:dyDescent="0.35">
      <c r="D53" s="6">
        <f>'SUB-1'!D52</f>
        <v>38</v>
      </c>
      <c r="E53" s="6" t="str">
        <f>'SUB-1'!E52</f>
        <v>BTMC24O1038</v>
      </c>
      <c r="F53" s="6">
        <v>64</v>
      </c>
      <c r="G53" s="6">
        <v>1</v>
      </c>
      <c r="H53" s="6">
        <f t="shared" si="5"/>
        <v>65</v>
      </c>
      <c r="I53" s="6" t="str">
        <f t="shared" si="6"/>
        <v>PASS</v>
      </c>
      <c r="J53" s="6" t="str">
        <f t="shared" si="7"/>
        <v>1</v>
      </c>
    </row>
    <row r="54" spans="4:10" x14ac:dyDescent="0.35">
      <c r="D54" s="6">
        <f>'SUB-1'!D53</f>
        <v>39</v>
      </c>
      <c r="E54" s="6" t="str">
        <f>'SUB-1'!E53</f>
        <v>BTMC24O1039</v>
      </c>
      <c r="F54" s="6">
        <v>31</v>
      </c>
      <c r="G54" s="6">
        <v>1</v>
      </c>
      <c r="H54" s="6">
        <f t="shared" si="5"/>
        <v>32</v>
      </c>
      <c r="I54" s="6" t="str">
        <f t="shared" si="6"/>
        <v>FAIL</v>
      </c>
      <c r="J54" s="6" t="str">
        <f t="shared" si="7"/>
        <v>0</v>
      </c>
    </row>
    <row r="55" spans="4:10" x14ac:dyDescent="0.35">
      <c r="D55" s="6">
        <f>'SUB-1'!D54</f>
        <v>40</v>
      </c>
      <c r="E55" s="6" t="str">
        <f>'SUB-1'!E54</f>
        <v>BTMC24O1040</v>
      </c>
      <c r="F55" s="6">
        <v>68</v>
      </c>
      <c r="G55" s="6">
        <v>16</v>
      </c>
      <c r="H55" s="6">
        <f t="shared" si="5"/>
        <v>84</v>
      </c>
      <c r="I55" s="6" t="str">
        <f t="shared" si="6"/>
        <v>PASS</v>
      </c>
      <c r="J55" s="6" t="str">
        <f t="shared" si="7"/>
        <v>1</v>
      </c>
    </row>
    <row r="56" spans="4:10" x14ac:dyDescent="0.35">
      <c r="D56" s="6">
        <f>'SUB-1'!D55</f>
        <v>41</v>
      </c>
      <c r="E56" s="6" t="str">
        <f>'SUB-1'!E55</f>
        <v>BTMC24O1041</v>
      </c>
      <c r="F56" s="6">
        <v>36</v>
      </c>
      <c r="G56" s="6">
        <v>23</v>
      </c>
      <c r="H56" s="6">
        <f t="shared" si="5"/>
        <v>59</v>
      </c>
      <c r="I56" s="6" t="str">
        <f t="shared" si="6"/>
        <v>PASS</v>
      </c>
      <c r="J56" s="6" t="str">
        <f t="shared" si="7"/>
        <v>1</v>
      </c>
    </row>
    <row r="57" spans="4:10" x14ac:dyDescent="0.35">
      <c r="D57" s="6">
        <f>'SUB-1'!D56</f>
        <v>42</v>
      </c>
      <c r="E57" s="6" t="str">
        <f>'SUB-1'!E56</f>
        <v>BTMC24O1042</v>
      </c>
      <c r="F57" s="6">
        <v>27</v>
      </c>
      <c r="G57" s="6">
        <v>14</v>
      </c>
      <c r="H57" s="6">
        <f t="shared" si="5"/>
        <v>41</v>
      </c>
      <c r="I57" s="6" t="str">
        <f t="shared" si="6"/>
        <v>PASS</v>
      </c>
      <c r="J57" s="6" t="str">
        <f t="shared" si="7"/>
        <v>1</v>
      </c>
    </row>
    <row r="58" spans="4:10" x14ac:dyDescent="0.35">
      <c r="D58" s="6">
        <f>'SUB-1'!D57</f>
        <v>43</v>
      </c>
      <c r="E58" s="6" t="str">
        <f>'SUB-1'!E57</f>
        <v>BTMC24O1043</v>
      </c>
      <c r="F58" s="6">
        <v>3</v>
      </c>
      <c r="G58" s="6">
        <v>15</v>
      </c>
      <c r="H58" s="6">
        <f t="shared" si="5"/>
        <v>18</v>
      </c>
      <c r="I58" s="6" t="str">
        <f t="shared" si="6"/>
        <v>FAIL</v>
      </c>
      <c r="J58" s="6" t="str">
        <f t="shared" si="7"/>
        <v>0</v>
      </c>
    </row>
    <row r="59" spans="4:10" x14ac:dyDescent="0.35">
      <c r="D59" s="6">
        <f>'SUB-1'!D58</f>
        <v>44</v>
      </c>
      <c r="E59" s="6" t="str">
        <f>'SUB-1'!E58</f>
        <v>BTMC24O1044</v>
      </c>
      <c r="F59" s="6">
        <v>14</v>
      </c>
      <c r="G59" s="6">
        <v>9</v>
      </c>
      <c r="H59" s="6">
        <f t="shared" si="5"/>
        <v>23</v>
      </c>
      <c r="I59" s="6" t="str">
        <f t="shared" si="6"/>
        <v>FAIL</v>
      </c>
      <c r="J59" s="6" t="str">
        <f t="shared" si="7"/>
        <v>0</v>
      </c>
    </row>
    <row r="60" spans="4:10" x14ac:dyDescent="0.35">
      <c r="D60" s="6">
        <f>'SUB-1'!D59</f>
        <v>45</v>
      </c>
      <c r="E60" s="6" t="str">
        <f>'SUB-1'!E59</f>
        <v>BTMC24O1045</v>
      </c>
      <c r="F60" s="6">
        <v>24</v>
      </c>
      <c r="G60" s="6">
        <v>25</v>
      </c>
      <c r="H60" s="6">
        <f t="shared" si="5"/>
        <v>49</v>
      </c>
      <c r="I60" s="6" t="str">
        <f t="shared" si="6"/>
        <v>PASS</v>
      </c>
      <c r="J60" s="6" t="str">
        <f t="shared" si="7"/>
        <v>1</v>
      </c>
    </row>
    <row r="61" spans="4:10" x14ac:dyDescent="0.35">
      <c r="D61" s="6">
        <f>'SUB-1'!D60</f>
        <v>46</v>
      </c>
      <c r="E61" s="6" t="str">
        <f>'SUB-1'!E60</f>
        <v>BTMC24O1046</v>
      </c>
      <c r="F61" s="6">
        <v>63</v>
      </c>
      <c r="G61" s="6">
        <v>13</v>
      </c>
      <c r="H61" s="6">
        <f t="shared" si="5"/>
        <v>76</v>
      </c>
      <c r="I61" s="6" t="str">
        <f t="shared" si="6"/>
        <v>PASS</v>
      </c>
      <c r="J61" s="6" t="str">
        <f t="shared" si="7"/>
        <v>1</v>
      </c>
    </row>
    <row r="62" spans="4:10" x14ac:dyDescent="0.35">
      <c r="D62" s="6">
        <f>'SUB-1'!D61</f>
        <v>47</v>
      </c>
      <c r="E62" s="6" t="str">
        <f>'SUB-1'!E61</f>
        <v>BTMC24O1047</v>
      </c>
      <c r="F62" s="6">
        <v>69</v>
      </c>
      <c r="G62" s="6">
        <v>22</v>
      </c>
      <c r="H62" s="6">
        <f t="shared" si="5"/>
        <v>91</v>
      </c>
      <c r="I62" s="6" t="str">
        <f t="shared" si="6"/>
        <v>PASS</v>
      </c>
      <c r="J62" s="6" t="str">
        <f t="shared" si="7"/>
        <v>1</v>
      </c>
    </row>
    <row r="63" spans="4:10" x14ac:dyDescent="0.35">
      <c r="D63" s="6">
        <f>'SUB-1'!D62</f>
        <v>48</v>
      </c>
      <c r="E63" s="6" t="str">
        <f>'SUB-1'!E62</f>
        <v>BTMC24O1048</v>
      </c>
      <c r="F63" s="6">
        <v>65</v>
      </c>
      <c r="G63" s="6">
        <v>28</v>
      </c>
      <c r="H63" s="6">
        <f t="shared" si="5"/>
        <v>93</v>
      </c>
      <c r="I63" s="6" t="str">
        <f t="shared" si="6"/>
        <v>PASS</v>
      </c>
      <c r="J63" s="6" t="str">
        <f t="shared" si="7"/>
        <v>1</v>
      </c>
    </row>
    <row r="64" spans="4:10" x14ac:dyDescent="0.35">
      <c r="D64" s="6">
        <f>'SUB-1'!D63</f>
        <v>49</v>
      </c>
      <c r="E64" s="6" t="str">
        <f>'SUB-1'!E63</f>
        <v>BTMC24O1049</v>
      </c>
      <c r="F64" s="6">
        <v>4</v>
      </c>
      <c r="G64" s="6">
        <v>4</v>
      </c>
      <c r="H64" s="6">
        <f t="shared" si="5"/>
        <v>8</v>
      </c>
      <c r="I64" s="6" t="str">
        <f t="shared" si="6"/>
        <v>FAIL</v>
      </c>
      <c r="J64" s="6" t="str">
        <f t="shared" si="7"/>
        <v>0</v>
      </c>
    </row>
    <row r="65" spans="4:10" x14ac:dyDescent="0.35">
      <c r="D65" s="6">
        <f>'SUB-1'!D64</f>
        <v>50</v>
      </c>
      <c r="E65" s="6" t="str">
        <f>'SUB-1'!E64</f>
        <v>BTMC24O1050</v>
      </c>
      <c r="F65" s="6">
        <v>40</v>
      </c>
      <c r="G65" s="6">
        <v>15</v>
      </c>
      <c r="H65" s="6">
        <f t="shared" si="5"/>
        <v>55</v>
      </c>
      <c r="I65" s="6" t="str">
        <f t="shared" si="6"/>
        <v>PASS</v>
      </c>
      <c r="J65" s="6" t="str">
        <f t="shared" si="7"/>
        <v>1</v>
      </c>
    </row>
    <row r="66" spans="4:10" x14ac:dyDescent="0.35">
      <c r="D66" s="6">
        <f>'SUB-1'!D65</f>
        <v>51</v>
      </c>
      <c r="E66" s="6" t="str">
        <f>'SUB-1'!E65</f>
        <v>BTMC24O1051</v>
      </c>
      <c r="F66" s="6">
        <v>25</v>
      </c>
      <c r="G66" s="6">
        <v>28</v>
      </c>
      <c r="H66" s="6">
        <f t="shared" si="5"/>
        <v>53</v>
      </c>
      <c r="I66" s="6" t="str">
        <f t="shared" si="6"/>
        <v>PASS</v>
      </c>
      <c r="J66" s="6" t="str">
        <f t="shared" si="7"/>
        <v>1</v>
      </c>
    </row>
    <row r="67" spans="4:10" x14ac:dyDescent="0.35">
      <c r="D67" s="6">
        <f>'SUB-1'!D66</f>
        <v>52</v>
      </c>
      <c r="E67" s="6" t="str">
        <f>'SUB-1'!E66</f>
        <v>BTMC24O1052</v>
      </c>
      <c r="F67" s="6">
        <v>36</v>
      </c>
      <c r="G67" s="6">
        <v>9</v>
      </c>
      <c r="H67" s="6">
        <f t="shared" si="5"/>
        <v>45</v>
      </c>
      <c r="I67" s="6" t="str">
        <f t="shared" si="6"/>
        <v>PASS</v>
      </c>
      <c r="J67" s="6" t="str">
        <f t="shared" si="7"/>
        <v>1</v>
      </c>
    </row>
    <row r="68" spans="4:10" x14ac:dyDescent="0.35">
      <c r="D68" s="6">
        <f>'SUB-1'!D67</f>
        <v>53</v>
      </c>
      <c r="E68" s="6" t="str">
        <f>'SUB-1'!E67</f>
        <v>BTMC24O1053</v>
      </c>
      <c r="F68" s="6">
        <v>4</v>
      </c>
      <c r="G68" s="6">
        <v>18</v>
      </c>
      <c r="H68" s="6">
        <f t="shared" si="5"/>
        <v>22</v>
      </c>
      <c r="I68" s="6" t="str">
        <f t="shared" si="6"/>
        <v>FAIL</v>
      </c>
      <c r="J68" s="6" t="str">
        <f t="shared" si="7"/>
        <v>0</v>
      </c>
    </row>
    <row r="69" spans="4:10" x14ac:dyDescent="0.35">
      <c r="D69" s="6">
        <f>'SUB-1'!D68</f>
        <v>54</v>
      </c>
      <c r="E69" s="6" t="str">
        <f>'SUB-1'!E68</f>
        <v>BTMC24O1054</v>
      </c>
      <c r="F69" s="6">
        <v>24</v>
      </c>
      <c r="G69" s="6">
        <v>12</v>
      </c>
      <c r="H69" s="6">
        <f t="shared" si="5"/>
        <v>36</v>
      </c>
      <c r="I69" s="6" t="str">
        <f t="shared" si="6"/>
        <v>PASS</v>
      </c>
      <c r="J69" s="6" t="str">
        <f t="shared" si="7"/>
        <v>1</v>
      </c>
    </row>
    <row r="70" spans="4:10" x14ac:dyDescent="0.35">
      <c r="D70" s="6">
        <f>'SUB-1'!D69</f>
        <v>55</v>
      </c>
      <c r="E70" s="6" t="str">
        <f>'SUB-1'!E69</f>
        <v>BTMC24O1055</v>
      </c>
      <c r="F70" s="6">
        <v>65</v>
      </c>
      <c r="G70" s="6">
        <v>15</v>
      </c>
      <c r="H70" s="6">
        <f t="shared" si="5"/>
        <v>80</v>
      </c>
      <c r="I70" s="6" t="str">
        <f t="shared" si="6"/>
        <v>PASS</v>
      </c>
      <c r="J70" s="6" t="str">
        <f t="shared" si="7"/>
        <v>1</v>
      </c>
    </row>
    <row r="71" spans="4:10" x14ac:dyDescent="0.35">
      <c r="D71" s="6">
        <f>'SUB-1'!D70</f>
        <v>56</v>
      </c>
      <c r="E71" s="6" t="str">
        <f>'SUB-1'!E70</f>
        <v>BTMC24O1056</v>
      </c>
      <c r="F71" s="6">
        <v>51</v>
      </c>
      <c r="G71" s="6">
        <v>18</v>
      </c>
      <c r="H71" s="6">
        <f t="shared" si="5"/>
        <v>69</v>
      </c>
      <c r="I71" s="6" t="str">
        <f t="shared" si="6"/>
        <v>PASS</v>
      </c>
      <c r="J71" s="6" t="str">
        <f t="shared" si="7"/>
        <v>1</v>
      </c>
    </row>
    <row r="72" spans="4:10" x14ac:dyDescent="0.35">
      <c r="D72" s="6">
        <f>'SUB-1'!D71</f>
        <v>57</v>
      </c>
      <c r="E72" s="6" t="str">
        <f>'SUB-1'!E71</f>
        <v>BTMC24O1057</v>
      </c>
      <c r="F72" s="6">
        <v>70</v>
      </c>
      <c r="G72" s="6">
        <v>0</v>
      </c>
      <c r="H72" s="6">
        <f t="shared" si="5"/>
        <v>70</v>
      </c>
      <c r="I72" s="6" t="str">
        <f t="shared" si="6"/>
        <v>PASS</v>
      </c>
      <c r="J72" s="6" t="str">
        <f t="shared" si="7"/>
        <v>1</v>
      </c>
    </row>
    <row r="73" spans="4:10" x14ac:dyDescent="0.35">
      <c r="D73" s="6">
        <f>'SUB-1'!D72</f>
        <v>58</v>
      </c>
      <c r="E73" s="6" t="str">
        <f>'SUB-1'!E72</f>
        <v>BTMC24O1058</v>
      </c>
      <c r="F73" s="6">
        <v>28</v>
      </c>
      <c r="G73" s="6">
        <v>28</v>
      </c>
      <c r="H73" s="6">
        <f t="shared" si="5"/>
        <v>56</v>
      </c>
      <c r="I73" s="6" t="str">
        <f t="shared" si="6"/>
        <v>PASS</v>
      </c>
      <c r="J73" s="6" t="str">
        <f t="shared" si="7"/>
        <v>1</v>
      </c>
    </row>
    <row r="74" spans="4:10" x14ac:dyDescent="0.35">
      <c r="D74" s="6">
        <f>'SUB-1'!D73</f>
        <v>59</v>
      </c>
      <c r="E74" s="6" t="str">
        <f>'SUB-1'!E73</f>
        <v>BTMC24O1059</v>
      </c>
      <c r="F74" s="6">
        <v>3</v>
      </c>
      <c r="G74" s="6">
        <v>2</v>
      </c>
      <c r="H74" s="6">
        <f t="shared" si="5"/>
        <v>5</v>
      </c>
      <c r="I74" s="6" t="str">
        <f t="shared" si="6"/>
        <v>FAIL</v>
      </c>
      <c r="J74" s="6" t="str">
        <f t="shared" si="7"/>
        <v>0</v>
      </c>
    </row>
    <row r="75" spans="4:10" x14ac:dyDescent="0.35">
      <c r="D75" s="6">
        <f>'SUB-1'!D74</f>
        <v>60</v>
      </c>
      <c r="E75" s="6" t="str">
        <f>'SUB-1'!E74</f>
        <v>BTMC24O1060</v>
      </c>
      <c r="F75" s="6">
        <v>37</v>
      </c>
      <c r="G75" s="6">
        <v>23</v>
      </c>
      <c r="H75" s="6">
        <f t="shared" si="5"/>
        <v>60</v>
      </c>
      <c r="I75" s="6" t="str">
        <f t="shared" si="6"/>
        <v>PASS</v>
      </c>
      <c r="J75" s="6" t="str">
        <f t="shared" si="7"/>
        <v>1</v>
      </c>
    </row>
    <row r="76" spans="4:10" x14ac:dyDescent="0.35">
      <c r="D76" s="6">
        <f>'SUB-1'!D75</f>
        <v>61</v>
      </c>
      <c r="E76" s="6" t="str">
        <f>'SUB-1'!E75</f>
        <v>BTMC24O1061</v>
      </c>
      <c r="F76" s="6">
        <v>49</v>
      </c>
      <c r="G76" s="6">
        <v>10</v>
      </c>
      <c r="H76" s="6">
        <f t="shared" si="5"/>
        <v>59</v>
      </c>
      <c r="I76" s="6" t="str">
        <f t="shared" si="6"/>
        <v>PASS</v>
      </c>
      <c r="J76" s="6" t="str">
        <f t="shared" si="7"/>
        <v>1</v>
      </c>
    </row>
    <row r="77" spans="4:10" x14ac:dyDescent="0.35">
      <c r="D77" s="6">
        <f>'SUB-1'!D76</f>
        <v>62</v>
      </c>
      <c r="E77" s="6" t="str">
        <f>'SUB-1'!E76</f>
        <v>BTMC24O1062</v>
      </c>
      <c r="F77" s="6">
        <v>37</v>
      </c>
      <c r="G77" s="6">
        <v>30</v>
      </c>
      <c r="H77" s="6">
        <f t="shared" si="5"/>
        <v>67</v>
      </c>
      <c r="I77" s="6" t="str">
        <f t="shared" si="6"/>
        <v>PASS</v>
      </c>
      <c r="J77" s="6" t="str">
        <f t="shared" si="7"/>
        <v>1</v>
      </c>
    </row>
    <row r="78" spans="4:10" x14ac:dyDescent="0.35">
      <c r="D78" s="6">
        <f>'SUB-1'!D77</f>
        <v>63</v>
      </c>
      <c r="E78" s="6" t="str">
        <f>'SUB-1'!E77</f>
        <v>BTMC24O1063</v>
      </c>
      <c r="F78" s="6">
        <v>23</v>
      </c>
      <c r="G78" s="6">
        <v>17</v>
      </c>
      <c r="H78" s="6">
        <f t="shared" si="5"/>
        <v>40</v>
      </c>
      <c r="I78" s="6" t="str">
        <f t="shared" si="6"/>
        <v>PASS</v>
      </c>
      <c r="J78" s="6" t="str">
        <f t="shared" si="7"/>
        <v>1</v>
      </c>
    </row>
    <row r="79" spans="4:10" x14ac:dyDescent="0.35">
      <c r="D79" s="6">
        <f>'SUB-1'!D78</f>
        <v>64</v>
      </c>
      <c r="E79" s="6" t="str">
        <f>'SUB-1'!E78</f>
        <v>BTMC24O1064</v>
      </c>
      <c r="F79" s="6">
        <v>43</v>
      </c>
      <c r="G79" s="6">
        <v>1</v>
      </c>
      <c r="H79" s="6">
        <f t="shared" si="5"/>
        <v>44</v>
      </c>
      <c r="I79" s="6" t="str">
        <f t="shared" si="6"/>
        <v>PASS</v>
      </c>
      <c r="J79" s="6" t="str">
        <f t="shared" si="7"/>
        <v>1</v>
      </c>
    </row>
    <row r="80" spans="4:10" x14ac:dyDescent="0.35">
      <c r="D80" s="6">
        <f>'SUB-1'!D79</f>
        <v>65</v>
      </c>
      <c r="E80" s="6" t="str">
        <f>'SUB-1'!E79</f>
        <v>BTMC24O1065</v>
      </c>
      <c r="F80" s="6">
        <v>19</v>
      </c>
      <c r="G80" s="6">
        <v>15</v>
      </c>
      <c r="H80" s="6">
        <f t="shared" si="5"/>
        <v>34</v>
      </c>
      <c r="I80" s="6" t="str">
        <f t="shared" si="6"/>
        <v>FAIL</v>
      </c>
      <c r="J80" s="6" t="str">
        <f t="shared" si="7"/>
        <v>0</v>
      </c>
    </row>
    <row r="81" spans="4:10" x14ac:dyDescent="0.35">
      <c r="D81" s="6">
        <f>'SUB-1'!D80</f>
        <v>66</v>
      </c>
      <c r="E81" s="6" t="str">
        <f>'SUB-1'!E80</f>
        <v>BTMC24O1066</v>
      </c>
      <c r="F81" s="6">
        <v>26</v>
      </c>
      <c r="G81" s="6">
        <v>21</v>
      </c>
      <c r="H81" s="6">
        <f t="shared" si="5"/>
        <v>47</v>
      </c>
      <c r="I81" s="6" t="str">
        <f t="shared" si="6"/>
        <v>PASS</v>
      </c>
      <c r="J81" s="6" t="str">
        <f t="shared" si="7"/>
        <v>1</v>
      </c>
    </row>
    <row r="82" spans="4:10" x14ac:dyDescent="0.35">
      <c r="D82" s="6">
        <f>'SUB-1'!D81</f>
        <v>67</v>
      </c>
      <c r="E82" s="6" t="str">
        <f>'SUB-1'!E81</f>
        <v>BTMC24O1067</v>
      </c>
      <c r="F82" s="6">
        <v>0</v>
      </c>
      <c r="G82" s="6">
        <v>8</v>
      </c>
      <c r="H82" s="6">
        <f t="shared" si="5"/>
        <v>8</v>
      </c>
      <c r="I82" s="6" t="str">
        <f t="shared" si="6"/>
        <v>FAIL</v>
      </c>
      <c r="J82" s="6" t="str">
        <f t="shared" si="7"/>
        <v>0</v>
      </c>
    </row>
    <row r="83" spans="4:10" x14ac:dyDescent="0.35">
      <c r="D83" s="6">
        <f>'SUB-1'!D82</f>
        <v>68</v>
      </c>
      <c r="E83" s="6" t="str">
        <f>'SUB-1'!E82</f>
        <v>BTMC24O1068</v>
      </c>
      <c r="F83" s="6">
        <v>52</v>
      </c>
      <c r="G83" s="6">
        <v>1</v>
      </c>
      <c r="H83" s="6">
        <f t="shared" si="5"/>
        <v>53</v>
      </c>
      <c r="I83" s="6" t="str">
        <f t="shared" si="6"/>
        <v>PASS</v>
      </c>
      <c r="J83" s="6" t="str">
        <f t="shared" si="7"/>
        <v>1</v>
      </c>
    </row>
    <row r="84" spans="4:10" x14ac:dyDescent="0.35">
      <c r="D84" s="6">
        <f>'SUB-1'!D83</f>
        <v>69</v>
      </c>
      <c r="E84" s="6" t="str">
        <f>'SUB-1'!E83</f>
        <v>BTMC24O1069</v>
      </c>
      <c r="F84" s="6">
        <v>31</v>
      </c>
      <c r="G84" s="6">
        <v>20</v>
      </c>
      <c r="H84" s="6">
        <f t="shared" si="5"/>
        <v>51</v>
      </c>
      <c r="I84" s="6" t="str">
        <f t="shared" si="6"/>
        <v>PASS</v>
      </c>
      <c r="J84" s="6" t="str">
        <f t="shared" si="7"/>
        <v>1</v>
      </c>
    </row>
    <row r="85" spans="4:10" x14ac:dyDescent="0.35">
      <c r="D85" s="6">
        <f>'SUB-1'!D84</f>
        <v>70</v>
      </c>
      <c r="E85" s="6" t="str">
        <f>'SUB-1'!E84</f>
        <v>BTMC24O1070</v>
      </c>
      <c r="F85" s="6">
        <v>30</v>
      </c>
      <c r="G85" s="6">
        <v>26</v>
      </c>
      <c r="H85" s="6">
        <f t="shared" si="5"/>
        <v>56</v>
      </c>
      <c r="I85" s="6" t="str">
        <f t="shared" si="6"/>
        <v>PASS</v>
      </c>
      <c r="J85" s="6" t="str">
        <f t="shared" si="7"/>
        <v>1</v>
      </c>
    </row>
    <row r="86" spans="4:10" x14ac:dyDescent="0.35">
      <c r="D86" s="6">
        <f>'SUB-1'!D85</f>
        <v>71</v>
      </c>
      <c r="E86" s="6" t="str">
        <f>'SUB-1'!E85</f>
        <v>BTMC24O1071</v>
      </c>
      <c r="F86" s="6">
        <v>52</v>
      </c>
      <c r="G86" s="6">
        <v>0</v>
      </c>
      <c r="H86" s="6">
        <f t="shared" si="5"/>
        <v>52</v>
      </c>
      <c r="I86" s="6" t="str">
        <f t="shared" si="6"/>
        <v>PASS</v>
      </c>
      <c r="J86" s="6" t="str">
        <f t="shared" si="7"/>
        <v>1</v>
      </c>
    </row>
    <row r="87" spans="4:10" x14ac:dyDescent="0.35">
      <c r="D87" s="6">
        <f>'SUB-1'!D86</f>
        <v>72</v>
      </c>
      <c r="E87" s="6" t="str">
        <f>'SUB-1'!E86</f>
        <v>BTMC24O1072</v>
      </c>
      <c r="F87" s="6">
        <v>43</v>
      </c>
      <c r="G87" s="6">
        <v>23</v>
      </c>
      <c r="H87" s="6">
        <f t="shared" si="5"/>
        <v>66</v>
      </c>
      <c r="I87" s="6" t="str">
        <f t="shared" si="6"/>
        <v>PASS</v>
      </c>
      <c r="J87" s="6" t="str">
        <f t="shared" si="7"/>
        <v>1</v>
      </c>
    </row>
    <row r="88" spans="4:10" x14ac:dyDescent="0.35">
      <c r="D88" s="6">
        <f>'SUB-1'!D87</f>
        <v>73</v>
      </c>
      <c r="E88" s="6" t="str">
        <f>'SUB-1'!E87</f>
        <v>BTMC24O1073</v>
      </c>
      <c r="F88" s="6">
        <v>18</v>
      </c>
      <c r="G88" s="6">
        <v>23</v>
      </c>
      <c r="H88" s="6">
        <f t="shared" si="5"/>
        <v>41</v>
      </c>
      <c r="I88" s="6" t="str">
        <f t="shared" si="6"/>
        <v>PASS</v>
      </c>
      <c r="J88" s="6" t="str">
        <f t="shared" si="7"/>
        <v>1</v>
      </c>
    </row>
    <row r="89" spans="4:10" x14ac:dyDescent="0.35">
      <c r="D89" s="6">
        <f>'SUB-1'!D88</f>
        <v>74</v>
      </c>
      <c r="E89" s="6" t="str">
        <f>'SUB-1'!E88</f>
        <v>BTMC24O1074</v>
      </c>
      <c r="F89" s="6">
        <v>44</v>
      </c>
      <c r="G89" s="6">
        <v>4</v>
      </c>
      <c r="H89" s="6">
        <f t="shared" si="5"/>
        <v>48</v>
      </c>
      <c r="I89" s="6" t="str">
        <f t="shared" si="6"/>
        <v>PASS</v>
      </c>
      <c r="J89" s="6" t="str">
        <f t="shared" si="7"/>
        <v>1</v>
      </c>
    </row>
    <row r="90" spans="4:10" x14ac:dyDescent="0.35">
      <c r="D90" s="6">
        <f>'SUB-1'!D89</f>
        <v>75</v>
      </c>
      <c r="E90" s="6" t="str">
        <f>'SUB-1'!E89</f>
        <v>BTMC24O1075</v>
      </c>
      <c r="F90" s="6">
        <v>28</v>
      </c>
      <c r="G90" s="6">
        <v>0</v>
      </c>
      <c r="H90" s="6">
        <f t="shared" si="5"/>
        <v>28</v>
      </c>
      <c r="I90" s="6" t="str">
        <f t="shared" si="6"/>
        <v>FAIL</v>
      </c>
      <c r="J90" s="6" t="str">
        <f t="shared" si="7"/>
        <v>0</v>
      </c>
    </row>
    <row r="91" spans="4:10" x14ac:dyDescent="0.35">
      <c r="D91" s="6">
        <f>'SUB-1'!D90</f>
        <v>76</v>
      </c>
      <c r="E91" s="6" t="str">
        <f>'SUB-1'!E90</f>
        <v>BTMC24O1076</v>
      </c>
      <c r="F91" s="6">
        <v>28</v>
      </c>
      <c r="G91" s="6">
        <v>13</v>
      </c>
      <c r="H91" s="6">
        <f t="shared" si="5"/>
        <v>41</v>
      </c>
      <c r="I91" s="6" t="str">
        <f t="shared" si="6"/>
        <v>PASS</v>
      </c>
      <c r="J91" s="6" t="str">
        <f t="shared" si="7"/>
        <v>1</v>
      </c>
    </row>
    <row r="92" spans="4:10" x14ac:dyDescent="0.35">
      <c r="D92" s="6">
        <f>'SUB-1'!D91</f>
        <v>77</v>
      </c>
      <c r="E92" s="6" t="str">
        <f>'SUB-1'!E91</f>
        <v>BTMC24O1077</v>
      </c>
      <c r="F92" s="6">
        <v>62</v>
      </c>
      <c r="G92" s="6">
        <v>6</v>
      </c>
      <c r="H92" s="6">
        <f t="shared" si="5"/>
        <v>68</v>
      </c>
      <c r="I92" s="6" t="str">
        <f t="shared" si="6"/>
        <v>PASS</v>
      </c>
      <c r="J92" s="6" t="str">
        <f t="shared" si="7"/>
        <v>1</v>
      </c>
    </row>
    <row r="93" spans="4:10" x14ac:dyDescent="0.35">
      <c r="D93" s="6">
        <f>'SUB-1'!D92</f>
        <v>78</v>
      </c>
      <c r="E93" s="6" t="str">
        <f>'SUB-1'!E92</f>
        <v>BTMC24O1078</v>
      </c>
      <c r="F93" s="6">
        <v>53</v>
      </c>
      <c r="G93" s="6">
        <v>0</v>
      </c>
      <c r="H93" s="6">
        <f t="shared" si="5"/>
        <v>53</v>
      </c>
      <c r="I93" s="6" t="str">
        <f t="shared" si="6"/>
        <v>PASS</v>
      </c>
      <c r="J93" s="6" t="str">
        <f t="shared" si="7"/>
        <v>1</v>
      </c>
    </row>
    <row r="94" spans="4:10" x14ac:dyDescent="0.35">
      <c r="D94" s="6">
        <f>'SUB-1'!D93</f>
        <v>79</v>
      </c>
      <c r="E94" s="6" t="str">
        <f>'SUB-1'!E93</f>
        <v>BTMC24O1079</v>
      </c>
      <c r="F94" s="6">
        <v>25</v>
      </c>
      <c r="G94" s="6">
        <v>12</v>
      </c>
      <c r="H94" s="6">
        <f t="shared" si="5"/>
        <v>37</v>
      </c>
      <c r="I94" s="6" t="str">
        <f t="shared" si="6"/>
        <v>PASS</v>
      </c>
      <c r="J94" s="6" t="str">
        <f t="shared" si="7"/>
        <v>1</v>
      </c>
    </row>
    <row r="95" spans="4:10" x14ac:dyDescent="0.35">
      <c r="D95" s="6">
        <f>'SUB-1'!D94</f>
        <v>80</v>
      </c>
      <c r="E95" s="6" t="str">
        <f>'SUB-1'!E94</f>
        <v>BTMC24O1080</v>
      </c>
      <c r="F95" s="6">
        <v>7</v>
      </c>
      <c r="G95" s="6">
        <v>21</v>
      </c>
      <c r="H95" s="6">
        <f t="shared" si="5"/>
        <v>28</v>
      </c>
      <c r="I95" s="6" t="str">
        <f t="shared" si="6"/>
        <v>FAIL</v>
      </c>
      <c r="J95" s="6" t="str">
        <f t="shared" si="7"/>
        <v>0</v>
      </c>
    </row>
    <row r="96" spans="4:10" x14ac:dyDescent="0.35">
      <c r="D96" s="6">
        <f>'SUB-1'!D95</f>
        <v>81</v>
      </c>
      <c r="E96" s="6" t="str">
        <f>'SUB-1'!E95</f>
        <v>BTMC24O1081</v>
      </c>
      <c r="F96" s="6">
        <v>47</v>
      </c>
      <c r="G96" s="6">
        <v>30</v>
      </c>
      <c r="H96" s="6">
        <f t="shared" si="5"/>
        <v>77</v>
      </c>
      <c r="I96" s="6" t="str">
        <f t="shared" si="6"/>
        <v>PASS</v>
      </c>
      <c r="J96" s="6" t="str">
        <f t="shared" si="7"/>
        <v>1</v>
      </c>
    </row>
    <row r="97" spans="4:10" x14ac:dyDescent="0.35">
      <c r="D97" s="6">
        <f>'SUB-1'!D96</f>
        <v>82</v>
      </c>
      <c r="E97" s="6" t="str">
        <f>'SUB-1'!E96</f>
        <v>BTMC24O1082</v>
      </c>
      <c r="F97" s="6">
        <v>60</v>
      </c>
      <c r="G97" s="6">
        <v>1</v>
      </c>
      <c r="H97" s="6">
        <f t="shared" si="5"/>
        <v>61</v>
      </c>
      <c r="I97" s="6" t="str">
        <f t="shared" si="6"/>
        <v>PASS</v>
      </c>
      <c r="J97" s="6" t="str">
        <f t="shared" si="7"/>
        <v>1</v>
      </c>
    </row>
    <row r="98" spans="4:10" x14ac:dyDescent="0.35">
      <c r="D98" s="6">
        <f>'SUB-1'!D97</f>
        <v>83</v>
      </c>
      <c r="E98" s="6" t="str">
        <f>'SUB-1'!E97</f>
        <v>BTMC24O1083</v>
      </c>
      <c r="F98" s="6">
        <v>65</v>
      </c>
      <c r="G98" s="6">
        <v>10</v>
      </c>
      <c r="H98" s="6">
        <f t="shared" si="5"/>
        <v>75</v>
      </c>
      <c r="I98" s="6" t="str">
        <f t="shared" si="6"/>
        <v>PASS</v>
      </c>
      <c r="J98" s="6" t="str">
        <f t="shared" si="7"/>
        <v>1</v>
      </c>
    </row>
    <row r="99" spans="4:10" x14ac:dyDescent="0.35">
      <c r="D99" s="6">
        <f>'SUB-1'!D98</f>
        <v>84</v>
      </c>
      <c r="E99" s="6" t="str">
        <f>'SUB-1'!E98</f>
        <v>BTMC24O1084</v>
      </c>
      <c r="F99" s="6">
        <v>36</v>
      </c>
      <c r="G99" s="6">
        <v>28</v>
      </c>
      <c r="H99" s="6">
        <f t="shared" si="5"/>
        <v>64</v>
      </c>
      <c r="I99" s="6" t="str">
        <f t="shared" si="6"/>
        <v>PASS</v>
      </c>
      <c r="J99" s="6" t="str">
        <f t="shared" si="7"/>
        <v>1</v>
      </c>
    </row>
    <row r="100" spans="4:10" x14ac:dyDescent="0.35">
      <c r="D100" s="6">
        <f>'SUB-1'!D99</f>
        <v>85</v>
      </c>
      <c r="E100" s="6" t="str">
        <f>'SUB-1'!E99</f>
        <v>BTMC24O1085</v>
      </c>
      <c r="F100" s="6">
        <v>25</v>
      </c>
      <c r="G100" s="6">
        <v>11</v>
      </c>
      <c r="H100" s="6">
        <f t="shared" si="5"/>
        <v>36</v>
      </c>
      <c r="I100" s="6" t="str">
        <f t="shared" si="6"/>
        <v>PASS</v>
      </c>
      <c r="J100" s="6" t="str">
        <f t="shared" si="7"/>
        <v>1</v>
      </c>
    </row>
    <row r="101" spans="4:10" x14ac:dyDescent="0.35">
      <c r="D101" s="6">
        <f>'SUB-1'!D100</f>
        <v>86</v>
      </c>
      <c r="E101" s="6" t="str">
        <f>'SUB-1'!E100</f>
        <v>BTMC24O1086</v>
      </c>
      <c r="F101" s="6">
        <v>30</v>
      </c>
      <c r="G101" s="6">
        <v>17</v>
      </c>
      <c r="H101" s="6">
        <f t="shared" ref="H101:H115" si="8">F101+G101</f>
        <v>47</v>
      </c>
      <c r="I101" s="6" t="str">
        <f t="shared" ref="I101:I115" si="9">IF(H101&lt;35,"FAIL","PASS")</f>
        <v>PASS</v>
      </c>
      <c r="J101" s="6" t="str">
        <f t="shared" ref="J101:J115" si="10">IF(H101&lt;35,"0","1")</f>
        <v>1</v>
      </c>
    </row>
    <row r="102" spans="4:10" x14ac:dyDescent="0.35">
      <c r="D102" s="6">
        <f>'SUB-1'!D101</f>
        <v>87</v>
      </c>
      <c r="E102" s="6" t="str">
        <f>'SUB-1'!E101</f>
        <v>BTMC24O1087</v>
      </c>
      <c r="F102" s="6">
        <v>70</v>
      </c>
      <c r="G102" s="6">
        <v>23</v>
      </c>
      <c r="H102" s="6">
        <f t="shared" si="8"/>
        <v>93</v>
      </c>
      <c r="I102" s="6" t="str">
        <f t="shared" si="9"/>
        <v>PASS</v>
      </c>
      <c r="J102" s="6" t="str">
        <f t="shared" si="10"/>
        <v>1</v>
      </c>
    </row>
    <row r="103" spans="4:10" x14ac:dyDescent="0.35">
      <c r="D103" s="6">
        <f>'SUB-1'!D102</f>
        <v>88</v>
      </c>
      <c r="E103" s="6" t="str">
        <f>'SUB-1'!E102</f>
        <v>BTMC24O1088</v>
      </c>
      <c r="F103" s="6">
        <v>66</v>
      </c>
      <c r="G103" s="6">
        <v>21</v>
      </c>
      <c r="H103" s="6">
        <f t="shared" si="8"/>
        <v>87</v>
      </c>
      <c r="I103" s="6" t="str">
        <f t="shared" si="9"/>
        <v>PASS</v>
      </c>
      <c r="J103" s="6" t="str">
        <f t="shared" si="10"/>
        <v>1</v>
      </c>
    </row>
    <row r="104" spans="4:10" x14ac:dyDescent="0.35">
      <c r="D104" s="6">
        <f>'SUB-1'!D103</f>
        <v>89</v>
      </c>
      <c r="E104" s="6" t="str">
        <f>'SUB-1'!E103</f>
        <v>BTMC24O1089</v>
      </c>
      <c r="F104" s="6">
        <v>42</v>
      </c>
      <c r="G104" s="6">
        <v>10</v>
      </c>
      <c r="H104" s="6">
        <f t="shared" si="8"/>
        <v>52</v>
      </c>
      <c r="I104" s="6" t="str">
        <f t="shared" si="9"/>
        <v>PASS</v>
      </c>
      <c r="J104" s="6" t="str">
        <f t="shared" si="10"/>
        <v>1</v>
      </c>
    </row>
    <row r="105" spans="4:10" x14ac:dyDescent="0.35">
      <c r="D105" s="6">
        <f>'SUB-1'!D104</f>
        <v>90</v>
      </c>
      <c r="E105" s="6" t="str">
        <f>'SUB-1'!E104</f>
        <v>BTMC24O1090</v>
      </c>
      <c r="F105" s="6">
        <v>44</v>
      </c>
      <c r="G105" s="6">
        <v>23</v>
      </c>
      <c r="H105" s="6">
        <f t="shared" si="8"/>
        <v>67</v>
      </c>
      <c r="I105" s="6" t="str">
        <f t="shared" si="9"/>
        <v>PASS</v>
      </c>
      <c r="J105" s="6" t="str">
        <f t="shared" si="10"/>
        <v>1</v>
      </c>
    </row>
    <row r="106" spans="4:10" x14ac:dyDescent="0.35">
      <c r="D106" s="6">
        <f>'SUB-1'!D105</f>
        <v>91</v>
      </c>
      <c r="E106" s="6" t="str">
        <f>'SUB-1'!E105</f>
        <v>BTMC24O1091</v>
      </c>
      <c r="F106" s="6">
        <v>43</v>
      </c>
      <c r="G106" s="6">
        <v>5</v>
      </c>
      <c r="H106" s="6">
        <f t="shared" si="8"/>
        <v>48</v>
      </c>
      <c r="I106" s="6" t="str">
        <f t="shared" si="9"/>
        <v>PASS</v>
      </c>
      <c r="J106" s="6" t="str">
        <f t="shared" si="10"/>
        <v>1</v>
      </c>
    </row>
    <row r="107" spans="4:10" x14ac:dyDescent="0.35">
      <c r="D107" s="6">
        <f>'SUB-1'!D106</f>
        <v>92</v>
      </c>
      <c r="E107" s="6" t="str">
        <f>'SUB-1'!E106</f>
        <v>BTMC24O1092</v>
      </c>
      <c r="F107" s="6">
        <v>57</v>
      </c>
      <c r="G107" s="6">
        <v>0</v>
      </c>
      <c r="H107" s="6">
        <f t="shared" si="8"/>
        <v>57</v>
      </c>
      <c r="I107" s="6" t="str">
        <f t="shared" si="9"/>
        <v>PASS</v>
      </c>
      <c r="J107" s="6" t="str">
        <f t="shared" si="10"/>
        <v>1</v>
      </c>
    </row>
    <row r="108" spans="4:10" x14ac:dyDescent="0.35">
      <c r="D108" s="6">
        <f>'SUB-1'!D107</f>
        <v>93</v>
      </c>
      <c r="E108" s="6" t="str">
        <f>'SUB-1'!E107</f>
        <v>BTMC24O1093</v>
      </c>
      <c r="F108" s="6">
        <v>52</v>
      </c>
      <c r="G108" s="6">
        <v>22</v>
      </c>
      <c r="H108" s="6">
        <f t="shared" si="8"/>
        <v>74</v>
      </c>
      <c r="I108" s="6" t="str">
        <f t="shared" si="9"/>
        <v>PASS</v>
      </c>
      <c r="J108" s="6" t="str">
        <f t="shared" si="10"/>
        <v>1</v>
      </c>
    </row>
    <row r="109" spans="4:10" x14ac:dyDescent="0.35">
      <c r="D109" s="6">
        <f>'SUB-1'!D108</f>
        <v>94</v>
      </c>
      <c r="E109" s="6" t="str">
        <f>'SUB-1'!E108</f>
        <v>BTMC24O1094</v>
      </c>
      <c r="F109" s="6">
        <v>69</v>
      </c>
      <c r="G109" s="6">
        <v>14</v>
      </c>
      <c r="H109" s="6">
        <f t="shared" si="8"/>
        <v>83</v>
      </c>
      <c r="I109" s="6" t="str">
        <f t="shared" si="9"/>
        <v>PASS</v>
      </c>
      <c r="J109" s="6" t="str">
        <f t="shared" si="10"/>
        <v>1</v>
      </c>
    </row>
    <row r="110" spans="4:10" x14ac:dyDescent="0.35">
      <c r="D110" s="6">
        <f>'SUB-1'!D109</f>
        <v>95</v>
      </c>
      <c r="E110" s="6" t="str">
        <f>'SUB-1'!E109</f>
        <v>BTMC24O1095</v>
      </c>
      <c r="F110" s="6">
        <v>51</v>
      </c>
      <c r="G110" s="6">
        <v>4</v>
      </c>
      <c r="H110" s="6">
        <f t="shared" si="8"/>
        <v>55</v>
      </c>
      <c r="I110" s="6" t="str">
        <f t="shared" si="9"/>
        <v>PASS</v>
      </c>
      <c r="J110" s="6" t="str">
        <f t="shared" si="10"/>
        <v>1</v>
      </c>
    </row>
    <row r="111" spans="4:10" x14ac:dyDescent="0.35">
      <c r="D111" s="6">
        <f>'SUB-1'!D110</f>
        <v>96</v>
      </c>
      <c r="E111" s="6" t="str">
        <f>'SUB-1'!E110</f>
        <v>BTMC24O1096</v>
      </c>
      <c r="F111" s="6">
        <v>34</v>
      </c>
      <c r="G111" s="6">
        <v>1</v>
      </c>
      <c r="H111" s="6">
        <f t="shared" si="8"/>
        <v>35</v>
      </c>
      <c r="I111" s="6" t="str">
        <f t="shared" si="9"/>
        <v>PASS</v>
      </c>
      <c r="J111" s="6" t="str">
        <f t="shared" si="10"/>
        <v>1</v>
      </c>
    </row>
    <row r="112" spans="4:10" x14ac:dyDescent="0.35">
      <c r="D112" s="6">
        <f>'SUB-1'!D111</f>
        <v>97</v>
      </c>
      <c r="E112" s="6" t="str">
        <f>'SUB-1'!E111</f>
        <v>BTMC24O1097</v>
      </c>
      <c r="F112" s="6">
        <v>39</v>
      </c>
      <c r="G112" s="6">
        <v>17</v>
      </c>
      <c r="H112" s="6">
        <f t="shared" si="8"/>
        <v>56</v>
      </c>
      <c r="I112" s="6" t="str">
        <f t="shared" si="9"/>
        <v>PASS</v>
      </c>
      <c r="J112" s="6" t="str">
        <f t="shared" si="10"/>
        <v>1</v>
      </c>
    </row>
    <row r="113" spans="4:10" x14ac:dyDescent="0.35">
      <c r="D113" s="6">
        <f>'SUB-1'!D112</f>
        <v>98</v>
      </c>
      <c r="E113" s="6" t="str">
        <f>'SUB-1'!E112</f>
        <v>BTMC24O1098</v>
      </c>
      <c r="F113" s="6">
        <v>7</v>
      </c>
      <c r="G113" s="6">
        <v>6</v>
      </c>
      <c r="H113" s="6">
        <f t="shared" si="8"/>
        <v>13</v>
      </c>
      <c r="I113" s="6" t="str">
        <f t="shared" si="9"/>
        <v>FAIL</v>
      </c>
      <c r="J113" s="6" t="str">
        <f t="shared" si="10"/>
        <v>0</v>
      </c>
    </row>
    <row r="114" spans="4:10" x14ac:dyDescent="0.35">
      <c r="D114" s="6">
        <f>'SUB-1'!D113</f>
        <v>99</v>
      </c>
      <c r="E114" s="6" t="str">
        <f>'SUB-1'!E113</f>
        <v>BTMC24O1099</v>
      </c>
      <c r="F114" s="6">
        <v>3</v>
      </c>
      <c r="G114" s="6">
        <v>9</v>
      </c>
      <c r="H114" s="6">
        <f t="shared" si="8"/>
        <v>12</v>
      </c>
      <c r="I114" s="6" t="str">
        <f t="shared" si="9"/>
        <v>FAIL</v>
      </c>
      <c r="J114" s="6" t="str">
        <f t="shared" si="10"/>
        <v>0</v>
      </c>
    </row>
    <row r="115" spans="4:10" x14ac:dyDescent="0.35">
      <c r="D115" s="6">
        <f>'SUB-1'!D114</f>
        <v>100</v>
      </c>
      <c r="E115" s="6" t="str">
        <f>'SUB-1'!E114</f>
        <v>BTMC24O1100</v>
      </c>
      <c r="F115" s="6">
        <v>20</v>
      </c>
      <c r="G115" s="6">
        <v>19</v>
      </c>
      <c r="H115" s="6">
        <f t="shared" si="8"/>
        <v>39</v>
      </c>
      <c r="I115" s="6" t="str">
        <f t="shared" si="9"/>
        <v>PASS</v>
      </c>
      <c r="J115" s="6" t="str">
        <f t="shared" si="10"/>
        <v>1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6:M16"/>
  </mergeCells>
  <conditionalFormatting sqref="I16:I115">
    <cfRule type="containsText" dxfId="6" priority="1" operator="containsText" text="FAIL">
      <formula>NOT(ISERROR(SEARCH("FAIL",I16)))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8E7A9-66D1-4EEE-B012-90A5000E493A}">
  <sheetPr codeName="Sheet8"/>
  <dimension ref="C1:Q115"/>
  <sheetViews>
    <sheetView topLeftCell="E10" zoomScale="90" zoomScaleNormal="90" workbookViewId="0">
      <selection activeCell="K30" sqref="K30"/>
    </sheetView>
  </sheetViews>
  <sheetFormatPr defaultRowHeight="14.5" x14ac:dyDescent="0.35"/>
  <cols>
    <col min="4" max="4" width="6.54296875" customWidth="1"/>
    <col min="5" max="5" width="16.7265625" customWidth="1"/>
    <col min="6" max="6" width="21.5429687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120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119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s="11" customFormat="1" ht="23" x14ac:dyDescent="0.6">
      <c r="C5" s="34"/>
      <c r="D5" s="164" t="s">
        <v>113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ht="22" x14ac:dyDescent="0.6">
      <c r="C7" s="35"/>
      <c r="D7" s="35"/>
      <c r="E7" s="35"/>
      <c r="F7" s="35"/>
      <c r="G7" s="164" t="s">
        <v>124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17" ht="21" x14ac:dyDescent="0.5">
      <c r="C8" s="35"/>
      <c r="D8" s="160" t="s">
        <v>123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ht="21" x14ac:dyDescent="0.5">
      <c r="C9" s="7"/>
      <c r="D9" s="160" t="s">
        <v>125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>
        <v>25241107</v>
      </c>
      <c r="F11" s="32" t="s">
        <v>59</v>
      </c>
      <c r="G11" s="32" t="s">
        <v>62</v>
      </c>
      <c r="L11" s="7"/>
      <c r="M11" s="7"/>
      <c r="N11" s="7"/>
    </row>
    <row r="12" spans="3:17" x14ac:dyDescent="0.35">
      <c r="D12" s="29" t="s">
        <v>42</v>
      </c>
      <c r="E12" s="29" t="s">
        <v>43</v>
      </c>
      <c r="F12" s="29" t="s">
        <v>60</v>
      </c>
      <c r="G12" s="29" t="s">
        <v>49</v>
      </c>
      <c r="H12" s="29" t="s">
        <v>50</v>
      </c>
      <c r="I12" s="29" t="s">
        <v>52</v>
      </c>
      <c r="J12" s="29" t="s">
        <v>51</v>
      </c>
      <c r="L12" s="7"/>
      <c r="M12" s="7"/>
      <c r="N12" s="7"/>
    </row>
    <row r="13" spans="3:17" x14ac:dyDescent="0.35">
      <c r="D13" s="6"/>
      <c r="E13" s="6"/>
      <c r="F13" s="29" t="s">
        <v>61</v>
      </c>
      <c r="G13" s="6"/>
      <c r="H13" s="6"/>
      <c r="I13" s="6"/>
      <c r="J13" s="6"/>
      <c r="L13" s="7"/>
      <c r="M13" s="7"/>
      <c r="N13" s="7"/>
    </row>
    <row r="14" spans="3:17" x14ac:dyDescent="0.35">
      <c r="D14" s="6"/>
      <c r="E14" s="6"/>
      <c r="F14" s="33">
        <v>70</v>
      </c>
      <c r="G14" s="33">
        <v>30</v>
      </c>
      <c r="H14" s="33">
        <v>100</v>
      </c>
      <c r="I14" s="33" t="s">
        <v>53</v>
      </c>
      <c r="J14" s="33">
        <v>1</v>
      </c>
      <c r="L14" s="7"/>
      <c r="M14" s="7"/>
      <c r="N14" s="7"/>
    </row>
    <row r="15" spans="3:17" x14ac:dyDescent="0.35">
      <c r="D15" s="6"/>
      <c r="E15" s="6"/>
      <c r="F15" s="6"/>
      <c r="G15" s="6"/>
      <c r="H15" s="6"/>
      <c r="I15" s="6"/>
      <c r="J15" s="6"/>
      <c r="L15" s="214" t="s">
        <v>660</v>
      </c>
      <c r="M15" s="214"/>
      <c r="N15" s="212"/>
      <c r="O15" s="212"/>
    </row>
    <row r="16" spans="3:17" x14ac:dyDescent="0.35">
      <c r="D16" s="6">
        <v>1</v>
      </c>
      <c r="E16" s="6" t="s">
        <v>140</v>
      </c>
      <c r="F16" s="6">
        <v>58</v>
      </c>
      <c r="G16" s="6">
        <v>9</v>
      </c>
      <c r="H16" s="6">
        <f>F16+G16</f>
        <v>67</v>
      </c>
      <c r="I16" s="6" t="str">
        <f>IF(H16&lt;35,"FAIL","PASS")</f>
        <v>PASS</v>
      </c>
      <c r="J16" s="6" t="str">
        <f>IF(H16&lt;35,"0","1")</f>
        <v>1</v>
      </c>
      <c r="L16" s="215" t="s">
        <v>668</v>
      </c>
      <c r="M16" s="212">
        <f>COUNTIF(I16:I115,I16)</f>
        <v>70</v>
      </c>
      <c r="N16" s="215"/>
      <c r="O16" s="215"/>
    </row>
    <row r="17" spans="4:15" x14ac:dyDescent="0.35">
      <c r="D17" s="6">
        <v>2</v>
      </c>
      <c r="E17" s="6" t="s">
        <v>147</v>
      </c>
      <c r="F17" s="6">
        <v>69</v>
      </c>
      <c r="G17" s="6">
        <v>8</v>
      </c>
      <c r="H17" s="6">
        <f t="shared" ref="H17:H35" si="0">F17+G17</f>
        <v>77</v>
      </c>
      <c r="I17" s="6" t="str">
        <f t="shared" ref="I17:I35" si="1">IF(H17&lt;35,"FAIL","PASS")</f>
        <v>PASS</v>
      </c>
      <c r="J17" s="6" t="str">
        <f t="shared" ref="J17:J35" si="2">IF(H17&lt;35,"0","1")</f>
        <v>1</v>
      </c>
      <c r="L17" s="215" t="s">
        <v>667</v>
      </c>
      <c r="M17" s="212">
        <f>COUNTIF(I16:I115,I18)</f>
        <v>30</v>
      </c>
      <c r="N17" s="212"/>
      <c r="O17" s="212"/>
    </row>
    <row r="18" spans="4:15" x14ac:dyDescent="0.35">
      <c r="D18" s="6">
        <v>3</v>
      </c>
      <c r="E18" s="6" t="s">
        <v>152</v>
      </c>
      <c r="F18" s="6">
        <v>14</v>
      </c>
      <c r="G18" s="6">
        <v>20</v>
      </c>
      <c r="H18" s="6">
        <f t="shared" si="0"/>
        <v>34</v>
      </c>
      <c r="I18" s="6" t="str">
        <f t="shared" si="1"/>
        <v>FAIL</v>
      </c>
      <c r="J18" s="6" t="str">
        <f t="shared" si="2"/>
        <v>0</v>
      </c>
      <c r="L18" s="212"/>
      <c r="M18" s="212"/>
      <c r="N18" s="212"/>
      <c r="O18" s="212"/>
    </row>
    <row r="19" spans="4:15" x14ac:dyDescent="0.35">
      <c r="D19" s="6">
        <v>4</v>
      </c>
      <c r="E19" s="6" t="s">
        <v>157</v>
      </c>
      <c r="F19" s="6">
        <v>18</v>
      </c>
      <c r="G19" s="6">
        <v>17</v>
      </c>
      <c r="H19" s="6">
        <f t="shared" si="0"/>
        <v>35</v>
      </c>
      <c r="I19" s="6" t="str">
        <f t="shared" si="1"/>
        <v>PASS</v>
      </c>
      <c r="J19" s="6" t="str">
        <f t="shared" si="2"/>
        <v>1</v>
      </c>
      <c r="M19" s="215"/>
      <c r="N19" s="215"/>
      <c r="O19" s="215"/>
    </row>
    <row r="20" spans="4:15" x14ac:dyDescent="0.35">
      <c r="D20" s="6">
        <v>5</v>
      </c>
      <c r="E20" s="6" t="s">
        <v>162</v>
      </c>
      <c r="F20" s="6">
        <v>27</v>
      </c>
      <c r="G20" s="6">
        <v>11</v>
      </c>
      <c r="H20" s="6">
        <f t="shared" si="0"/>
        <v>38</v>
      </c>
      <c r="I20" s="6" t="str">
        <f t="shared" si="1"/>
        <v>PASS</v>
      </c>
      <c r="J20" s="6" t="str">
        <f t="shared" si="2"/>
        <v>1</v>
      </c>
      <c r="M20" s="212"/>
      <c r="N20" s="212"/>
      <c r="O20" s="212"/>
    </row>
    <row r="21" spans="4:15" x14ac:dyDescent="0.35">
      <c r="D21" s="6">
        <v>6</v>
      </c>
      <c r="E21" s="6" t="s">
        <v>167</v>
      </c>
      <c r="F21" s="6">
        <v>58</v>
      </c>
      <c r="G21" s="6">
        <v>0</v>
      </c>
      <c r="H21" s="6">
        <f t="shared" si="0"/>
        <v>58</v>
      </c>
      <c r="I21" s="6" t="str">
        <f t="shared" si="1"/>
        <v>PASS</v>
      </c>
      <c r="J21" s="6" t="str">
        <f t="shared" si="2"/>
        <v>1</v>
      </c>
      <c r="L21" s="7"/>
      <c r="M21" s="7"/>
      <c r="N21" s="7"/>
    </row>
    <row r="22" spans="4:15" x14ac:dyDescent="0.35">
      <c r="D22" s="6">
        <v>7</v>
      </c>
      <c r="E22" s="6" t="s">
        <v>565</v>
      </c>
      <c r="F22" s="6">
        <v>60</v>
      </c>
      <c r="G22" s="6">
        <v>17</v>
      </c>
      <c r="H22" s="6">
        <f t="shared" si="0"/>
        <v>77</v>
      </c>
      <c r="I22" s="6" t="str">
        <f t="shared" si="1"/>
        <v>PASS</v>
      </c>
      <c r="J22" s="6" t="str">
        <f t="shared" si="2"/>
        <v>1</v>
      </c>
      <c r="L22" s="7"/>
      <c r="M22" s="7"/>
      <c r="N22" s="7"/>
    </row>
    <row r="23" spans="4:15" x14ac:dyDescent="0.35">
      <c r="D23" s="6">
        <v>8</v>
      </c>
      <c r="E23" s="6" t="s">
        <v>566</v>
      </c>
      <c r="F23" s="6">
        <v>5</v>
      </c>
      <c r="G23" s="6">
        <v>19</v>
      </c>
      <c r="H23" s="6">
        <f t="shared" si="0"/>
        <v>24</v>
      </c>
      <c r="I23" s="6" t="str">
        <f t="shared" si="1"/>
        <v>FAIL</v>
      </c>
      <c r="J23" s="6" t="str">
        <f t="shared" si="2"/>
        <v>0</v>
      </c>
      <c r="L23" s="7"/>
      <c r="M23" s="7"/>
      <c r="N23" s="7"/>
    </row>
    <row r="24" spans="4:15" x14ac:dyDescent="0.35">
      <c r="D24" s="6">
        <v>9</v>
      </c>
      <c r="E24" s="6" t="s">
        <v>176</v>
      </c>
      <c r="F24" s="6">
        <v>25</v>
      </c>
      <c r="G24" s="6">
        <v>7</v>
      </c>
      <c r="H24" s="6">
        <f t="shared" si="0"/>
        <v>32</v>
      </c>
      <c r="I24" s="6" t="str">
        <f t="shared" si="1"/>
        <v>FAIL</v>
      </c>
      <c r="J24" s="6" t="str">
        <f t="shared" si="2"/>
        <v>0</v>
      </c>
      <c r="L24" s="7"/>
      <c r="M24" s="7"/>
      <c r="N24" s="7"/>
    </row>
    <row r="25" spans="4:15" x14ac:dyDescent="0.35">
      <c r="D25" s="6">
        <v>10</v>
      </c>
      <c r="E25" s="6" t="s">
        <v>181</v>
      </c>
      <c r="F25" s="6">
        <v>67</v>
      </c>
      <c r="G25" s="6">
        <v>25</v>
      </c>
      <c r="H25" s="6">
        <f t="shared" si="0"/>
        <v>92</v>
      </c>
      <c r="I25" s="6" t="str">
        <f t="shared" si="1"/>
        <v>PASS</v>
      </c>
      <c r="J25" s="6" t="str">
        <f t="shared" si="2"/>
        <v>1</v>
      </c>
      <c r="L25" s="7"/>
      <c r="M25" s="7"/>
      <c r="N25" s="7"/>
    </row>
    <row r="26" spans="4:15" x14ac:dyDescent="0.35">
      <c r="D26" s="6">
        <v>11</v>
      </c>
      <c r="E26" s="6" t="s">
        <v>186</v>
      </c>
      <c r="F26" s="6">
        <v>57</v>
      </c>
      <c r="G26" s="6">
        <v>28</v>
      </c>
      <c r="H26" s="6">
        <f t="shared" si="0"/>
        <v>85</v>
      </c>
      <c r="I26" s="6" t="str">
        <f t="shared" si="1"/>
        <v>PASS</v>
      </c>
      <c r="J26" s="6" t="str">
        <f t="shared" si="2"/>
        <v>1</v>
      </c>
      <c r="L26" s="7"/>
      <c r="M26" s="7"/>
      <c r="N26" s="7"/>
    </row>
    <row r="27" spans="4:15" x14ac:dyDescent="0.35">
      <c r="D27" s="6">
        <v>12</v>
      </c>
      <c r="E27" s="6" t="s">
        <v>191</v>
      </c>
      <c r="F27" s="6">
        <v>1</v>
      </c>
      <c r="G27" s="6">
        <v>1</v>
      </c>
      <c r="H27" s="6">
        <f t="shared" si="0"/>
        <v>2</v>
      </c>
      <c r="I27" s="6" t="str">
        <f t="shared" si="1"/>
        <v>FAIL</v>
      </c>
      <c r="J27" s="6" t="str">
        <f t="shared" si="2"/>
        <v>0</v>
      </c>
      <c r="L27" s="7"/>
      <c r="M27" s="7"/>
      <c r="N27" s="7"/>
    </row>
    <row r="28" spans="4:15" x14ac:dyDescent="0.35">
      <c r="D28" s="6">
        <v>13</v>
      </c>
      <c r="E28" s="6" t="s">
        <v>196</v>
      </c>
      <c r="F28" s="6">
        <v>34</v>
      </c>
      <c r="G28" s="6">
        <v>8</v>
      </c>
      <c r="H28" s="6">
        <f t="shared" si="0"/>
        <v>42</v>
      </c>
      <c r="I28" s="6" t="str">
        <f t="shared" si="1"/>
        <v>PASS</v>
      </c>
      <c r="J28" s="6" t="str">
        <f t="shared" si="2"/>
        <v>1</v>
      </c>
      <c r="L28" s="7"/>
      <c r="M28" s="7"/>
      <c r="N28" s="7"/>
    </row>
    <row r="29" spans="4:15" x14ac:dyDescent="0.35">
      <c r="D29" s="6">
        <v>14</v>
      </c>
      <c r="E29" s="6" t="s">
        <v>567</v>
      </c>
      <c r="F29" s="6">
        <v>0</v>
      </c>
      <c r="G29" s="6">
        <v>6</v>
      </c>
      <c r="H29" s="6">
        <f t="shared" si="0"/>
        <v>6</v>
      </c>
      <c r="I29" s="6" t="str">
        <f t="shared" si="1"/>
        <v>FAIL</v>
      </c>
      <c r="J29" s="6" t="str">
        <f t="shared" si="2"/>
        <v>0</v>
      </c>
      <c r="L29" s="7"/>
      <c r="M29" s="7"/>
      <c r="N29" s="7"/>
    </row>
    <row r="30" spans="4:15" x14ac:dyDescent="0.35">
      <c r="D30" s="6">
        <v>15</v>
      </c>
      <c r="E30" s="6" t="s">
        <v>568</v>
      </c>
      <c r="F30" s="6">
        <v>66</v>
      </c>
      <c r="G30" s="6">
        <v>18</v>
      </c>
      <c r="H30" s="6">
        <f t="shared" si="0"/>
        <v>84</v>
      </c>
      <c r="I30" s="6" t="str">
        <f t="shared" si="1"/>
        <v>PASS</v>
      </c>
      <c r="J30" s="6" t="str">
        <f t="shared" si="2"/>
        <v>1</v>
      </c>
      <c r="L30" s="7"/>
      <c r="M30" s="7"/>
      <c r="N30" s="7"/>
    </row>
    <row r="31" spans="4:15" x14ac:dyDescent="0.35">
      <c r="D31" s="6">
        <v>16</v>
      </c>
      <c r="E31" s="6" t="s">
        <v>204</v>
      </c>
      <c r="F31" s="6">
        <v>30</v>
      </c>
      <c r="G31" s="6">
        <v>27</v>
      </c>
      <c r="H31" s="6">
        <f t="shared" si="0"/>
        <v>57</v>
      </c>
      <c r="I31" s="6" t="str">
        <f t="shared" si="1"/>
        <v>PASS</v>
      </c>
      <c r="J31" s="6" t="str">
        <f t="shared" si="2"/>
        <v>1</v>
      </c>
      <c r="L31" s="7"/>
      <c r="M31" s="7"/>
      <c r="N31" s="7"/>
    </row>
    <row r="32" spans="4:15" x14ac:dyDescent="0.35">
      <c r="D32" s="6">
        <v>17</v>
      </c>
      <c r="E32" s="6" t="s">
        <v>209</v>
      </c>
      <c r="F32" s="6">
        <v>69</v>
      </c>
      <c r="G32" s="6">
        <v>5</v>
      </c>
      <c r="H32" s="6">
        <f t="shared" si="0"/>
        <v>74</v>
      </c>
      <c r="I32" s="6" t="str">
        <f t="shared" si="1"/>
        <v>PASS</v>
      </c>
      <c r="J32" s="6" t="str">
        <f t="shared" si="2"/>
        <v>1</v>
      </c>
      <c r="L32" s="7"/>
      <c r="M32" s="7"/>
      <c r="N32" s="7"/>
    </row>
    <row r="33" spans="4:14" x14ac:dyDescent="0.35">
      <c r="D33" s="6">
        <v>18</v>
      </c>
      <c r="E33" s="6" t="s">
        <v>214</v>
      </c>
      <c r="F33" s="6">
        <v>53</v>
      </c>
      <c r="G33" s="6">
        <v>24</v>
      </c>
      <c r="H33" s="6">
        <f t="shared" si="0"/>
        <v>77</v>
      </c>
      <c r="I33" s="6" t="str">
        <f t="shared" si="1"/>
        <v>PASS</v>
      </c>
      <c r="J33" s="6" t="str">
        <f t="shared" si="2"/>
        <v>1</v>
      </c>
      <c r="L33" s="7"/>
      <c r="M33" s="7"/>
      <c r="N33" s="7"/>
    </row>
    <row r="34" spans="4:14" x14ac:dyDescent="0.35">
      <c r="D34" s="6">
        <v>19</v>
      </c>
      <c r="E34" s="6" t="s">
        <v>219</v>
      </c>
      <c r="F34" s="6">
        <v>15</v>
      </c>
      <c r="G34" s="6">
        <v>0</v>
      </c>
      <c r="H34" s="6">
        <f t="shared" si="0"/>
        <v>15</v>
      </c>
      <c r="I34" s="6" t="str">
        <f t="shared" si="1"/>
        <v>FAIL</v>
      </c>
      <c r="J34" s="6" t="str">
        <f t="shared" si="2"/>
        <v>0</v>
      </c>
      <c r="L34" s="7"/>
      <c r="M34" s="7"/>
      <c r="N34" s="7"/>
    </row>
    <row r="35" spans="4:14" x14ac:dyDescent="0.35">
      <c r="D35" s="6">
        <v>20</v>
      </c>
      <c r="E35" s="6" t="s">
        <v>224</v>
      </c>
      <c r="F35" s="6">
        <v>7</v>
      </c>
      <c r="G35" s="6">
        <v>18</v>
      </c>
      <c r="H35" s="6">
        <f t="shared" si="0"/>
        <v>25</v>
      </c>
      <c r="I35" s="6" t="str">
        <f t="shared" si="1"/>
        <v>FAIL</v>
      </c>
      <c r="J35" s="6" t="str">
        <f t="shared" si="2"/>
        <v>0</v>
      </c>
      <c r="L35" s="7"/>
      <c r="M35" s="7"/>
      <c r="N35" s="7"/>
    </row>
    <row r="36" spans="4:14" x14ac:dyDescent="0.35">
      <c r="D36" s="6">
        <f>'SUB-1'!D35</f>
        <v>21</v>
      </c>
      <c r="E36" s="6" t="str">
        <f>'SUB-1'!E35</f>
        <v>BTMC24O1021</v>
      </c>
      <c r="F36" s="6">
        <v>67</v>
      </c>
      <c r="G36" s="6">
        <v>23</v>
      </c>
      <c r="H36" s="6">
        <f t="shared" ref="H36" si="3">F36+G36</f>
        <v>90</v>
      </c>
      <c r="I36" s="6" t="str">
        <f t="shared" ref="I36" si="4">IF(H36&lt;35,"FAIL","PASS")</f>
        <v>PASS</v>
      </c>
      <c r="J36" s="6" t="str">
        <f t="shared" ref="J36" si="5">IF(H36&lt;35,"0","1")</f>
        <v>1</v>
      </c>
    </row>
    <row r="37" spans="4:14" x14ac:dyDescent="0.35">
      <c r="D37" s="6">
        <f>'SUB-1'!D36</f>
        <v>22</v>
      </c>
      <c r="E37" s="6" t="str">
        <f>'SUB-1'!E36</f>
        <v>BTMC24O1022</v>
      </c>
      <c r="F37" s="6">
        <v>61</v>
      </c>
      <c r="G37" s="6">
        <v>26</v>
      </c>
      <c r="H37" s="6">
        <f t="shared" ref="H37:H100" si="6">F37+G37</f>
        <v>87</v>
      </c>
      <c r="I37" s="6" t="str">
        <f t="shared" ref="I37:I100" si="7">IF(H37&lt;35,"FAIL","PASS")</f>
        <v>PASS</v>
      </c>
      <c r="J37" s="6" t="str">
        <f t="shared" ref="J37:J100" si="8">IF(H37&lt;35,"0","1")</f>
        <v>1</v>
      </c>
    </row>
    <row r="38" spans="4:14" x14ac:dyDescent="0.35">
      <c r="D38" s="6">
        <f>'SUB-1'!D37</f>
        <v>23</v>
      </c>
      <c r="E38" s="6" t="str">
        <f>'SUB-1'!E37</f>
        <v>BTMC24O1023</v>
      </c>
      <c r="F38" s="6">
        <v>56</v>
      </c>
      <c r="G38" s="6">
        <v>16</v>
      </c>
      <c r="H38" s="6">
        <f t="shared" si="6"/>
        <v>72</v>
      </c>
      <c r="I38" s="6" t="str">
        <f t="shared" si="7"/>
        <v>PASS</v>
      </c>
      <c r="J38" s="6" t="str">
        <f t="shared" si="8"/>
        <v>1</v>
      </c>
    </row>
    <row r="39" spans="4:14" x14ac:dyDescent="0.35">
      <c r="D39" s="6">
        <f>'SUB-1'!D38</f>
        <v>24</v>
      </c>
      <c r="E39" s="6" t="str">
        <f>'SUB-1'!E38</f>
        <v>BTMC24O1024</v>
      </c>
      <c r="F39" s="6">
        <v>43</v>
      </c>
      <c r="G39" s="6">
        <v>12</v>
      </c>
      <c r="H39" s="6">
        <f t="shared" si="6"/>
        <v>55</v>
      </c>
      <c r="I39" s="6" t="str">
        <f t="shared" si="7"/>
        <v>PASS</v>
      </c>
      <c r="J39" s="6" t="str">
        <f t="shared" si="8"/>
        <v>1</v>
      </c>
    </row>
    <row r="40" spans="4:14" x14ac:dyDescent="0.35">
      <c r="D40" s="6">
        <f>'SUB-1'!D39</f>
        <v>25</v>
      </c>
      <c r="E40" s="6" t="str">
        <f>'SUB-1'!E39</f>
        <v>BTMC24O1025</v>
      </c>
      <c r="F40" s="6">
        <v>54</v>
      </c>
      <c r="G40" s="6">
        <v>29</v>
      </c>
      <c r="H40" s="6">
        <f t="shared" si="6"/>
        <v>83</v>
      </c>
      <c r="I40" s="6" t="str">
        <f t="shared" si="7"/>
        <v>PASS</v>
      </c>
      <c r="J40" s="6" t="str">
        <f t="shared" si="8"/>
        <v>1</v>
      </c>
    </row>
    <row r="41" spans="4:14" x14ac:dyDescent="0.35">
      <c r="D41" s="6">
        <f>'SUB-1'!D40</f>
        <v>26</v>
      </c>
      <c r="E41" s="6" t="str">
        <f>'SUB-1'!E40</f>
        <v>BTMC24O1026</v>
      </c>
      <c r="F41" s="6">
        <v>13</v>
      </c>
      <c r="G41" s="6">
        <v>26</v>
      </c>
      <c r="H41" s="6">
        <f t="shared" si="6"/>
        <v>39</v>
      </c>
      <c r="I41" s="6" t="str">
        <f t="shared" si="7"/>
        <v>PASS</v>
      </c>
      <c r="J41" s="6" t="str">
        <f t="shared" si="8"/>
        <v>1</v>
      </c>
    </row>
    <row r="42" spans="4:14" x14ac:dyDescent="0.35">
      <c r="D42" s="6">
        <f>'SUB-1'!D41</f>
        <v>27</v>
      </c>
      <c r="E42" s="6" t="str">
        <f>'SUB-1'!E41</f>
        <v>BTMC24O1027</v>
      </c>
      <c r="F42" s="6">
        <v>2</v>
      </c>
      <c r="G42" s="6">
        <v>13</v>
      </c>
      <c r="H42" s="6">
        <f t="shared" si="6"/>
        <v>15</v>
      </c>
      <c r="I42" s="6" t="str">
        <f t="shared" si="7"/>
        <v>FAIL</v>
      </c>
      <c r="J42" s="6" t="str">
        <f t="shared" si="8"/>
        <v>0</v>
      </c>
    </row>
    <row r="43" spans="4:14" x14ac:dyDescent="0.35">
      <c r="D43" s="6">
        <f>'SUB-1'!D42</f>
        <v>28</v>
      </c>
      <c r="E43" s="6" t="str">
        <f>'SUB-1'!E42</f>
        <v>BTMC24O1028</v>
      </c>
      <c r="F43" s="6">
        <v>20</v>
      </c>
      <c r="G43" s="6">
        <v>2</v>
      </c>
      <c r="H43" s="6">
        <f t="shared" si="6"/>
        <v>22</v>
      </c>
      <c r="I43" s="6" t="str">
        <f t="shared" si="7"/>
        <v>FAIL</v>
      </c>
      <c r="J43" s="6" t="str">
        <f t="shared" si="8"/>
        <v>0</v>
      </c>
    </row>
    <row r="44" spans="4:14" x14ac:dyDescent="0.35">
      <c r="D44" s="6">
        <f>'SUB-1'!D43</f>
        <v>29</v>
      </c>
      <c r="E44" s="6" t="str">
        <f>'SUB-1'!E43</f>
        <v>BTMC24O1029</v>
      </c>
      <c r="F44" s="6">
        <v>49</v>
      </c>
      <c r="G44" s="6">
        <v>2</v>
      </c>
      <c r="H44" s="6">
        <f t="shared" si="6"/>
        <v>51</v>
      </c>
      <c r="I44" s="6" t="str">
        <f t="shared" si="7"/>
        <v>PASS</v>
      </c>
      <c r="J44" s="6" t="str">
        <f t="shared" si="8"/>
        <v>1</v>
      </c>
    </row>
    <row r="45" spans="4:14" x14ac:dyDescent="0.35">
      <c r="D45" s="6">
        <f>'SUB-1'!D44</f>
        <v>30</v>
      </c>
      <c r="E45" s="6" t="str">
        <f>'SUB-1'!E44</f>
        <v>BTMC24O1030</v>
      </c>
      <c r="F45" s="6">
        <v>6</v>
      </c>
      <c r="G45" s="6">
        <v>0</v>
      </c>
      <c r="H45" s="6">
        <f t="shared" si="6"/>
        <v>6</v>
      </c>
      <c r="I45" s="6" t="str">
        <f t="shared" si="7"/>
        <v>FAIL</v>
      </c>
      <c r="J45" s="6" t="str">
        <f t="shared" si="8"/>
        <v>0</v>
      </c>
    </row>
    <row r="46" spans="4:14" x14ac:dyDescent="0.35">
      <c r="D46" s="6">
        <f>'SUB-1'!D45</f>
        <v>31</v>
      </c>
      <c r="E46" s="6" t="str">
        <f>'SUB-1'!E45</f>
        <v>BTMC24O1031</v>
      </c>
      <c r="F46" s="6">
        <v>19</v>
      </c>
      <c r="G46" s="6">
        <v>6</v>
      </c>
      <c r="H46" s="6">
        <f t="shared" si="6"/>
        <v>25</v>
      </c>
      <c r="I46" s="6" t="str">
        <f t="shared" si="7"/>
        <v>FAIL</v>
      </c>
      <c r="J46" s="6" t="str">
        <f t="shared" si="8"/>
        <v>0</v>
      </c>
    </row>
    <row r="47" spans="4:14" x14ac:dyDescent="0.35">
      <c r="D47" s="6">
        <f>'SUB-1'!D46</f>
        <v>32</v>
      </c>
      <c r="E47" s="6" t="str">
        <f>'SUB-1'!E46</f>
        <v>BTMC24O1032</v>
      </c>
      <c r="F47" s="6">
        <v>70</v>
      </c>
      <c r="G47" s="6">
        <v>17</v>
      </c>
      <c r="H47" s="6">
        <f t="shared" si="6"/>
        <v>87</v>
      </c>
      <c r="I47" s="6" t="str">
        <f t="shared" si="7"/>
        <v>PASS</v>
      </c>
      <c r="J47" s="6" t="str">
        <f t="shared" si="8"/>
        <v>1</v>
      </c>
    </row>
    <row r="48" spans="4:14" x14ac:dyDescent="0.35">
      <c r="D48" s="6">
        <f>'SUB-1'!D47</f>
        <v>33</v>
      </c>
      <c r="E48" s="6" t="str">
        <f>'SUB-1'!E47</f>
        <v>BTMC24O1033</v>
      </c>
      <c r="F48" s="6">
        <v>51</v>
      </c>
      <c r="G48" s="6">
        <v>28</v>
      </c>
      <c r="H48" s="6">
        <f t="shared" si="6"/>
        <v>79</v>
      </c>
      <c r="I48" s="6" t="str">
        <f t="shared" si="7"/>
        <v>PASS</v>
      </c>
      <c r="J48" s="6" t="str">
        <f t="shared" si="8"/>
        <v>1</v>
      </c>
    </row>
    <row r="49" spans="4:10" x14ac:dyDescent="0.35">
      <c r="D49" s="6">
        <f>'SUB-1'!D48</f>
        <v>34</v>
      </c>
      <c r="E49" s="6" t="str">
        <f>'SUB-1'!E48</f>
        <v>BTMC24O1034</v>
      </c>
      <c r="F49" s="6">
        <v>42</v>
      </c>
      <c r="G49" s="6">
        <v>1</v>
      </c>
      <c r="H49" s="6">
        <f t="shared" si="6"/>
        <v>43</v>
      </c>
      <c r="I49" s="6" t="str">
        <f t="shared" si="7"/>
        <v>PASS</v>
      </c>
      <c r="J49" s="6" t="str">
        <f t="shared" si="8"/>
        <v>1</v>
      </c>
    </row>
    <row r="50" spans="4:10" x14ac:dyDescent="0.35">
      <c r="D50" s="6">
        <f>'SUB-1'!D49</f>
        <v>35</v>
      </c>
      <c r="E50" s="6" t="str">
        <f>'SUB-1'!E49</f>
        <v>BTMC24O1035</v>
      </c>
      <c r="F50" s="6">
        <v>29</v>
      </c>
      <c r="G50" s="6">
        <v>13</v>
      </c>
      <c r="H50" s="6">
        <f t="shared" si="6"/>
        <v>42</v>
      </c>
      <c r="I50" s="6" t="str">
        <f t="shared" si="7"/>
        <v>PASS</v>
      </c>
      <c r="J50" s="6" t="str">
        <f t="shared" si="8"/>
        <v>1</v>
      </c>
    </row>
    <row r="51" spans="4:10" x14ac:dyDescent="0.35">
      <c r="D51" s="6">
        <f>'SUB-1'!D50</f>
        <v>36</v>
      </c>
      <c r="E51" s="6" t="str">
        <f>'SUB-1'!E50</f>
        <v>BTMC24O1036</v>
      </c>
      <c r="F51" s="6">
        <v>45</v>
      </c>
      <c r="G51" s="6">
        <v>20</v>
      </c>
      <c r="H51" s="6">
        <f t="shared" si="6"/>
        <v>65</v>
      </c>
      <c r="I51" s="6" t="str">
        <f t="shared" si="7"/>
        <v>PASS</v>
      </c>
      <c r="J51" s="6" t="str">
        <f t="shared" si="8"/>
        <v>1</v>
      </c>
    </row>
    <row r="52" spans="4:10" x14ac:dyDescent="0.35">
      <c r="D52" s="6">
        <f>'SUB-1'!D51</f>
        <v>37</v>
      </c>
      <c r="E52" s="6" t="str">
        <f>'SUB-1'!E51</f>
        <v>BTMC24O1037</v>
      </c>
      <c r="F52" s="6">
        <v>9</v>
      </c>
      <c r="G52" s="6">
        <v>16</v>
      </c>
      <c r="H52" s="6">
        <f t="shared" si="6"/>
        <v>25</v>
      </c>
      <c r="I52" s="6" t="str">
        <f t="shared" si="7"/>
        <v>FAIL</v>
      </c>
      <c r="J52" s="6" t="str">
        <f t="shared" si="8"/>
        <v>0</v>
      </c>
    </row>
    <row r="53" spans="4:10" x14ac:dyDescent="0.35">
      <c r="D53" s="6">
        <f>'SUB-1'!D52</f>
        <v>38</v>
      </c>
      <c r="E53" s="6" t="str">
        <f>'SUB-1'!E52</f>
        <v>BTMC24O1038</v>
      </c>
      <c r="F53" s="6">
        <v>8</v>
      </c>
      <c r="G53" s="6">
        <v>0</v>
      </c>
      <c r="H53" s="6">
        <f t="shared" si="6"/>
        <v>8</v>
      </c>
      <c r="I53" s="6" t="str">
        <f t="shared" si="7"/>
        <v>FAIL</v>
      </c>
      <c r="J53" s="6" t="str">
        <f t="shared" si="8"/>
        <v>0</v>
      </c>
    </row>
    <row r="54" spans="4:10" x14ac:dyDescent="0.35">
      <c r="D54" s="6">
        <f>'SUB-1'!D53</f>
        <v>39</v>
      </c>
      <c r="E54" s="6" t="str">
        <f>'SUB-1'!E53</f>
        <v>BTMC24O1039</v>
      </c>
      <c r="F54" s="6">
        <v>16</v>
      </c>
      <c r="G54" s="6">
        <v>8</v>
      </c>
      <c r="H54" s="6">
        <f t="shared" si="6"/>
        <v>24</v>
      </c>
      <c r="I54" s="6" t="str">
        <f t="shared" si="7"/>
        <v>FAIL</v>
      </c>
      <c r="J54" s="6" t="str">
        <f t="shared" si="8"/>
        <v>0</v>
      </c>
    </row>
    <row r="55" spans="4:10" x14ac:dyDescent="0.35">
      <c r="D55" s="6">
        <f>'SUB-1'!D54</f>
        <v>40</v>
      </c>
      <c r="E55" s="6" t="str">
        <f>'SUB-1'!E54</f>
        <v>BTMC24O1040</v>
      </c>
      <c r="F55" s="6">
        <v>55</v>
      </c>
      <c r="G55" s="6">
        <v>22</v>
      </c>
      <c r="H55" s="6">
        <f t="shared" si="6"/>
        <v>77</v>
      </c>
      <c r="I55" s="6" t="str">
        <f t="shared" si="7"/>
        <v>PASS</v>
      </c>
      <c r="J55" s="6" t="str">
        <f t="shared" si="8"/>
        <v>1</v>
      </c>
    </row>
    <row r="56" spans="4:10" x14ac:dyDescent="0.35">
      <c r="D56" s="6">
        <f>'SUB-1'!D55</f>
        <v>41</v>
      </c>
      <c r="E56" s="6" t="str">
        <f>'SUB-1'!E55</f>
        <v>BTMC24O1041</v>
      </c>
      <c r="F56" s="6">
        <v>3</v>
      </c>
      <c r="G56" s="6">
        <v>16</v>
      </c>
      <c r="H56" s="6">
        <f t="shared" si="6"/>
        <v>19</v>
      </c>
      <c r="I56" s="6" t="str">
        <f t="shared" si="7"/>
        <v>FAIL</v>
      </c>
      <c r="J56" s="6" t="str">
        <f t="shared" si="8"/>
        <v>0</v>
      </c>
    </row>
    <row r="57" spans="4:10" x14ac:dyDescent="0.35">
      <c r="D57" s="6">
        <f>'SUB-1'!D56</f>
        <v>42</v>
      </c>
      <c r="E57" s="6" t="str">
        <f>'SUB-1'!E56</f>
        <v>BTMC24O1042</v>
      </c>
      <c r="F57" s="6">
        <v>33</v>
      </c>
      <c r="G57" s="6">
        <v>17</v>
      </c>
      <c r="H57" s="6">
        <f t="shared" si="6"/>
        <v>50</v>
      </c>
      <c r="I57" s="6" t="str">
        <f t="shared" si="7"/>
        <v>PASS</v>
      </c>
      <c r="J57" s="6" t="str">
        <f t="shared" si="8"/>
        <v>1</v>
      </c>
    </row>
    <row r="58" spans="4:10" x14ac:dyDescent="0.35">
      <c r="D58" s="6">
        <f>'SUB-1'!D57</f>
        <v>43</v>
      </c>
      <c r="E58" s="6" t="str">
        <f>'SUB-1'!E57</f>
        <v>BTMC24O1043</v>
      </c>
      <c r="F58" s="6">
        <v>22</v>
      </c>
      <c r="G58" s="6">
        <v>30</v>
      </c>
      <c r="H58" s="6">
        <f t="shared" si="6"/>
        <v>52</v>
      </c>
      <c r="I58" s="6" t="str">
        <f t="shared" si="7"/>
        <v>PASS</v>
      </c>
      <c r="J58" s="6" t="str">
        <f t="shared" si="8"/>
        <v>1</v>
      </c>
    </row>
    <row r="59" spans="4:10" x14ac:dyDescent="0.35">
      <c r="D59" s="6">
        <f>'SUB-1'!D58</f>
        <v>44</v>
      </c>
      <c r="E59" s="6" t="str">
        <f>'SUB-1'!E58</f>
        <v>BTMC24O1044</v>
      </c>
      <c r="F59" s="6">
        <v>67</v>
      </c>
      <c r="G59" s="6">
        <v>13</v>
      </c>
      <c r="H59" s="6">
        <f t="shared" si="6"/>
        <v>80</v>
      </c>
      <c r="I59" s="6" t="str">
        <f t="shared" si="7"/>
        <v>PASS</v>
      </c>
      <c r="J59" s="6" t="str">
        <f t="shared" si="8"/>
        <v>1</v>
      </c>
    </row>
    <row r="60" spans="4:10" x14ac:dyDescent="0.35">
      <c r="D60" s="6">
        <f>'SUB-1'!D59</f>
        <v>45</v>
      </c>
      <c r="E60" s="6" t="str">
        <f>'SUB-1'!E59</f>
        <v>BTMC24O1045</v>
      </c>
      <c r="F60" s="6">
        <v>13</v>
      </c>
      <c r="G60" s="6">
        <v>20</v>
      </c>
      <c r="H60" s="6">
        <f t="shared" si="6"/>
        <v>33</v>
      </c>
      <c r="I60" s="6" t="str">
        <f t="shared" si="7"/>
        <v>FAIL</v>
      </c>
      <c r="J60" s="6" t="str">
        <f t="shared" si="8"/>
        <v>0</v>
      </c>
    </row>
    <row r="61" spans="4:10" x14ac:dyDescent="0.35">
      <c r="D61" s="6">
        <f>'SUB-1'!D60</f>
        <v>46</v>
      </c>
      <c r="E61" s="6" t="str">
        <f>'SUB-1'!E60</f>
        <v>BTMC24O1046</v>
      </c>
      <c r="F61" s="6">
        <v>61</v>
      </c>
      <c r="G61" s="6">
        <v>19</v>
      </c>
      <c r="H61" s="6">
        <f t="shared" si="6"/>
        <v>80</v>
      </c>
      <c r="I61" s="6" t="str">
        <f t="shared" si="7"/>
        <v>PASS</v>
      </c>
      <c r="J61" s="6" t="str">
        <f t="shared" si="8"/>
        <v>1</v>
      </c>
    </row>
    <row r="62" spans="4:10" x14ac:dyDescent="0.35">
      <c r="D62" s="6">
        <f>'SUB-1'!D61</f>
        <v>47</v>
      </c>
      <c r="E62" s="6" t="str">
        <f>'SUB-1'!E61</f>
        <v>BTMC24O1047</v>
      </c>
      <c r="F62" s="6">
        <v>16</v>
      </c>
      <c r="G62" s="6">
        <v>5</v>
      </c>
      <c r="H62" s="6">
        <f t="shared" si="6"/>
        <v>21</v>
      </c>
      <c r="I62" s="6" t="str">
        <f t="shared" si="7"/>
        <v>FAIL</v>
      </c>
      <c r="J62" s="6" t="str">
        <f t="shared" si="8"/>
        <v>0</v>
      </c>
    </row>
    <row r="63" spans="4:10" x14ac:dyDescent="0.35">
      <c r="D63" s="6">
        <f>'SUB-1'!D62</f>
        <v>48</v>
      </c>
      <c r="E63" s="6" t="str">
        <f>'SUB-1'!E62</f>
        <v>BTMC24O1048</v>
      </c>
      <c r="F63" s="6">
        <v>40</v>
      </c>
      <c r="G63" s="6">
        <v>3</v>
      </c>
      <c r="H63" s="6">
        <f t="shared" si="6"/>
        <v>43</v>
      </c>
      <c r="I63" s="6" t="str">
        <f t="shared" si="7"/>
        <v>PASS</v>
      </c>
      <c r="J63" s="6" t="str">
        <f t="shared" si="8"/>
        <v>1</v>
      </c>
    </row>
    <row r="64" spans="4:10" x14ac:dyDescent="0.35">
      <c r="D64" s="6">
        <f>'SUB-1'!D63</f>
        <v>49</v>
      </c>
      <c r="E64" s="6" t="str">
        <f>'SUB-1'!E63</f>
        <v>BTMC24O1049</v>
      </c>
      <c r="F64" s="6">
        <v>16</v>
      </c>
      <c r="G64" s="6">
        <v>30</v>
      </c>
      <c r="H64" s="6">
        <f t="shared" si="6"/>
        <v>46</v>
      </c>
      <c r="I64" s="6" t="str">
        <f t="shared" si="7"/>
        <v>PASS</v>
      </c>
      <c r="J64" s="6" t="str">
        <f t="shared" si="8"/>
        <v>1</v>
      </c>
    </row>
    <row r="65" spans="4:10" x14ac:dyDescent="0.35">
      <c r="D65" s="6">
        <f>'SUB-1'!D64</f>
        <v>50</v>
      </c>
      <c r="E65" s="6" t="str">
        <f>'SUB-1'!E64</f>
        <v>BTMC24O1050</v>
      </c>
      <c r="F65" s="6">
        <v>8</v>
      </c>
      <c r="G65" s="6">
        <v>12</v>
      </c>
      <c r="H65" s="6">
        <f t="shared" si="6"/>
        <v>20</v>
      </c>
      <c r="I65" s="6" t="str">
        <f t="shared" si="7"/>
        <v>FAIL</v>
      </c>
      <c r="J65" s="6" t="str">
        <f t="shared" si="8"/>
        <v>0</v>
      </c>
    </row>
    <row r="66" spans="4:10" x14ac:dyDescent="0.35">
      <c r="D66" s="6">
        <f>'SUB-1'!D65</f>
        <v>51</v>
      </c>
      <c r="E66" s="6" t="str">
        <f>'SUB-1'!E65</f>
        <v>BTMC24O1051</v>
      </c>
      <c r="F66" s="6">
        <v>67</v>
      </c>
      <c r="G66" s="6">
        <v>6</v>
      </c>
      <c r="H66" s="6">
        <f t="shared" si="6"/>
        <v>73</v>
      </c>
      <c r="I66" s="6" t="str">
        <f t="shared" si="7"/>
        <v>PASS</v>
      </c>
      <c r="J66" s="6" t="str">
        <f t="shared" si="8"/>
        <v>1</v>
      </c>
    </row>
    <row r="67" spans="4:10" x14ac:dyDescent="0.35">
      <c r="D67" s="6">
        <f>'SUB-1'!D66</f>
        <v>52</v>
      </c>
      <c r="E67" s="6" t="str">
        <f>'SUB-1'!E66</f>
        <v>BTMC24O1052</v>
      </c>
      <c r="F67" s="6">
        <v>35</v>
      </c>
      <c r="G67" s="6">
        <v>22</v>
      </c>
      <c r="H67" s="6">
        <f t="shared" si="6"/>
        <v>57</v>
      </c>
      <c r="I67" s="6" t="str">
        <f t="shared" si="7"/>
        <v>PASS</v>
      </c>
      <c r="J67" s="6" t="str">
        <f t="shared" si="8"/>
        <v>1</v>
      </c>
    </row>
    <row r="68" spans="4:10" x14ac:dyDescent="0.35">
      <c r="D68" s="6">
        <f>'SUB-1'!D67</f>
        <v>53</v>
      </c>
      <c r="E68" s="6" t="str">
        <f>'SUB-1'!E67</f>
        <v>BTMC24O1053</v>
      </c>
      <c r="F68" s="6">
        <v>18</v>
      </c>
      <c r="G68" s="6">
        <v>2</v>
      </c>
      <c r="H68" s="6">
        <f t="shared" si="6"/>
        <v>20</v>
      </c>
      <c r="I68" s="6" t="str">
        <f t="shared" si="7"/>
        <v>FAIL</v>
      </c>
      <c r="J68" s="6" t="str">
        <f t="shared" si="8"/>
        <v>0</v>
      </c>
    </row>
    <row r="69" spans="4:10" x14ac:dyDescent="0.35">
      <c r="D69" s="6">
        <f>'SUB-1'!D68</f>
        <v>54</v>
      </c>
      <c r="E69" s="6" t="str">
        <f>'SUB-1'!E68</f>
        <v>BTMC24O1054</v>
      </c>
      <c r="F69" s="6">
        <v>62</v>
      </c>
      <c r="G69" s="6">
        <v>4</v>
      </c>
      <c r="H69" s="6">
        <f t="shared" si="6"/>
        <v>66</v>
      </c>
      <c r="I69" s="6" t="str">
        <f t="shared" si="7"/>
        <v>PASS</v>
      </c>
      <c r="J69" s="6" t="str">
        <f t="shared" si="8"/>
        <v>1</v>
      </c>
    </row>
    <row r="70" spans="4:10" x14ac:dyDescent="0.35">
      <c r="D70" s="6">
        <f>'SUB-1'!D69</f>
        <v>55</v>
      </c>
      <c r="E70" s="6" t="str">
        <f>'SUB-1'!E69</f>
        <v>BTMC24O1055</v>
      </c>
      <c r="F70" s="6">
        <v>3</v>
      </c>
      <c r="G70" s="6">
        <v>12</v>
      </c>
      <c r="H70" s="6">
        <f t="shared" si="6"/>
        <v>15</v>
      </c>
      <c r="I70" s="6" t="str">
        <f t="shared" si="7"/>
        <v>FAIL</v>
      </c>
      <c r="J70" s="6" t="str">
        <f t="shared" si="8"/>
        <v>0</v>
      </c>
    </row>
    <row r="71" spans="4:10" x14ac:dyDescent="0.35">
      <c r="D71" s="6">
        <f>'SUB-1'!D70</f>
        <v>56</v>
      </c>
      <c r="E71" s="6" t="str">
        <f>'SUB-1'!E70</f>
        <v>BTMC24O1056</v>
      </c>
      <c r="F71" s="6">
        <v>45</v>
      </c>
      <c r="G71" s="6">
        <v>26</v>
      </c>
      <c r="H71" s="6">
        <f t="shared" si="6"/>
        <v>71</v>
      </c>
      <c r="I71" s="6" t="str">
        <f t="shared" si="7"/>
        <v>PASS</v>
      </c>
      <c r="J71" s="6" t="str">
        <f t="shared" si="8"/>
        <v>1</v>
      </c>
    </row>
    <row r="72" spans="4:10" x14ac:dyDescent="0.35">
      <c r="D72" s="6">
        <f>'SUB-1'!D71</f>
        <v>57</v>
      </c>
      <c r="E72" s="6" t="str">
        <f>'SUB-1'!E71</f>
        <v>BTMC24O1057</v>
      </c>
      <c r="F72" s="6">
        <v>58</v>
      </c>
      <c r="G72" s="6">
        <v>21</v>
      </c>
      <c r="H72" s="6">
        <f t="shared" si="6"/>
        <v>79</v>
      </c>
      <c r="I72" s="6" t="str">
        <f t="shared" si="7"/>
        <v>PASS</v>
      </c>
      <c r="J72" s="6" t="str">
        <f t="shared" si="8"/>
        <v>1</v>
      </c>
    </row>
    <row r="73" spans="4:10" x14ac:dyDescent="0.35">
      <c r="D73" s="6">
        <f>'SUB-1'!D72</f>
        <v>58</v>
      </c>
      <c r="E73" s="6" t="str">
        <f>'SUB-1'!E72</f>
        <v>BTMC24O1058</v>
      </c>
      <c r="F73" s="6">
        <v>12</v>
      </c>
      <c r="G73" s="6">
        <v>1</v>
      </c>
      <c r="H73" s="6">
        <f t="shared" si="6"/>
        <v>13</v>
      </c>
      <c r="I73" s="6" t="str">
        <f t="shared" si="7"/>
        <v>FAIL</v>
      </c>
      <c r="J73" s="6" t="str">
        <f t="shared" si="8"/>
        <v>0</v>
      </c>
    </row>
    <row r="74" spans="4:10" x14ac:dyDescent="0.35">
      <c r="D74" s="6">
        <f>'SUB-1'!D73</f>
        <v>59</v>
      </c>
      <c r="E74" s="6" t="str">
        <f>'SUB-1'!E73</f>
        <v>BTMC24O1059</v>
      </c>
      <c r="F74" s="6">
        <v>69</v>
      </c>
      <c r="G74" s="6">
        <v>0</v>
      </c>
      <c r="H74" s="6">
        <f t="shared" si="6"/>
        <v>69</v>
      </c>
      <c r="I74" s="6" t="str">
        <f t="shared" si="7"/>
        <v>PASS</v>
      </c>
      <c r="J74" s="6" t="str">
        <f t="shared" si="8"/>
        <v>1</v>
      </c>
    </row>
    <row r="75" spans="4:10" x14ac:dyDescent="0.35">
      <c r="D75" s="6">
        <f>'SUB-1'!D74</f>
        <v>60</v>
      </c>
      <c r="E75" s="6" t="str">
        <f>'SUB-1'!E74</f>
        <v>BTMC24O1060</v>
      </c>
      <c r="F75" s="6">
        <v>47</v>
      </c>
      <c r="G75" s="6">
        <v>8</v>
      </c>
      <c r="H75" s="6">
        <f t="shared" si="6"/>
        <v>55</v>
      </c>
      <c r="I75" s="6" t="str">
        <f t="shared" si="7"/>
        <v>PASS</v>
      </c>
      <c r="J75" s="6" t="str">
        <f t="shared" si="8"/>
        <v>1</v>
      </c>
    </row>
    <row r="76" spans="4:10" x14ac:dyDescent="0.35">
      <c r="D76" s="6">
        <f>'SUB-1'!D75</f>
        <v>61</v>
      </c>
      <c r="E76" s="6" t="str">
        <f>'SUB-1'!E75</f>
        <v>BTMC24O1061</v>
      </c>
      <c r="F76" s="6">
        <v>34</v>
      </c>
      <c r="G76" s="6">
        <v>17</v>
      </c>
      <c r="H76" s="6">
        <f t="shared" si="6"/>
        <v>51</v>
      </c>
      <c r="I76" s="6" t="str">
        <f t="shared" si="7"/>
        <v>PASS</v>
      </c>
      <c r="J76" s="6" t="str">
        <f t="shared" si="8"/>
        <v>1</v>
      </c>
    </row>
    <row r="77" spans="4:10" x14ac:dyDescent="0.35">
      <c r="D77" s="6">
        <f>'SUB-1'!D76</f>
        <v>62</v>
      </c>
      <c r="E77" s="6" t="str">
        <f>'SUB-1'!E76</f>
        <v>BTMC24O1062</v>
      </c>
      <c r="F77" s="6">
        <v>29</v>
      </c>
      <c r="G77" s="6">
        <v>13</v>
      </c>
      <c r="H77" s="6">
        <f t="shared" si="6"/>
        <v>42</v>
      </c>
      <c r="I77" s="6" t="str">
        <f t="shared" si="7"/>
        <v>PASS</v>
      </c>
      <c r="J77" s="6" t="str">
        <f t="shared" si="8"/>
        <v>1</v>
      </c>
    </row>
    <row r="78" spans="4:10" x14ac:dyDescent="0.35">
      <c r="D78" s="6">
        <f>'SUB-1'!D77</f>
        <v>63</v>
      </c>
      <c r="E78" s="6" t="str">
        <f>'SUB-1'!E77</f>
        <v>BTMC24O1063</v>
      </c>
      <c r="F78" s="6">
        <v>53</v>
      </c>
      <c r="G78" s="6">
        <v>20</v>
      </c>
      <c r="H78" s="6">
        <f t="shared" si="6"/>
        <v>73</v>
      </c>
      <c r="I78" s="6" t="str">
        <f t="shared" si="7"/>
        <v>PASS</v>
      </c>
      <c r="J78" s="6" t="str">
        <f t="shared" si="8"/>
        <v>1</v>
      </c>
    </row>
    <row r="79" spans="4:10" x14ac:dyDescent="0.35">
      <c r="D79" s="6">
        <f>'SUB-1'!D78</f>
        <v>64</v>
      </c>
      <c r="E79" s="6" t="str">
        <f>'SUB-1'!E78</f>
        <v>BTMC24O1064</v>
      </c>
      <c r="F79" s="6">
        <v>66</v>
      </c>
      <c r="G79" s="6">
        <v>11</v>
      </c>
      <c r="H79" s="6">
        <f t="shared" si="6"/>
        <v>77</v>
      </c>
      <c r="I79" s="6" t="str">
        <f t="shared" si="7"/>
        <v>PASS</v>
      </c>
      <c r="J79" s="6" t="str">
        <f t="shared" si="8"/>
        <v>1</v>
      </c>
    </row>
    <row r="80" spans="4:10" x14ac:dyDescent="0.35">
      <c r="D80" s="6">
        <f>'SUB-1'!D79</f>
        <v>65</v>
      </c>
      <c r="E80" s="6" t="str">
        <f>'SUB-1'!E79</f>
        <v>BTMC24O1065</v>
      </c>
      <c r="F80" s="6">
        <v>59</v>
      </c>
      <c r="G80" s="6">
        <v>21</v>
      </c>
      <c r="H80" s="6">
        <f t="shared" si="6"/>
        <v>80</v>
      </c>
      <c r="I80" s="6" t="str">
        <f t="shared" si="7"/>
        <v>PASS</v>
      </c>
      <c r="J80" s="6" t="str">
        <f t="shared" si="8"/>
        <v>1</v>
      </c>
    </row>
    <row r="81" spans="4:10" x14ac:dyDescent="0.35">
      <c r="D81" s="6">
        <f>'SUB-1'!D80</f>
        <v>66</v>
      </c>
      <c r="E81" s="6" t="str">
        <f>'SUB-1'!E80</f>
        <v>BTMC24O1066</v>
      </c>
      <c r="F81" s="6">
        <v>23</v>
      </c>
      <c r="G81" s="6">
        <v>6</v>
      </c>
      <c r="H81" s="6">
        <f t="shared" si="6"/>
        <v>29</v>
      </c>
      <c r="I81" s="6" t="str">
        <f t="shared" si="7"/>
        <v>FAIL</v>
      </c>
      <c r="J81" s="6" t="str">
        <f t="shared" si="8"/>
        <v>0</v>
      </c>
    </row>
    <row r="82" spans="4:10" x14ac:dyDescent="0.35">
      <c r="D82" s="6">
        <f>'SUB-1'!D81</f>
        <v>67</v>
      </c>
      <c r="E82" s="6" t="str">
        <f>'SUB-1'!E81</f>
        <v>BTMC24O1067</v>
      </c>
      <c r="F82" s="6">
        <v>68</v>
      </c>
      <c r="G82" s="6">
        <v>9</v>
      </c>
      <c r="H82" s="6">
        <f t="shared" si="6"/>
        <v>77</v>
      </c>
      <c r="I82" s="6" t="str">
        <f t="shared" si="7"/>
        <v>PASS</v>
      </c>
      <c r="J82" s="6" t="str">
        <f t="shared" si="8"/>
        <v>1</v>
      </c>
    </row>
    <row r="83" spans="4:10" x14ac:dyDescent="0.35">
      <c r="D83" s="6">
        <f>'SUB-1'!D82</f>
        <v>68</v>
      </c>
      <c r="E83" s="6" t="str">
        <f>'SUB-1'!E82</f>
        <v>BTMC24O1068</v>
      </c>
      <c r="F83" s="6">
        <v>59</v>
      </c>
      <c r="G83" s="6">
        <v>11</v>
      </c>
      <c r="H83" s="6">
        <f t="shared" si="6"/>
        <v>70</v>
      </c>
      <c r="I83" s="6" t="str">
        <f t="shared" si="7"/>
        <v>PASS</v>
      </c>
      <c r="J83" s="6" t="str">
        <f t="shared" si="8"/>
        <v>1</v>
      </c>
    </row>
    <row r="84" spans="4:10" x14ac:dyDescent="0.35">
      <c r="D84" s="6">
        <f>'SUB-1'!D83</f>
        <v>69</v>
      </c>
      <c r="E84" s="6" t="str">
        <f>'SUB-1'!E83</f>
        <v>BTMC24O1069</v>
      </c>
      <c r="F84" s="6">
        <v>32</v>
      </c>
      <c r="G84" s="6">
        <v>16</v>
      </c>
      <c r="H84" s="6">
        <f t="shared" si="6"/>
        <v>48</v>
      </c>
      <c r="I84" s="6" t="str">
        <f t="shared" si="7"/>
        <v>PASS</v>
      </c>
      <c r="J84" s="6" t="str">
        <f t="shared" si="8"/>
        <v>1</v>
      </c>
    </row>
    <row r="85" spans="4:10" x14ac:dyDescent="0.35">
      <c r="D85" s="6">
        <f>'SUB-1'!D84</f>
        <v>70</v>
      </c>
      <c r="E85" s="6" t="str">
        <f>'SUB-1'!E84</f>
        <v>BTMC24O1070</v>
      </c>
      <c r="F85" s="6">
        <v>68</v>
      </c>
      <c r="G85" s="6">
        <v>22</v>
      </c>
      <c r="H85" s="6">
        <f t="shared" si="6"/>
        <v>90</v>
      </c>
      <c r="I85" s="6" t="str">
        <f t="shared" si="7"/>
        <v>PASS</v>
      </c>
      <c r="J85" s="6" t="str">
        <f t="shared" si="8"/>
        <v>1</v>
      </c>
    </row>
    <row r="86" spans="4:10" x14ac:dyDescent="0.35">
      <c r="D86" s="6">
        <f>'SUB-1'!D85</f>
        <v>71</v>
      </c>
      <c r="E86" s="6" t="str">
        <f>'SUB-1'!E85</f>
        <v>BTMC24O1071</v>
      </c>
      <c r="F86" s="6">
        <v>46</v>
      </c>
      <c r="G86" s="6">
        <v>0</v>
      </c>
      <c r="H86" s="6">
        <f t="shared" si="6"/>
        <v>46</v>
      </c>
      <c r="I86" s="6" t="str">
        <f t="shared" si="7"/>
        <v>PASS</v>
      </c>
      <c r="J86" s="6" t="str">
        <f t="shared" si="8"/>
        <v>1</v>
      </c>
    </row>
    <row r="87" spans="4:10" x14ac:dyDescent="0.35">
      <c r="D87" s="6">
        <f>'SUB-1'!D86</f>
        <v>72</v>
      </c>
      <c r="E87" s="6" t="str">
        <f>'SUB-1'!E86</f>
        <v>BTMC24O1072</v>
      </c>
      <c r="F87" s="6">
        <v>11</v>
      </c>
      <c r="G87" s="6">
        <v>18</v>
      </c>
      <c r="H87" s="6">
        <f t="shared" si="6"/>
        <v>29</v>
      </c>
      <c r="I87" s="6" t="str">
        <f t="shared" si="7"/>
        <v>FAIL</v>
      </c>
      <c r="J87" s="6" t="str">
        <f t="shared" si="8"/>
        <v>0</v>
      </c>
    </row>
    <row r="88" spans="4:10" x14ac:dyDescent="0.35">
      <c r="D88" s="6">
        <f>'SUB-1'!D87</f>
        <v>73</v>
      </c>
      <c r="E88" s="6" t="str">
        <f>'SUB-1'!E87</f>
        <v>BTMC24O1073</v>
      </c>
      <c r="F88" s="6">
        <v>65</v>
      </c>
      <c r="G88" s="6">
        <v>24</v>
      </c>
      <c r="H88" s="6">
        <f t="shared" si="6"/>
        <v>89</v>
      </c>
      <c r="I88" s="6" t="str">
        <f t="shared" si="7"/>
        <v>PASS</v>
      </c>
      <c r="J88" s="6" t="str">
        <f t="shared" si="8"/>
        <v>1</v>
      </c>
    </row>
    <row r="89" spans="4:10" x14ac:dyDescent="0.35">
      <c r="D89" s="6">
        <f>'SUB-1'!D88</f>
        <v>74</v>
      </c>
      <c r="E89" s="6" t="str">
        <f>'SUB-1'!E88</f>
        <v>BTMC24O1074</v>
      </c>
      <c r="F89" s="6">
        <v>43</v>
      </c>
      <c r="G89" s="6">
        <v>3</v>
      </c>
      <c r="H89" s="6">
        <f t="shared" si="6"/>
        <v>46</v>
      </c>
      <c r="I89" s="6" t="str">
        <f t="shared" si="7"/>
        <v>PASS</v>
      </c>
      <c r="J89" s="6" t="str">
        <f t="shared" si="8"/>
        <v>1</v>
      </c>
    </row>
    <row r="90" spans="4:10" x14ac:dyDescent="0.35">
      <c r="D90" s="6">
        <f>'SUB-1'!D89</f>
        <v>75</v>
      </c>
      <c r="E90" s="6" t="str">
        <f>'SUB-1'!E89</f>
        <v>BTMC24O1075</v>
      </c>
      <c r="F90" s="6">
        <v>35</v>
      </c>
      <c r="G90" s="6">
        <v>21</v>
      </c>
      <c r="H90" s="6">
        <f t="shared" si="6"/>
        <v>56</v>
      </c>
      <c r="I90" s="6" t="str">
        <f t="shared" si="7"/>
        <v>PASS</v>
      </c>
      <c r="J90" s="6" t="str">
        <f t="shared" si="8"/>
        <v>1</v>
      </c>
    </row>
    <row r="91" spans="4:10" x14ac:dyDescent="0.35">
      <c r="D91" s="6">
        <f>'SUB-1'!D90</f>
        <v>76</v>
      </c>
      <c r="E91" s="6" t="str">
        <f>'SUB-1'!E90</f>
        <v>BTMC24O1076</v>
      </c>
      <c r="F91" s="6">
        <v>66</v>
      </c>
      <c r="G91" s="6">
        <v>18</v>
      </c>
      <c r="H91" s="6">
        <f t="shared" si="6"/>
        <v>84</v>
      </c>
      <c r="I91" s="6" t="str">
        <f t="shared" si="7"/>
        <v>PASS</v>
      </c>
      <c r="J91" s="6" t="str">
        <f t="shared" si="8"/>
        <v>1</v>
      </c>
    </row>
    <row r="92" spans="4:10" x14ac:dyDescent="0.35">
      <c r="D92" s="6">
        <f>'SUB-1'!D91</f>
        <v>77</v>
      </c>
      <c r="E92" s="6" t="str">
        <f>'SUB-1'!E91</f>
        <v>BTMC24O1077</v>
      </c>
      <c r="F92" s="6">
        <v>44</v>
      </c>
      <c r="G92" s="6">
        <v>21</v>
      </c>
      <c r="H92" s="6">
        <f t="shared" si="6"/>
        <v>65</v>
      </c>
      <c r="I92" s="6" t="str">
        <f t="shared" si="7"/>
        <v>PASS</v>
      </c>
      <c r="J92" s="6" t="str">
        <f t="shared" si="8"/>
        <v>1</v>
      </c>
    </row>
    <row r="93" spans="4:10" x14ac:dyDescent="0.35">
      <c r="D93" s="6">
        <f>'SUB-1'!D92</f>
        <v>78</v>
      </c>
      <c r="E93" s="6" t="str">
        <f>'SUB-1'!E92</f>
        <v>BTMC24O1078</v>
      </c>
      <c r="F93" s="6">
        <v>35</v>
      </c>
      <c r="G93" s="6">
        <v>18</v>
      </c>
      <c r="H93" s="6">
        <f t="shared" si="6"/>
        <v>53</v>
      </c>
      <c r="I93" s="6" t="str">
        <f t="shared" si="7"/>
        <v>PASS</v>
      </c>
      <c r="J93" s="6" t="str">
        <f t="shared" si="8"/>
        <v>1</v>
      </c>
    </row>
    <row r="94" spans="4:10" x14ac:dyDescent="0.35">
      <c r="D94" s="6">
        <f>'SUB-1'!D93</f>
        <v>79</v>
      </c>
      <c r="E94" s="6" t="str">
        <f>'SUB-1'!E93</f>
        <v>BTMC24O1079</v>
      </c>
      <c r="F94" s="6">
        <v>17</v>
      </c>
      <c r="G94" s="6">
        <v>20</v>
      </c>
      <c r="H94" s="6">
        <f t="shared" si="6"/>
        <v>37</v>
      </c>
      <c r="I94" s="6" t="str">
        <f t="shared" si="7"/>
        <v>PASS</v>
      </c>
      <c r="J94" s="6" t="str">
        <f t="shared" si="8"/>
        <v>1</v>
      </c>
    </row>
    <row r="95" spans="4:10" x14ac:dyDescent="0.35">
      <c r="D95" s="6">
        <f>'SUB-1'!D94</f>
        <v>80</v>
      </c>
      <c r="E95" s="6" t="str">
        <f>'SUB-1'!E94</f>
        <v>BTMC24O1080</v>
      </c>
      <c r="F95" s="6">
        <v>10</v>
      </c>
      <c r="G95" s="6">
        <v>21</v>
      </c>
      <c r="H95" s="6">
        <f t="shared" si="6"/>
        <v>31</v>
      </c>
      <c r="I95" s="6" t="str">
        <f t="shared" si="7"/>
        <v>FAIL</v>
      </c>
      <c r="J95" s="6" t="str">
        <f t="shared" si="8"/>
        <v>0</v>
      </c>
    </row>
    <row r="96" spans="4:10" x14ac:dyDescent="0.35">
      <c r="D96" s="6">
        <f>'SUB-1'!D95</f>
        <v>81</v>
      </c>
      <c r="E96" s="6" t="str">
        <f>'SUB-1'!E95</f>
        <v>BTMC24O1081</v>
      </c>
      <c r="F96" s="6">
        <v>43</v>
      </c>
      <c r="G96" s="6">
        <v>27</v>
      </c>
      <c r="H96" s="6">
        <f t="shared" si="6"/>
        <v>70</v>
      </c>
      <c r="I96" s="6" t="str">
        <f t="shared" si="7"/>
        <v>PASS</v>
      </c>
      <c r="J96" s="6" t="str">
        <f t="shared" si="8"/>
        <v>1</v>
      </c>
    </row>
    <row r="97" spans="4:10" x14ac:dyDescent="0.35">
      <c r="D97" s="6">
        <f>'SUB-1'!D96</f>
        <v>82</v>
      </c>
      <c r="E97" s="6" t="str">
        <f>'SUB-1'!E96</f>
        <v>BTMC24O1082</v>
      </c>
      <c r="F97" s="6">
        <v>49</v>
      </c>
      <c r="G97" s="6">
        <v>17</v>
      </c>
      <c r="H97" s="6">
        <f t="shared" si="6"/>
        <v>66</v>
      </c>
      <c r="I97" s="6" t="str">
        <f t="shared" si="7"/>
        <v>PASS</v>
      </c>
      <c r="J97" s="6" t="str">
        <f t="shared" si="8"/>
        <v>1</v>
      </c>
    </row>
    <row r="98" spans="4:10" x14ac:dyDescent="0.35">
      <c r="D98" s="6">
        <f>'SUB-1'!D97</f>
        <v>83</v>
      </c>
      <c r="E98" s="6" t="str">
        <f>'SUB-1'!E97</f>
        <v>BTMC24O1083</v>
      </c>
      <c r="F98" s="6">
        <v>61</v>
      </c>
      <c r="G98" s="6">
        <v>1</v>
      </c>
      <c r="H98" s="6">
        <f t="shared" si="6"/>
        <v>62</v>
      </c>
      <c r="I98" s="6" t="str">
        <f t="shared" si="7"/>
        <v>PASS</v>
      </c>
      <c r="J98" s="6" t="str">
        <f t="shared" si="8"/>
        <v>1</v>
      </c>
    </row>
    <row r="99" spans="4:10" x14ac:dyDescent="0.35">
      <c r="D99" s="6">
        <f>'SUB-1'!D98</f>
        <v>84</v>
      </c>
      <c r="E99" s="6" t="str">
        <f>'SUB-1'!E98</f>
        <v>BTMC24O1084</v>
      </c>
      <c r="F99" s="6">
        <v>7</v>
      </c>
      <c r="G99" s="6">
        <v>1</v>
      </c>
      <c r="H99" s="6">
        <f t="shared" si="6"/>
        <v>8</v>
      </c>
      <c r="I99" s="6" t="str">
        <f t="shared" si="7"/>
        <v>FAIL</v>
      </c>
      <c r="J99" s="6" t="str">
        <f t="shared" si="8"/>
        <v>0</v>
      </c>
    </row>
    <row r="100" spans="4:10" x14ac:dyDescent="0.35">
      <c r="D100" s="6">
        <f>'SUB-1'!D99</f>
        <v>85</v>
      </c>
      <c r="E100" s="6" t="str">
        <f>'SUB-1'!E99</f>
        <v>BTMC24O1085</v>
      </c>
      <c r="F100" s="6">
        <v>47</v>
      </c>
      <c r="G100" s="6">
        <v>23</v>
      </c>
      <c r="H100" s="6">
        <f t="shared" si="6"/>
        <v>70</v>
      </c>
      <c r="I100" s="6" t="str">
        <f t="shared" si="7"/>
        <v>PASS</v>
      </c>
      <c r="J100" s="6" t="str">
        <f t="shared" si="8"/>
        <v>1</v>
      </c>
    </row>
    <row r="101" spans="4:10" x14ac:dyDescent="0.35">
      <c r="D101" s="6">
        <f>'SUB-1'!D100</f>
        <v>86</v>
      </c>
      <c r="E101" s="6" t="str">
        <f>'SUB-1'!E100</f>
        <v>BTMC24O1086</v>
      </c>
      <c r="F101" s="6">
        <v>36</v>
      </c>
      <c r="G101" s="6">
        <v>17</v>
      </c>
      <c r="H101" s="6">
        <f t="shared" ref="H101:H115" si="9">F101+G101</f>
        <v>53</v>
      </c>
      <c r="I101" s="6" t="str">
        <f t="shared" ref="I101:I115" si="10">IF(H101&lt;35,"FAIL","PASS")</f>
        <v>PASS</v>
      </c>
      <c r="J101" s="6" t="str">
        <f t="shared" ref="J101:J115" si="11">IF(H101&lt;35,"0","1")</f>
        <v>1</v>
      </c>
    </row>
    <row r="102" spans="4:10" x14ac:dyDescent="0.35">
      <c r="D102" s="6">
        <f>'SUB-1'!D101</f>
        <v>87</v>
      </c>
      <c r="E102" s="6" t="str">
        <f>'SUB-1'!E101</f>
        <v>BTMC24O1087</v>
      </c>
      <c r="F102" s="6">
        <v>64</v>
      </c>
      <c r="G102" s="6">
        <v>25</v>
      </c>
      <c r="H102" s="6">
        <f t="shared" si="9"/>
        <v>89</v>
      </c>
      <c r="I102" s="6" t="str">
        <f t="shared" si="10"/>
        <v>PASS</v>
      </c>
      <c r="J102" s="6" t="str">
        <f t="shared" si="11"/>
        <v>1</v>
      </c>
    </row>
    <row r="103" spans="4:10" x14ac:dyDescent="0.35">
      <c r="D103" s="6">
        <f>'SUB-1'!D102</f>
        <v>88</v>
      </c>
      <c r="E103" s="6" t="str">
        <f>'SUB-1'!E102</f>
        <v>BTMC24O1088</v>
      </c>
      <c r="F103" s="6">
        <v>68</v>
      </c>
      <c r="G103" s="6">
        <v>28</v>
      </c>
      <c r="H103" s="6">
        <f t="shared" si="9"/>
        <v>96</v>
      </c>
      <c r="I103" s="6" t="str">
        <f t="shared" si="10"/>
        <v>PASS</v>
      </c>
      <c r="J103" s="6" t="str">
        <f t="shared" si="11"/>
        <v>1</v>
      </c>
    </row>
    <row r="104" spans="4:10" x14ac:dyDescent="0.35">
      <c r="D104" s="6">
        <f>'SUB-1'!D103</f>
        <v>89</v>
      </c>
      <c r="E104" s="6" t="str">
        <f>'SUB-1'!E103</f>
        <v>BTMC24O1089</v>
      </c>
      <c r="F104" s="6">
        <v>56</v>
      </c>
      <c r="G104" s="6">
        <v>29</v>
      </c>
      <c r="H104" s="6">
        <f t="shared" si="9"/>
        <v>85</v>
      </c>
      <c r="I104" s="6" t="str">
        <f t="shared" si="10"/>
        <v>PASS</v>
      </c>
      <c r="J104" s="6" t="str">
        <f t="shared" si="11"/>
        <v>1</v>
      </c>
    </row>
    <row r="105" spans="4:10" x14ac:dyDescent="0.35">
      <c r="D105" s="6">
        <f>'SUB-1'!D104</f>
        <v>90</v>
      </c>
      <c r="E105" s="6" t="str">
        <f>'SUB-1'!E104</f>
        <v>BTMC24O1090</v>
      </c>
      <c r="F105" s="6">
        <v>17</v>
      </c>
      <c r="G105" s="6">
        <v>2</v>
      </c>
      <c r="H105" s="6">
        <f t="shared" si="9"/>
        <v>19</v>
      </c>
      <c r="I105" s="6" t="str">
        <f t="shared" si="10"/>
        <v>FAIL</v>
      </c>
      <c r="J105" s="6" t="str">
        <f t="shared" si="11"/>
        <v>0</v>
      </c>
    </row>
    <row r="106" spans="4:10" x14ac:dyDescent="0.35">
      <c r="D106" s="6">
        <f>'SUB-1'!D105</f>
        <v>91</v>
      </c>
      <c r="E106" s="6" t="str">
        <f>'SUB-1'!E105</f>
        <v>BTMC24O1091</v>
      </c>
      <c r="F106" s="6">
        <v>33</v>
      </c>
      <c r="G106" s="6">
        <v>14</v>
      </c>
      <c r="H106" s="6">
        <f t="shared" si="9"/>
        <v>47</v>
      </c>
      <c r="I106" s="6" t="str">
        <f t="shared" si="10"/>
        <v>PASS</v>
      </c>
      <c r="J106" s="6" t="str">
        <f t="shared" si="11"/>
        <v>1</v>
      </c>
    </row>
    <row r="107" spans="4:10" x14ac:dyDescent="0.35">
      <c r="D107" s="6">
        <f>'SUB-1'!D106</f>
        <v>92</v>
      </c>
      <c r="E107" s="6" t="str">
        <f>'SUB-1'!E106</f>
        <v>BTMC24O1092</v>
      </c>
      <c r="F107" s="6">
        <v>9</v>
      </c>
      <c r="G107" s="6">
        <v>9</v>
      </c>
      <c r="H107" s="6">
        <f t="shared" si="9"/>
        <v>18</v>
      </c>
      <c r="I107" s="6" t="str">
        <f t="shared" si="10"/>
        <v>FAIL</v>
      </c>
      <c r="J107" s="6" t="str">
        <f t="shared" si="11"/>
        <v>0</v>
      </c>
    </row>
    <row r="108" spans="4:10" x14ac:dyDescent="0.35">
      <c r="D108" s="6">
        <f>'SUB-1'!D107</f>
        <v>93</v>
      </c>
      <c r="E108" s="6" t="str">
        <f>'SUB-1'!E107</f>
        <v>BTMC24O1093</v>
      </c>
      <c r="F108" s="6">
        <v>69</v>
      </c>
      <c r="G108" s="6">
        <v>27</v>
      </c>
      <c r="H108" s="6">
        <f t="shared" si="9"/>
        <v>96</v>
      </c>
      <c r="I108" s="6" t="str">
        <f t="shared" si="10"/>
        <v>PASS</v>
      </c>
      <c r="J108" s="6" t="str">
        <f t="shared" si="11"/>
        <v>1</v>
      </c>
    </row>
    <row r="109" spans="4:10" x14ac:dyDescent="0.35">
      <c r="D109" s="6">
        <f>'SUB-1'!D108</f>
        <v>94</v>
      </c>
      <c r="E109" s="6" t="str">
        <f>'SUB-1'!E108</f>
        <v>BTMC24O1094</v>
      </c>
      <c r="F109" s="6">
        <v>17</v>
      </c>
      <c r="G109" s="6">
        <v>1</v>
      </c>
      <c r="H109" s="6">
        <f t="shared" si="9"/>
        <v>18</v>
      </c>
      <c r="I109" s="6" t="str">
        <f t="shared" si="10"/>
        <v>FAIL</v>
      </c>
      <c r="J109" s="6" t="str">
        <f t="shared" si="11"/>
        <v>0</v>
      </c>
    </row>
    <row r="110" spans="4:10" x14ac:dyDescent="0.35">
      <c r="D110" s="6">
        <f>'SUB-1'!D109</f>
        <v>95</v>
      </c>
      <c r="E110" s="6" t="str">
        <f>'SUB-1'!E109</f>
        <v>BTMC24O1095</v>
      </c>
      <c r="F110" s="6">
        <v>68</v>
      </c>
      <c r="G110" s="6">
        <v>1</v>
      </c>
      <c r="H110" s="6">
        <f t="shared" si="9"/>
        <v>69</v>
      </c>
      <c r="I110" s="6" t="str">
        <f t="shared" si="10"/>
        <v>PASS</v>
      </c>
      <c r="J110" s="6" t="str">
        <f t="shared" si="11"/>
        <v>1</v>
      </c>
    </row>
    <row r="111" spans="4:10" x14ac:dyDescent="0.35">
      <c r="D111" s="6">
        <f>'SUB-1'!D110</f>
        <v>96</v>
      </c>
      <c r="E111" s="6" t="str">
        <f>'SUB-1'!E110</f>
        <v>BTMC24O1096</v>
      </c>
      <c r="F111" s="6">
        <v>43</v>
      </c>
      <c r="G111" s="6">
        <v>15</v>
      </c>
      <c r="H111" s="6">
        <f t="shared" si="9"/>
        <v>58</v>
      </c>
      <c r="I111" s="6" t="str">
        <f t="shared" si="10"/>
        <v>PASS</v>
      </c>
      <c r="J111" s="6" t="str">
        <f t="shared" si="11"/>
        <v>1</v>
      </c>
    </row>
    <row r="112" spans="4:10" x14ac:dyDescent="0.35">
      <c r="D112" s="6">
        <f>'SUB-1'!D111</f>
        <v>97</v>
      </c>
      <c r="E112" s="6" t="str">
        <f>'SUB-1'!E111</f>
        <v>BTMC24O1097</v>
      </c>
      <c r="F112" s="6">
        <v>26</v>
      </c>
      <c r="G112" s="6">
        <v>8</v>
      </c>
      <c r="H112" s="6">
        <f t="shared" si="9"/>
        <v>34</v>
      </c>
      <c r="I112" s="6" t="str">
        <f t="shared" si="10"/>
        <v>FAIL</v>
      </c>
      <c r="J112" s="6" t="str">
        <f t="shared" si="11"/>
        <v>0</v>
      </c>
    </row>
    <row r="113" spans="4:10" x14ac:dyDescent="0.35">
      <c r="D113" s="6">
        <f>'SUB-1'!D112</f>
        <v>98</v>
      </c>
      <c r="E113" s="6" t="str">
        <f>'SUB-1'!E112</f>
        <v>BTMC24O1098</v>
      </c>
      <c r="F113" s="6">
        <v>3</v>
      </c>
      <c r="G113" s="6">
        <v>5</v>
      </c>
      <c r="H113" s="6">
        <f t="shared" si="9"/>
        <v>8</v>
      </c>
      <c r="I113" s="6" t="str">
        <f t="shared" si="10"/>
        <v>FAIL</v>
      </c>
      <c r="J113" s="6" t="str">
        <f t="shared" si="11"/>
        <v>0</v>
      </c>
    </row>
    <row r="114" spans="4:10" x14ac:dyDescent="0.35">
      <c r="D114" s="6">
        <f>'SUB-1'!D113</f>
        <v>99</v>
      </c>
      <c r="E114" s="6" t="str">
        <f>'SUB-1'!E113</f>
        <v>BTMC24O1099</v>
      </c>
      <c r="F114" s="6">
        <v>43</v>
      </c>
      <c r="G114" s="6">
        <v>0</v>
      </c>
      <c r="H114" s="6">
        <f t="shared" si="9"/>
        <v>43</v>
      </c>
      <c r="I114" s="6" t="str">
        <f t="shared" si="10"/>
        <v>PASS</v>
      </c>
      <c r="J114" s="6" t="str">
        <f t="shared" si="11"/>
        <v>1</v>
      </c>
    </row>
    <row r="115" spans="4:10" x14ac:dyDescent="0.35">
      <c r="D115" s="6">
        <f>'SUB-1'!D114</f>
        <v>100</v>
      </c>
      <c r="E115" s="6" t="str">
        <f>'SUB-1'!E114</f>
        <v>BTMC24O1100</v>
      </c>
      <c r="F115" s="6">
        <v>70</v>
      </c>
      <c r="G115" s="6">
        <v>25</v>
      </c>
      <c r="H115" s="6">
        <f t="shared" si="9"/>
        <v>95</v>
      </c>
      <c r="I115" s="6" t="str">
        <f t="shared" si="10"/>
        <v>PASS</v>
      </c>
      <c r="J115" s="6" t="str">
        <f t="shared" si="11"/>
        <v>1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5:M15"/>
  </mergeCells>
  <conditionalFormatting sqref="I16:I115">
    <cfRule type="containsText" dxfId="5" priority="1" operator="containsText" text="FAIL">
      <formula>NOT(ISERROR(SEARCH("FAIL",I16)))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6CF6-CE7C-47FA-B6AB-9333B3B6AFD7}">
  <sheetPr codeName="Sheet9"/>
  <dimension ref="C1:Q115"/>
  <sheetViews>
    <sheetView topLeftCell="C4" zoomScale="80" zoomScaleNormal="80" zoomScaleSheetLayoutView="50" workbookViewId="0">
      <selection activeCell="L16" sqref="L16:M17"/>
    </sheetView>
  </sheetViews>
  <sheetFormatPr defaultRowHeight="14.5" x14ac:dyDescent="0.35"/>
  <cols>
    <col min="4" max="4" width="6.54296875" customWidth="1"/>
    <col min="5" max="5" width="16.7265625" customWidth="1"/>
    <col min="6" max="6" width="21.179687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108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115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ht="23" x14ac:dyDescent="0.6">
      <c r="C5" s="35"/>
      <c r="D5" s="164" t="s">
        <v>126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s="11" customFormat="1" ht="22" x14ac:dyDescent="0.6">
      <c r="C6" s="34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s="11" customFormat="1" ht="22" x14ac:dyDescent="0.6">
      <c r="C7" s="34"/>
      <c r="D7" s="34"/>
      <c r="E7" s="34"/>
      <c r="F7" s="34"/>
      <c r="G7" s="164" t="s">
        <v>121</v>
      </c>
      <c r="H7" s="166"/>
      <c r="I7" s="166"/>
      <c r="J7" s="166"/>
      <c r="K7" s="166"/>
      <c r="L7" s="166"/>
      <c r="M7" s="34"/>
      <c r="N7" s="34"/>
      <c r="O7" s="34"/>
      <c r="P7" s="34"/>
      <c r="Q7" s="40"/>
    </row>
    <row r="8" spans="3:17" s="11" customFormat="1" ht="21" x14ac:dyDescent="0.5">
      <c r="C8" s="34"/>
      <c r="D8" s="160" t="s">
        <v>122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s="11" customFormat="1" ht="21" x14ac:dyDescent="0.5">
      <c r="C9" s="40"/>
      <c r="D9" s="160" t="s">
        <v>118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>
        <v>25241108</v>
      </c>
      <c r="F11" s="32" t="s">
        <v>63</v>
      </c>
      <c r="G11" s="32" t="s">
        <v>32</v>
      </c>
      <c r="L11" s="7"/>
      <c r="M11" s="7"/>
      <c r="N11" s="7"/>
    </row>
    <row r="12" spans="3:17" x14ac:dyDescent="0.35">
      <c r="D12" s="29" t="s">
        <v>42</v>
      </c>
      <c r="E12" s="29" t="s">
        <v>43</v>
      </c>
      <c r="F12" s="29" t="s">
        <v>60</v>
      </c>
      <c r="G12" s="29" t="s">
        <v>49</v>
      </c>
      <c r="H12" s="29" t="s">
        <v>50</v>
      </c>
      <c r="I12" s="29" t="s">
        <v>52</v>
      </c>
      <c r="J12" s="29" t="s">
        <v>51</v>
      </c>
      <c r="L12" s="7"/>
      <c r="M12" s="7"/>
      <c r="N12" s="7"/>
    </row>
    <row r="13" spans="3:17" x14ac:dyDescent="0.35">
      <c r="D13" s="6"/>
      <c r="E13" s="6"/>
      <c r="F13" s="29" t="s">
        <v>61</v>
      </c>
      <c r="G13" s="6"/>
      <c r="H13" s="6"/>
      <c r="I13" s="6"/>
      <c r="J13" s="6"/>
      <c r="L13" s="7"/>
      <c r="M13" s="7"/>
      <c r="N13" s="7"/>
    </row>
    <row r="14" spans="3:17" x14ac:dyDescent="0.35">
      <c r="D14" s="6"/>
      <c r="E14" s="6"/>
      <c r="F14" s="33">
        <v>50</v>
      </c>
      <c r="G14" s="33" t="s">
        <v>25</v>
      </c>
      <c r="H14" s="33">
        <v>50</v>
      </c>
      <c r="I14" s="33" t="s">
        <v>53</v>
      </c>
      <c r="J14" s="33">
        <v>1</v>
      </c>
      <c r="L14" s="7"/>
      <c r="M14" s="7"/>
      <c r="N14" s="7"/>
    </row>
    <row r="15" spans="3:17" x14ac:dyDescent="0.35">
      <c r="D15" s="6"/>
      <c r="E15" s="6"/>
      <c r="F15" s="6"/>
      <c r="G15" s="6"/>
      <c r="H15" s="6"/>
      <c r="I15" s="6"/>
      <c r="J15" s="6"/>
      <c r="L15" s="214" t="s">
        <v>669</v>
      </c>
      <c r="M15" s="214"/>
      <c r="N15" s="212"/>
      <c r="O15" s="212"/>
    </row>
    <row r="16" spans="3:17" x14ac:dyDescent="0.35">
      <c r="D16" s="6">
        <v>1</v>
      </c>
      <c r="E16" s="6" t="s">
        <v>140</v>
      </c>
      <c r="F16" s="6">
        <v>32</v>
      </c>
      <c r="G16" s="6" t="s">
        <v>25</v>
      </c>
      <c r="H16" s="6">
        <f>F16</f>
        <v>32</v>
      </c>
      <c r="I16" s="6" t="str">
        <f>IF(H16&lt;16,"FAIL","PASS")</f>
        <v>PASS</v>
      </c>
      <c r="J16" s="6" t="str">
        <f>IF(H16&lt;16,"0","1")</f>
        <v>1</v>
      </c>
      <c r="L16" s="215" t="s">
        <v>665</v>
      </c>
      <c r="M16" s="212">
        <f>COUNTIF(I16:I115,I16)</f>
        <v>67</v>
      </c>
      <c r="N16" s="215"/>
      <c r="O16" s="215"/>
    </row>
    <row r="17" spans="4:15" x14ac:dyDescent="0.35">
      <c r="D17" s="6">
        <v>2</v>
      </c>
      <c r="E17" s="6" t="s">
        <v>147</v>
      </c>
      <c r="F17" s="6">
        <v>48</v>
      </c>
      <c r="G17" s="6" t="s">
        <v>25</v>
      </c>
      <c r="H17" s="6">
        <f t="shared" ref="H17:H35" si="0">F17</f>
        <v>48</v>
      </c>
      <c r="I17" s="6" t="str">
        <f t="shared" ref="I17:I35" si="1">IF(H17&lt;16,"FAIL","PASS")</f>
        <v>PASS</v>
      </c>
      <c r="J17" s="6" t="str">
        <f t="shared" ref="J17:J35" si="2">IF(H17&lt;16,"0","1")</f>
        <v>1</v>
      </c>
      <c r="L17" s="215" t="s">
        <v>667</v>
      </c>
      <c r="M17" s="212">
        <f>COUNTIF(I16:I115,I19)</f>
        <v>33</v>
      </c>
      <c r="N17" s="212"/>
      <c r="O17" s="212"/>
    </row>
    <row r="18" spans="4:15" x14ac:dyDescent="0.35">
      <c r="D18" s="6">
        <v>3</v>
      </c>
      <c r="E18" s="6" t="s">
        <v>152</v>
      </c>
      <c r="F18" s="6">
        <v>22</v>
      </c>
      <c r="G18" s="6" t="s">
        <v>25</v>
      </c>
      <c r="H18" s="6">
        <f t="shared" si="0"/>
        <v>22</v>
      </c>
      <c r="I18" s="6" t="str">
        <f t="shared" si="1"/>
        <v>PASS</v>
      </c>
      <c r="J18" s="6" t="str">
        <f t="shared" si="2"/>
        <v>1</v>
      </c>
      <c r="L18" s="212"/>
      <c r="M18" s="212"/>
      <c r="N18" s="212"/>
      <c r="O18" s="212"/>
    </row>
    <row r="19" spans="4:15" x14ac:dyDescent="0.35">
      <c r="D19" s="6">
        <v>4</v>
      </c>
      <c r="E19" s="6" t="s">
        <v>157</v>
      </c>
      <c r="F19" s="6">
        <v>6</v>
      </c>
      <c r="G19" s="6" t="s">
        <v>25</v>
      </c>
      <c r="H19" s="6">
        <f t="shared" si="0"/>
        <v>6</v>
      </c>
      <c r="I19" s="6" t="str">
        <f t="shared" si="1"/>
        <v>FAIL</v>
      </c>
      <c r="J19" s="6" t="str">
        <f t="shared" si="2"/>
        <v>0</v>
      </c>
      <c r="M19" s="215"/>
      <c r="N19" s="215"/>
      <c r="O19" s="215"/>
    </row>
    <row r="20" spans="4:15" x14ac:dyDescent="0.35">
      <c r="D20" s="6">
        <v>5</v>
      </c>
      <c r="E20" s="6" t="s">
        <v>162</v>
      </c>
      <c r="F20" s="6">
        <v>42</v>
      </c>
      <c r="G20" s="6" t="s">
        <v>25</v>
      </c>
      <c r="H20" s="6">
        <f t="shared" si="0"/>
        <v>42</v>
      </c>
      <c r="I20" s="6" t="str">
        <f t="shared" si="1"/>
        <v>PASS</v>
      </c>
      <c r="J20" s="6" t="str">
        <f t="shared" si="2"/>
        <v>1</v>
      </c>
      <c r="M20" s="212"/>
      <c r="N20" s="212"/>
      <c r="O20" s="212"/>
    </row>
    <row r="21" spans="4:15" x14ac:dyDescent="0.35">
      <c r="D21" s="6">
        <v>6</v>
      </c>
      <c r="E21" s="6" t="s">
        <v>167</v>
      </c>
      <c r="F21" s="6">
        <v>31</v>
      </c>
      <c r="G21" s="6" t="s">
        <v>25</v>
      </c>
      <c r="H21" s="6">
        <f t="shared" si="0"/>
        <v>31</v>
      </c>
      <c r="I21" s="6" t="str">
        <f t="shared" si="1"/>
        <v>PASS</v>
      </c>
      <c r="J21" s="6" t="str">
        <f t="shared" si="2"/>
        <v>1</v>
      </c>
      <c r="L21" s="7"/>
      <c r="M21" s="7"/>
      <c r="N21" s="7"/>
    </row>
    <row r="22" spans="4:15" x14ac:dyDescent="0.35">
      <c r="D22" s="6">
        <v>7</v>
      </c>
      <c r="E22" s="6" t="s">
        <v>565</v>
      </c>
      <c r="F22" s="6">
        <v>1</v>
      </c>
      <c r="G22" s="6" t="s">
        <v>25</v>
      </c>
      <c r="H22" s="6">
        <f t="shared" si="0"/>
        <v>1</v>
      </c>
      <c r="I22" s="6" t="str">
        <f t="shared" si="1"/>
        <v>FAIL</v>
      </c>
      <c r="J22" s="6" t="str">
        <f t="shared" si="2"/>
        <v>0</v>
      </c>
      <c r="L22" s="7"/>
      <c r="M22" s="7"/>
      <c r="N22" s="7"/>
    </row>
    <row r="23" spans="4:15" x14ac:dyDescent="0.35">
      <c r="D23" s="6">
        <v>8</v>
      </c>
      <c r="E23" s="6" t="s">
        <v>566</v>
      </c>
      <c r="F23" s="6">
        <v>28</v>
      </c>
      <c r="G23" s="6" t="s">
        <v>25</v>
      </c>
      <c r="H23" s="6">
        <f t="shared" si="0"/>
        <v>28</v>
      </c>
      <c r="I23" s="6" t="str">
        <f t="shared" si="1"/>
        <v>PASS</v>
      </c>
      <c r="J23" s="6" t="str">
        <f t="shared" si="2"/>
        <v>1</v>
      </c>
      <c r="L23" s="7"/>
      <c r="M23" s="7"/>
      <c r="N23" s="7"/>
    </row>
    <row r="24" spans="4:15" x14ac:dyDescent="0.35">
      <c r="D24" s="6">
        <v>9</v>
      </c>
      <c r="E24" s="6" t="s">
        <v>176</v>
      </c>
      <c r="F24" s="6">
        <v>19</v>
      </c>
      <c r="G24" s="6" t="s">
        <v>25</v>
      </c>
      <c r="H24" s="6">
        <f t="shared" si="0"/>
        <v>19</v>
      </c>
      <c r="I24" s="6" t="str">
        <f t="shared" si="1"/>
        <v>PASS</v>
      </c>
      <c r="J24" s="6" t="str">
        <f t="shared" si="2"/>
        <v>1</v>
      </c>
      <c r="L24" s="7"/>
      <c r="M24" s="7"/>
      <c r="N24" s="7"/>
    </row>
    <row r="25" spans="4:15" x14ac:dyDescent="0.35">
      <c r="D25" s="6">
        <v>10</v>
      </c>
      <c r="E25" s="6" t="s">
        <v>181</v>
      </c>
      <c r="F25" s="6">
        <v>23</v>
      </c>
      <c r="G25" s="6" t="s">
        <v>25</v>
      </c>
      <c r="H25" s="6">
        <f t="shared" si="0"/>
        <v>23</v>
      </c>
      <c r="I25" s="6" t="str">
        <f t="shared" si="1"/>
        <v>PASS</v>
      </c>
      <c r="J25" s="6" t="str">
        <f t="shared" si="2"/>
        <v>1</v>
      </c>
      <c r="L25" s="7"/>
      <c r="M25" s="7"/>
      <c r="N25" s="7"/>
    </row>
    <row r="26" spans="4:15" x14ac:dyDescent="0.35">
      <c r="D26" s="6">
        <v>11</v>
      </c>
      <c r="E26" s="6" t="s">
        <v>186</v>
      </c>
      <c r="F26" s="6">
        <v>34</v>
      </c>
      <c r="G26" s="6" t="s">
        <v>25</v>
      </c>
      <c r="H26" s="6">
        <f t="shared" si="0"/>
        <v>34</v>
      </c>
      <c r="I26" s="6" t="str">
        <f t="shared" si="1"/>
        <v>PASS</v>
      </c>
      <c r="J26" s="6" t="str">
        <f t="shared" si="2"/>
        <v>1</v>
      </c>
      <c r="L26" s="7"/>
      <c r="M26" s="7"/>
      <c r="N26" s="7"/>
    </row>
    <row r="27" spans="4:15" x14ac:dyDescent="0.35">
      <c r="D27" s="6">
        <v>12</v>
      </c>
      <c r="E27" s="6" t="s">
        <v>191</v>
      </c>
      <c r="F27" s="6">
        <v>1</v>
      </c>
      <c r="G27" s="6" t="s">
        <v>25</v>
      </c>
      <c r="H27" s="6">
        <f t="shared" si="0"/>
        <v>1</v>
      </c>
      <c r="I27" s="6" t="str">
        <f t="shared" si="1"/>
        <v>FAIL</v>
      </c>
      <c r="J27" s="6" t="str">
        <f t="shared" si="2"/>
        <v>0</v>
      </c>
      <c r="L27" s="7"/>
      <c r="M27" s="7"/>
      <c r="N27" s="7"/>
    </row>
    <row r="28" spans="4:15" x14ac:dyDescent="0.35">
      <c r="D28" s="6">
        <v>13</v>
      </c>
      <c r="E28" s="6" t="s">
        <v>196</v>
      </c>
      <c r="F28" s="6">
        <v>12</v>
      </c>
      <c r="G28" s="6" t="s">
        <v>25</v>
      </c>
      <c r="H28" s="6">
        <f t="shared" si="0"/>
        <v>12</v>
      </c>
      <c r="I28" s="6" t="str">
        <f t="shared" si="1"/>
        <v>FAIL</v>
      </c>
      <c r="J28" s="6" t="str">
        <f t="shared" si="2"/>
        <v>0</v>
      </c>
      <c r="L28" s="7"/>
      <c r="M28" s="7"/>
      <c r="N28" s="7"/>
    </row>
    <row r="29" spans="4:15" x14ac:dyDescent="0.35">
      <c r="D29" s="6">
        <v>14</v>
      </c>
      <c r="E29" s="6" t="s">
        <v>567</v>
      </c>
      <c r="F29" s="6">
        <v>34</v>
      </c>
      <c r="G29" s="6" t="s">
        <v>25</v>
      </c>
      <c r="H29" s="6">
        <f t="shared" si="0"/>
        <v>34</v>
      </c>
      <c r="I29" s="6" t="str">
        <f t="shared" si="1"/>
        <v>PASS</v>
      </c>
      <c r="J29" s="6" t="str">
        <f t="shared" si="2"/>
        <v>1</v>
      </c>
      <c r="L29" s="7"/>
      <c r="M29" s="7"/>
      <c r="N29" s="7"/>
    </row>
    <row r="30" spans="4:15" x14ac:dyDescent="0.35">
      <c r="D30" s="6">
        <v>15</v>
      </c>
      <c r="E30" s="6" t="s">
        <v>568</v>
      </c>
      <c r="F30" s="6">
        <v>24</v>
      </c>
      <c r="G30" s="6" t="s">
        <v>25</v>
      </c>
      <c r="H30" s="6">
        <f t="shared" si="0"/>
        <v>24</v>
      </c>
      <c r="I30" s="6" t="str">
        <f t="shared" si="1"/>
        <v>PASS</v>
      </c>
      <c r="J30" s="6" t="str">
        <f t="shared" si="2"/>
        <v>1</v>
      </c>
      <c r="L30" s="7"/>
      <c r="M30" s="7"/>
      <c r="N30" s="7"/>
    </row>
    <row r="31" spans="4:15" x14ac:dyDescent="0.35">
      <c r="D31" s="6">
        <v>16</v>
      </c>
      <c r="E31" s="6" t="s">
        <v>204</v>
      </c>
      <c r="F31" s="6">
        <v>33</v>
      </c>
      <c r="G31" s="6" t="s">
        <v>25</v>
      </c>
      <c r="H31" s="6">
        <f t="shared" si="0"/>
        <v>33</v>
      </c>
      <c r="I31" s="6" t="str">
        <f t="shared" si="1"/>
        <v>PASS</v>
      </c>
      <c r="J31" s="6" t="str">
        <f t="shared" si="2"/>
        <v>1</v>
      </c>
      <c r="L31" s="7"/>
      <c r="M31" s="7"/>
      <c r="N31" s="7"/>
    </row>
    <row r="32" spans="4:15" x14ac:dyDescent="0.35">
      <c r="D32" s="6">
        <v>17</v>
      </c>
      <c r="E32" s="6" t="s">
        <v>209</v>
      </c>
      <c r="F32" s="6">
        <v>30</v>
      </c>
      <c r="G32" s="6" t="s">
        <v>25</v>
      </c>
      <c r="H32" s="6">
        <f t="shared" si="0"/>
        <v>30</v>
      </c>
      <c r="I32" s="6" t="str">
        <f t="shared" si="1"/>
        <v>PASS</v>
      </c>
      <c r="J32" s="6" t="str">
        <f t="shared" si="2"/>
        <v>1</v>
      </c>
      <c r="L32" s="7"/>
      <c r="M32" s="7"/>
      <c r="N32" s="7"/>
    </row>
    <row r="33" spans="4:14" x14ac:dyDescent="0.35">
      <c r="D33" s="6">
        <v>18</v>
      </c>
      <c r="E33" s="6" t="s">
        <v>214</v>
      </c>
      <c r="F33" s="6">
        <v>13</v>
      </c>
      <c r="G33" s="6" t="s">
        <v>25</v>
      </c>
      <c r="H33" s="6">
        <f t="shared" si="0"/>
        <v>13</v>
      </c>
      <c r="I33" s="6" t="str">
        <f t="shared" si="1"/>
        <v>FAIL</v>
      </c>
      <c r="J33" s="6" t="str">
        <f t="shared" si="2"/>
        <v>0</v>
      </c>
      <c r="L33" s="7"/>
      <c r="M33" s="7"/>
      <c r="N33" s="7"/>
    </row>
    <row r="34" spans="4:14" x14ac:dyDescent="0.35">
      <c r="D34" s="6">
        <v>19</v>
      </c>
      <c r="E34" s="6" t="s">
        <v>219</v>
      </c>
      <c r="F34" s="6">
        <v>25</v>
      </c>
      <c r="G34" s="6" t="s">
        <v>25</v>
      </c>
      <c r="H34" s="6">
        <f t="shared" si="0"/>
        <v>25</v>
      </c>
      <c r="I34" s="6" t="str">
        <f t="shared" si="1"/>
        <v>PASS</v>
      </c>
      <c r="J34" s="6" t="str">
        <f t="shared" si="2"/>
        <v>1</v>
      </c>
      <c r="L34" s="7"/>
      <c r="M34" s="7"/>
      <c r="N34" s="7"/>
    </row>
    <row r="35" spans="4:14" x14ac:dyDescent="0.35">
      <c r="D35" s="6">
        <v>20</v>
      </c>
      <c r="E35" s="6" t="s">
        <v>224</v>
      </c>
      <c r="F35" s="6">
        <v>47</v>
      </c>
      <c r="G35" s="6" t="s">
        <v>25</v>
      </c>
      <c r="H35" s="6">
        <f t="shared" si="0"/>
        <v>47</v>
      </c>
      <c r="I35" s="6" t="str">
        <f t="shared" si="1"/>
        <v>PASS</v>
      </c>
      <c r="J35" s="6" t="str">
        <f t="shared" si="2"/>
        <v>1</v>
      </c>
      <c r="L35" s="7"/>
      <c r="M35" s="7"/>
      <c r="N35" s="7"/>
    </row>
    <row r="36" spans="4:14" x14ac:dyDescent="0.35">
      <c r="D36" s="6">
        <f>'SUB- 2'!C35</f>
        <v>21</v>
      </c>
      <c r="E36" s="6" t="str">
        <f>'SUB- 2'!D35</f>
        <v>BTMC24O1021</v>
      </c>
      <c r="F36" s="6">
        <v>30</v>
      </c>
      <c r="G36" s="6" t="s">
        <v>25</v>
      </c>
      <c r="H36" s="6">
        <f t="shared" ref="H36" si="3">F36</f>
        <v>30</v>
      </c>
      <c r="I36" s="6" t="str">
        <f t="shared" ref="I36" si="4">IF(H36&lt;16,"FAIL","PASS")</f>
        <v>PASS</v>
      </c>
      <c r="J36" s="6" t="str">
        <f t="shared" ref="J36" si="5">IF(H36&lt;16,"0","1")</f>
        <v>1</v>
      </c>
    </row>
    <row r="37" spans="4:14" x14ac:dyDescent="0.35">
      <c r="D37" s="6">
        <f>'SUB- 2'!C36</f>
        <v>22</v>
      </c>
      <c r="E37" s="6" t="str">
        <f>'SUB- 2'!D36</f>
        <v>BTMC24O1022</v>
      </c>
      <c r="F37" s="6">
        <v>27</v>
      </c>
      <c r="G37" s="6" t="s">
        <v>25</v>
      </c>
      <c r="H37" s="6">
        <f t="shared" ref="H37:H100" si="6">F37</f>
        <v>27</v>
      </c>
      <c r="I37" s="6" t="str">
        <f t="shared" ref="I37:I100" si="7">IF(H37&lt;16,"FAIL","PASS")</f>
        <v>PASS</v>
      </c>
      <c r="J37" s="6" t="str">
        <f t="shared" ref="J37:J100" si="8">IF(H37&lt;16,"0","1")</f>
        <v>1</v>
      </c>
    </row>
    <row r="38" spans="4:14" x14ac:dyDescent="0.35">
      <c r="D38" s="6">
        <f>'SUB- 2'!C37</f>
        <v>23</v>
      </c>
      <c r="E38" s="6" t="str">
        <f>'SUB- 2'!D37</f>
        <v>BTMC24O1023</v>
      </c>
      <c r="F38" s="6">
        <v>37</v>
      </c>
      <c r="G38" s="6" t="s">
        <v>25</v>
      </c>
      <c r="H38" s="6">
        <f t="shared" si="6"/>
        <v>37</v>
      </c>
      <c r="I38" s="6" t="str">
        <f t="shared" si="7"/>
        <v>PASS</v>
      </c>
      <c r="J38" s="6" t="str">
        <f t="shared" si="8"/>
        <v>1</v>
      </c>
    </row>
    <row r="39" spans="4:14" x14ac:dyDescent="0.35">
      <c r="D39" s="6">
        <f>'SUB- 2'!C38</f>
        <v>24</v>
      </c>
      <c r="E39" s="6" t="str">
        <f>'SUB- 2'!D38</f>
        <v>BTMC24O1024</v>
      </c>
      <c r="F39" s="6">
        <v>18</v>
      </c>
      <c r="G39" s="6" t="s">
        <v>25</v>
      </c>
      <c r="H39" s="6">
        <f t="shared" si="6"/>
        <v>18</v>
      </c>
      <c r="I39" s="6" t="str">
        <f t="shared" si="7"/>
        <v>PASS</v>
      </c>
      <c r="J39" s="6" t="str">
        <f t="shared" si="8"/>
        <v>1</v>
      </c>
    </row>
    <row r="40" spans="4:14" x14ac:dyDescent="0.35">
      <c r="D40" s="6">
        <f>'SUB- 2'!C39</f>
        <v>25</v>
      </c>
      <c r="E40" s="6" t="str">
        <f>'SUB- 2'!D39</f>
        <v>BTMC24O1025</v>
      </c>
      <c r="F40" s="6">
        <v>43</v>
      </c>
      <c r="G40" s="6" t="s">
        <v>25</v>
      </c>
      <c r="H40" s="6">
        <f t="shared" si="6"/>
        <v>43</v>
      </c>
      <c r="I40" s="6" t="str">
        <f t="shared" si="7"/>
        <v>PASS</v>
      </c>
      <c r="J40" s="6" t="str">
        <f t="shared" si="8"/>
        <v>1</v>
      </c>
    </row>
    <row r="41" spans="4:14" x14ac:dyDescent="0.35">
      <c r="D41" s="6">
        <f>'SUB- 2'!C40</f>
        <v>26</v>
      </c>
      <c r="E41" s="6" t="str">
        <f>'SUB- 2'!D40</f>
        <v>BTMC24O1026</v>
      </c>
      <c r="F41" s="6">
        <v>29</v>
      </c>
      <c r="G41" s="6" t="s">
        <v>25</v>
      </c>
      <c r="H41" s="6">
        <f t="shared" si="6"/>
        <v>29</v>
      </c>
      <c r="I41" s="6" t="str">
        <f t="shared" si="7"/>
        <v>PASS</v>
      </c>
      <c r="J41" s="6" t="str">
        <f t="shared" si="8"/>
        <v>1</v>
      </c>
    </row>
    <row r="42" spans="4:14" x14ac:dyDescent="0.35">
      <c r="D42" s="6">
        <f>'SUB- 2'!C41</f>
        <v>27</v>
      </c>
      <c r="E42" s="6" t="str">
        <f>'SUB- 2'!D41</f>
        <v>BTMC24O1027</v>
      </c>
      <c r="F42" s="6">
        <v>33</v>
      </c>
      <c r="G42" s="6" t="s">
        <v>25</v>
      </c>
      <c r="H42" s="6">
        <f t="shared" si="6"/>
        <v>33</v>
      </c>
      <c r="I42" s="6" t="str">
        <f t="shared" si="7"/>
        <v>PASS</v>
      </c>
      <c r="J42" s="6" t="str">
        <f t="shared" si="8"/>
        <v>1</v>
      </c>
    </row>
    <row r="43" spans="4:14" x14ac:dyDescent="0.35">
      <c r="D43" s="6">
        <f>'SUB- 2'!C42</f>
        <v>28</v>
      </c>
      <c r="E43" s="6" t="str">
        <f>'SUB- 2'!D42</f>
        <v>BTMC24O1028</v>
      </c>
      <c r="F43" s="6">
        <v>17</v>
      </c>
      <c r="G43" s="6" t="s">
        <v>25</v>
      </c>
      <c r="H43" s="6">
        <f t="shared" si="6"/>
        <v>17</v>
      </c>
      <c r="I43" s="6" t="str">
        <f t="shared" si="7"/>
        <v>PASS</v>
      </c>
      <c r="J43" s="6" t="str">
        <f t="shared" si="8"/>
        <v>1</v>
      </c>
    </row>
    <row r="44" spans="4:14" x14ac:dyDescent="0.35">
      <c r="D44" s="6">
        <f>'SUB- 2'!C43</f>
        <v>29</v>
      </c>
      <c r="E44" s="6" t="str">
        <f>'SUB- 2'!D43</f>
        <v>BTMC24O1029</v>
      </c>
      <c r="F44" s="6">
        <v>3</v>
      </c>
      <c r="G44" s="6" t="s">
        <v>25</v>
      </c>
      <c r="H44" s="6">
        <f t="shared" si="6"/>
        <v>3</v>
      </c>
      <c r="I44" s="6" t="str">
        <f t="shared" si="7"/>
        <v>FAIL</v>
      </c>
      <c r="J44" s="6" t="str">
        <f t="shared" si="8"/>
        <v>0</v>
      </c>
    </row>
    <row r="45" spans="4:14" x14ac:dyDescent="0.35">
      <c r="D45" s="6">
        <f>'SUB- 2'!C44</f>
        <v>30</v>
      </c>
      <c r="E45" s="6" t="str">
        <f>'SUB- 2'!D44</f>
        <v>BTMC24O1030</v>
      </c>
      <c r="F45" s="6">
        <v>36</v>
      </c>
      <c r="G45" s="6" t="s">
        <v>25</v>
      </c>
      <c r="H45" s="6">
        <f t="shared" si="6"/>
        <v>36</v>
      </c>
      <c r="I45" s="6" t="str">
        <f t="shared" si="7"/>
        <v>PASS</v>
      </c>
      <c r="J45" s="6" t="str">
        <f t="shared" si="8"/>
        <v>1</v>
      </c>
    </row>
    <row r="46" spans="4:14" x14ac:dyDescent="0.35">
      <c r="D46" s="6">
        <f>'SUB- 2'!C45</f>
        <v>31</v>
      </c>
      <c r="E46" s="6" t="str">
        <f>'SUB- 2'!D45</f>
        <v>BTMC24O1031</v>
      </c>
      <c r="F46" s="6">
        <v>19</v>
      </c>
      <c r="G46" s="6" t="s">
        <v>25</v>
      </c>
      <c r="H46" s="6">
        <f t="shared" si="6"/>
        <v>19</v>
      </c>
      <c r="I46" s="6" t="str">
        <f t="shared" si="7"/>
        <v>PASS</v>
      </c>
      <c r="J46" s="6" t="str">
        <f t="shared" si="8"/>
        <v>1</v>
      </c>
    </row>
    <row r="47" spans="4:14" x14ac:dyDescent="0.35">
      <c r="D47" s="6">
        <f>'SUB- 2'!C46</f>
        <v>32</v>
      </c>
      <c r="E47" s="6" t="str">
        <f>'SUB- 2'!D46</f>
        <v>BTMC24O1032</v>
      </c>
      <c r="F47" s="6">
        <v>9</v>
      </c>
      <c r="G47" s="6" t="s">
        <v>25</v>
      </c>
      <c r="H47" s="6">
        <f t="shared" si="6"/>
        <v>9</v>
      </c>
      <c r="I47" s="6" t="str">
        <f t="shared" si="7"/>
        <v>FAIL</v>
      </c>
      <c r="J47" s="6" t="str">
        <f t="shared" si="8"/>
        <v>0</v>
      </c>
    </row>
    <row r="48" spans="4:14" x14ac:dyDescent="0.35">
      <c r="D48" s="6">
        <f>'SUB- 2'!C47</f>
        <v>33</v>
      </c>
      <c r="E48" s="6" t="str">
        <f>'SUB- 2'!D47</f>
        <v>BTMC24O1033</v>
      </c>
      <c r="F48" s="6">
        <v>46</v>
      </c>
      <c r="G48" s="6" t="s">
        <v>25</v>
      </c>
      <c r="H48" s="6">
        <f t="shared" si="6"/>
        <v>46</v>
      </c>
      <c r="I48" s="6" t="str">
        <f t="shared" si="7"/>
        <v>PASS</v>
      </c>
      <c r="J48" s="6" t="str">
        <f t="shared" si="8"/>
        <v>1</v>
      </c>
    </row>
    <row r="49" spans="4:10" x14ac:dyDescent="0.35">
      <c r="D49" s="6">
        <f>'SUB- 2'!C48</f>
        <v>34</v>
      </c>
      <c r="E49" s="6" t="str">
        <f>'SUB- 2'!D48</f>
        <v>BTMC24O1034</v>
      </c>
      <c r="F49" s="6">
        <v>29</v>
      </c>
      <c r="G49" s="6" t="s">
        <v>25</v>
      </c>
      <c r="H49" s="6">
        <f t="shared" si="6"/>
        <v>29</v>
      </c>
      <c r="I49" s="6" t="str">
        <f t="shared" si="7"/>
        <v>PASS</v>
      </c>
      <c r="J49" s="6" t="str">
        <f t="shared" si="8"/>
        <v>1</v>
      </c>
    </row>
    <row r="50" spans="4:10" x14ac:dyDescent="0.35">
      <c r="D50" s="6">
        <f>'SUB- 2'!C49</f>
        <v>35</v>
      </c>
      <c r="E50" s="6" t="str">
        <f>'SUB- 2'!D49</f>
        <v>BTMC24O1035</v>
      </c>
      <c r="F50" s="6">
        <v>24</v>
      </c>
      <c r="G50" s="6" t="s">
        <v>25</v>
      </c>
      <c r="H50" s="6">
        <f t="shared" si="6"/>
        <v>24</v>
      </c>
      <c r="I50" s="6" t="str">
        <f t="shared" si="7"/>
        <v>PASS</v>
      </c>
      <c r="J50" s="6" t="str">
        <f t="shared" si="8"/>
        <v>1</v>
      </c>
    </row>
    <row r="51" spans="4:10" x14ac:dyDescent="0.35">
      <c r="D51" s="6">
        <f>'SUB- 2'!C50</f>
        <v>36</v>
      </c>
      <c r="E51" s="6" t="str">
        <f>'SUB- 2'!D50</f>
        <v>BTMC24O1036</v>
      </c>
      <c r="F51" s="6">
        <v>30</v>
      </c>
      <c r="G51" s="6" t="s">
        <v>25</v>
      </c>
      <c r="H51" s="6">
        <f t="shared" si="6"/>
        <v>30</v>
      </c>
      <c r="I51" s="6" t="str">
        <f t="shared" si="7"/>
        <v>PASS</v>
      </c>
      <c r="J51" s="6" t="str">
        <f t="shared" si="8"/>
        <v>1</v>
      </c>
    </row>
    <row r="52" spans="4:10" x14ac:dyDescent="0.35">
      <c r="D52" s="6">
        <f>'SUB- 2'!C51</f>
        <v>37</v>
      </c>
      <c r="E52" s="6" t="str">
        <f>'SUB- 2'!D51</f>
        <v>BTMC24O1037</v>
      </c>
      <c r="F52" s="6">
        <v>24</v>
      </c>
      <c r="G52" s="6" t="s">
        <v>25</v>
      </c>
      <c r="H52" s="6">
        <f t="shared" si="6"/>
        <v>24</v>
      </c>
      <c r="I52" s="6" t="str">
        <f t="shared" si="7"/>
        <v>PASS</v>
      </c>
      <c r="J52" s="6" t="str">
        <f t="shared" si="8"/>
        <v>1</v>
      </c>
    </row>
    <row r="53" spans="4:10" x14ac:dyDescent="0.35">
      <c r="D53" s="6">
        <f>'SUB- 2'!C52</f>
        <v>38</v>
      </c>
      <c r="E53" s="6" t="str">
        <f>'SUB- 2'!D52</f>
        <v>BTMC24O1038</v>
      </c>
      <c r="F53" s="6">
        <v>31</v>
      </c>
      <c r="G53" s="6" t="s">
        <v>25</v>
      </c>
      <c r="H53" s="6">
        <f t="shared" si="6"/>
        <v>31</v>
      </c>
      <c r="I53" s="6" t="str">
        <f t="shared" si="7"/>
        <v>PASS</v>
      </c>
      <c r="J53" s="6" t="str">
        <f t="shared" si="8"/>
        <v>1</v>
      </c>
    </row>
    <row r="54" spans="4:10" x14ac:dyDescent="0.35">
      <c r="D54" s="6">
        <f>'SUB- 2'!C53</f>
        <v>39</v>
      </c>
      <c r="E54" s="6" t="str">
        <f>'SUB- 2'!D53</f>
        <v>BTMC24O1039</v>
      </c>
      <c r="F54" s="6">
        <v>10</v>
      </c>
      <c r="G54" s="6" t="s">
        <v>25</v>
      </c>
      <c r="H54" s="6">
        <f t="shared" si="6"/>
        <v>10</v>
      </c>
      <c r="I54" s="6" t="str">
        <f t="shared" si="7"/>
        <v>FAIL</v>
      </c>
      <c r="J54" s="6" t="str">
        <f t="shared" si="8"/>
        <v>0</v>
      </c>
    </row>
    <row r="55" spans="4:10" x14ac:dyDescent="0.35">
      <c r="D55" s="6">
        <f>'SUB- 2'!C54</f>
        <v>40</v>
      </c>
      <c r="E55" s="6" t="str">
        <f>'SUB- 2'!D54</f>
        <v>BTMC24O1040</v>
      </c>
      <c r="F55" s="6">
        <v>35</v>
      </c>
      <c r="G55" s="6" t="s">
        <v>25</v>
      </c>
      <c r="H55" s="6">
        <f t="shared" si="6"/>
        <v>35</v>
      </c>
      <c r="I55" s="6" t="str">
        <f t="shared" si="7"/>
        <v>PASS</v>
      </c>
      <c r="J55" s="6" t="str">
        <f t="shared" si="8"/>
        <v>1</v>
      </c>
    </row>
    <row r="56" spans="4:10" x14ac:dyDescent="0.35">
      <c r="D56" s="6">
        <f>'SUB- 2'!C55</f>
        <v>41</v>
      </c>
      <c r="E56" s="6" t="str">
        <f>'SUB- 2'!D55</f>
        <v>BTMC24O1041</v>
      </c>
      <c r="F56" s="6">
        <v>18</v>
      </c>
      <c r="G56" s="6" t="s">
        <v>25</v>
      </c>
      <c r="H56" s="6">
        <f t="shared" si="6"/>
        <v>18</v>
      </c>
      <c r="I56" s="6" t="str">
        <f t="shared" si="7"/>
        <v>PASS</v>
      </c>
      <c r="J56" s="6" t="str">
        <f t="shared" si="8"/>
        <v>1</v>
      </c>
    </row>
    <row r="57" spans="4:10" x14ac:dyDescent="0.35">
      <c r="D57" s="6">
        <f>'SUB- 2'!C56</f>
        <v>42</v>
      </c>
      <c r="E57" s="6" t="str">
        <f>'SUB- 2'!D56</f>
        <v>BTMC24O1042</v>
      </c>
      <c r="F57" s="6">
        <v>4</v>
      </c>
      <c r="G57" s="6" t="s">
        <v>25</v>
      </c>
      <c r="H57" s="6">
        <f t="shared" si="6"/>
        <v>4</v>
      </c>
      <c r="I57" s="6" t="str">
        <f t="shared" si="7"/>
        <v>FAIL</v>
      </c>
      <c r="J57" s="6" t="str">
        <f t="shared" si="8"/>
        <v>0</v>
      </c>
    </row>
    <row r="58" spans="4:10" x14ac:dyDescent="0.35">
      <c r="D58" s="6">
        <f>'SUB- 2'!C57</f>
        <v>43</v>
      </c>
      <c r="E58" s="6" t="str">
        <f>'SUB- 2'!D57</f>
        <v>BTMC24O1043</v>
      </c>
      <c r="F58" s="6">
        <v>13</v>
      </c>
      <c r="G58" s="6" t="s">
        <v>25</v>
      </c>
      <c r="H58" s="6">
        <f t="shared" si="6"/>
        <v>13</v>
      </c>
      <c r="I58" s="6" t="str">
        <f t="shared" si="7"/>
        <v>FAIL</v>
      </c>
      <c r="J58" s="6" t="str">
        <f t="shared" si="8"/>
        <v>0</v>
      </c>
    </row>
    <row r="59" spans="4:10" x14ac:dyDescent="0.35">
      <c r="D59" s="6">
        <f>'SUB- 2'!C58</f>
        <v>44</v>
      </c>
      <c r="E59" s="6" t="str">
        <f>'SUB- 2'!D58</f>
        <v>BTMC24O1044</v>
      </c>
      <c r="F59" s="6">
        <v>38</v>
      </c>
      <c r="G59" s="6" t="s">
        <v>25</v>
      </c>
      <c r="H59" s="6">
        <f t="shared" si="6"/>
        <v>38</v>
      </c>
      <c r="I59" s="6" t="str">
        <f t="shared" si="7"/>
        <v>PASS</v>
      </c>
      <c r="J59" s="6" t="str">
        <f t="shared" si="8"/>
        <v>1</v>
      </c>
    </row>
    <row r="60" spans="4:10" x14ac:dyDescent="0.35">
      <c r="D60" s="6">
        <f>'SUB- 2'!C59</f>
        <v>45</v>
      </c>
      <c r="E60" s="6" t="str">
        <f>'SUB- 2'!D59</f>
        <v>BTMC24O1045</v>
      </c>
      <c r="F60" s="6">
        <v>6</v>
      </c>
      <c r="G60" s="6" t="s">
        <v>25</v>
      </c>
      <c r="H60" s="6">
        <f t="shared" si="6"/>
        <v>6</v>
      </c>
      <c r="I60" s="6" t="str">
        <f t="shared" si="7"/>
        <v>FAIL</v>
      </c>
      <c r="J60" s="6" t="str">
        <f t="shared" si="8"/>
        <v>0</v>
      </c>
    </row>
    <row r="61" spans="4:10" x14ac:dyDescent="0.35">
      <c r="D61" s="6">
        <f>'SUB- 2'!C60</f>
        <v>46</v>
      </c>
      <c r="E61" s="6" t="str">
        <f>'SUB- 2'!D60</f>
        <v>BTMC24O1046</v>
      </c>
      <c r="F61" s="6">
        <v>36</v>
      </c>
      <c r="G61" s="6" t="s">
        <v>25</v>
      </c>
      <c r="H61" s="6">
        <f t="shared" si="6"/>
        <v>36</v>
      </c>
      <c r="I61" s="6" t="str">
        <f t="shared" si="7"/>
        <v>PASS</v>
      </c>
      <c r="J61" s="6" t="str">
        <f t="shared" si="8"/>
        <v>1</v>
      </c>
    </row>
    <row r="62" spans="4:10" x14ac:dyDescent="0.35">
      <c r="D62" s="6">
        <f>'SUB- 2'!C61</f>
        <v>47</v>
      </c>
      <c r="E62" s="6" t="str">
        <f>'SUB- 2'!D61</f>
        <v>BTMC24O1047</v>
      </c>
      <c r="F62" s="6">
        <v>41</v>
      </c>
      <c r="G62" s="6" t="s">
        <v>25</v>
      </c>
      <c r="H62" s="6">
        <f t="shared" si="6"/>
        <v>41</v>
      </c>
      <c r="I62" s="6" t="str">
        <f t="shared" si="7"/>
        <v>PASS</v>
      </c>
      <c r="J62" s="6" t="str">
        <f t="shared" si="8"/>
        <v>1</v>
      </c>
    </row>
    <row r="63" spans="4:10" x14ac:dyDescent="0.35">
      <c r="D63" s="6">
        <f>'SUB- 2'!C62</f>
        <v>48</v>
      </c>
      <c r="E63" s="6" t="str">
        <f>'SUB- 2'!D62</f>
        <v>BTMC24O1048</v>
      </c>
      <c r="F63" s="6">
        <v>30</v>
      </c>
      <c r="G63" s="6" t="s">
        <v>25</v>
      </c>
      <c r="H63" s="6">
        <f t="shared" si="6"/>
        <v>30</v>
      </c>
      <c r="I63" s="6" t="str">
        <f t="shared" si="7"/>
        <v>PASS</v>
      </c>
      <c r="J63" s="6" t="str">
        <f t="shared" si="8"/>
        <v>1</v>
      </c>
    </row>
    <row r="64" spans="4:10" x14ac:dyDescent="0.35">
      <c r="D64" s="6">
        <f>'SUB- 2'!C63</f>
        <v>49</v>
      </c>
      <c r="E64" s="6" t="str">
        <f>'SUB- 2'!D63</f>
        <v>BTMC24O1049</v>
      </c>
      <c r="F64" s="6">
        <v>45</v>
      </c>
      <c r="G64" s="6" t="s">
        <v>25</v>
      </c>
      <c r="H64" s="6">
        <f t="shared" si="6"/>
        <v>45</v>
      </c>
      <c r="I64" s="6" t="str">
        <f t="shared" si="7"/>
        <v>PASS</v>
      </c>
      <c r="J64" s="6" t="str">
        <f t="shared" si="8"/>
        <v>1</v>
      </c>
    </row>
    <row r="65" spans="4:10" x14ac:dyDescent="0.35">
      <c r="D65" s="6">
        <f>'SUB- 2'!C64</f>
        <v>50</v>
      </c>
      <c r="E65" s="6" t="str">
        <f>'SUB- 2'!D64</f>
        <v>BTMC24O1050</v>
      </c>
      <c r="F65" s="6">
        <v>6</v>
      </c>
      <c r="G65" s="6" t="s">
        <v>25</v>
      </c>
      <c r="H65" s="6">
        <f t="shared" si="6"/>
        <v>6</v>
      </c>
      <c r="I65" s="6" t="str">
        <f t="shared" si="7"/>
        <v>FAIL</v>
      </c>
      <c r="J65" s="6" t="str">
        <f t="shared" si="8"/>
        <v>0</v>
      </c>
    </row>
    <row r="66" spans="4:10" x14ac:dyDescent="0.35">
      <c r="D66" s="6">
        <f>'SUB- 2'!C65</f>
        <v>51</v>
      </c>
      <c r="E66" s="6" t="str">
        <f>'SUB- 2'!D65</f>
        <v>BTMC24O1051</v>
      </c>
      <c r="F66" s="6">
        <v>35</v>
      </c>
      <c r="G66" s="6" t="s">
        <v>25</v>
      </c>
      <c r="H66" s="6">
        <f t="shared" si="6"/>
        <v>35</v>
      </c>
      <c r="I66" s="6" t="str">
        <f t="shared" si="7"/>
        <v>PASS</v>
      </c>
      <c r="J66" s="6" t="str">
        <f t="shared" si="8"/>
        <v>1</v>
      </c>
    </row>
    <row r="67" spans="4:10" x14ac:dyDescent="0.35">
      <c r="D67" s="6">
        <f>'SUB- 2'!C66</f>
        <v>52</v>
      </c>
      <c r="E67" s="6" t="str">
        <f>'SUB- 2'!D66</f>
        <v>BTMC24O1052</v>
      </c>
      <c r="F67" s="6">
        <v>0</v>
      </c>
      <c r="G67" s="6" t="s">
        <v>25</v>
      </c>
      <c r="H67" s="6">
        <f t="shared" si="6"/>
        <v>0</v>
      </c>
      <c r="I67" s="6" t="str">
        <f t="shared" si="7"/>
        <v>FAIL</v>
      </c>
      <c r="J67" s="6" t="str">
        <f t="shared" si="8"/>
        <v>0</v>
      </c>
    </row>
    <row r="68" spans="4:10" x14ac:dyDescent="0.35">
      <c r="D68" s="6">
        <f>'SUB- 2'!C67</f>
        <v>53</v>
      </c>
      <c r="E68" s="6" t="str">
        <f>'SUB- 2'!D67</f>
        <v>BTMC24O1053</v>
      </c>
      <c r="F68" s="6">
        <v>11</v>
      </c>
      <c r="G68" s="6" t="s">
        <v>25</v>
      </c>
      <c r="H68" s="6">
        <f t="shared" si="6"/>
        <v>11</v>
      </c>
      <c r="I68" s="6" t="str">
        <f t="shared" si="7"/>
        <v>FAIL</v>
      </c>
      <c r="J68" s="6" t="str">
        <f t="shared" si="8"/>
        <v>0</v>
      </c>
    </row>
    <row r="69" spans="4:10" x14ac:dyDescent="0.35">
      <c r="D69" s="6">
        <f>'SUB- 2'!C68</f>
        <v>54</v>
      </c>
      <c r="E69" s="6" t="str">
        <f>'SUB- 2'!D68</f>
        <v>BTMC24O1054</v>
      </c>
      <c r="F69" s="6">
        <v>7</v>
      </c>
      <c r="G69" s="6" t="s">
        <v>25</v>
      </c>
      <c r="H69" s="6">
        <f t="shared" si="6"/>
        <v>7</v>
      </c>
      <c r="I69" s="6" t="str">
        <f t="shared" si="7"/>
        <v>FAIL</v>
      </c>
      <c r="J69" s="6" t="str">
        <f t="shared" si="8"/>
        <v>0</v>
      </c>
    </row>
    <row r="70" spans="4:10" x14ac:dyDescent="0.35">
      <c r="D70" s="6">
        <f>'SUB- 2'!C69</f>
        <v>55</v>
      </c>
      <c r="E70" s="6" t="str">
        <f>'SUB- 2'!D69</f>
        <v>BTMC24O1055</v>
      </c>
      <c r="F70" s="6">
        <v>27</v>
      </c>
      <c r="G70" s="6" t="s">
        <v>25</v>
      </c>
      <c r="H70" s="6">
        <f t="shared" si="6"/>
        <v>27</v>
      </c>
      <c r="I70" s="6" t="str">
        <f t="shared" si="7"/>
        <v>PASS</v>
      </c>
      <c r="J70" s="6" t="str">
        <f t="shared" si="8"/>
        <v>1</v>
      </c>
    </row>
    <row r="71" spans="4:10" x14ac:dyDescent="0.35">
      <c r="D71" s="6">
        <f>'SUB- 2'!C70</f>
        <v>56</v>
      </c>
      <c r="E71" s="6" t="str">
        <f>'SUB- 2'!D70</f>
        <v>BTMC24O1056</v>
      </c>
      <c r="F71" s="6">
        <v>30</v>
      </c>
      <c r="G71" s="6" t="s">
        <v>25</v>
      </c>
      <c r="H71" s="6">
        <f t="shared" si="6"/>
        <v>30</v>
      </c>
      <c r="I71" s="6" t="str">
        <f t="shared" si="7"/>
        <v>PASS</v>
      </c>
      <c r="J71" s="6" t="str">
        <f t="shared" si="8"/>
        <v>1</v>
      </c>
    </row>
    <row r="72" spans="4:10" x14ac:dyDescent="0.35">
      <c r="D72" s="6">
        <f>'SUB- 2'!C71</f>
        <v>57</v>
      </c>
      <c r="E72" s="6" t="str">
        <f>'SUB- 2'!D71</f>
        <v>BTMC24O1057</v>
      </c>
      <c r="F72" s="6">
        <v>6</v>
      </c>
      <c r="G72" s="6" t="s">
        <v>25</v>
      </c>
      <c r="H72" s="6">
        <f t="shared" si="6"/>
        <v>6</v>
      </c>
      <c r="I72" s="6" t="str">
        <f t="shared" si="7"/>
        <v>FAIL</v>
      </c>
      <c r="J72" s="6" t="str">
        <f t="shared" si="8"/>
        <v>0</v>
      </c>
    </row>
    <row r="73" spans="4:10" x14ac:dyDescent="0.35">
      <c r="D73" s="6">
        <f>'SUB- 2'!C72</f>
        <v>58</v>
      </c>
      <c r="E73" s="6" t="str">
        <f>'SUB- 2'!D72</f>
        <v>BTMC24O1058</v>
      </c>
      <c r="F73" s="6">
        <v>25</v>
      </c>
      <c r="G73" s="6" t="s">
        <v>25</v>
      </c>
      <c r="H73" s="6">
        <f t="shared" si="6"/>
        <v>25</v>
      </c>
      <c r="I73" s="6" t="str">
        <f t="shared" si="7"/>
        <v>PASS</v>
      </c>
      <c r="J73" s="6" t="str">
        <f t="shared" si="8"/>
        <v>1</v>
      </c>
    </row>
    <row r="74" spans="4:10" x14ac:dyDescent="0.35">
      <c r="D74" s="6">
        <f>'SUB- 2'!C73</f>
        <v>59</v>
      </c>
      <c r="E74" s="6" t="str">
        <f>'SUB- 2'!D73</f>
        <v>BTMC24O1059</v>
      </c>
      <c r="F74" s="6">
        <v>29</v>
      </c>
      <c r="G74" s="6" t="s">
        <v>25</v>
      </c>
      <c r="H74" s="6">
        <f t="shared" si="6"/>
        <v>29</v>
      </c>
      <c r="I74" s="6" t="str">
        <f t="shared" si="7"/>
        <v>PASS</v>
      </c>
      <c r="J74" s="6" t="str">
        <f t="shared" si="8"/>
        <v>1</v>
      </c>
    </row>
    <row r="75" spans="4:10" x14ac:dyDescent="0.35">
      <c r="D75" s="6">
        <f>'SUB- 2'!C74</f>
        <v>60</v>
      </c>
      <c r="E75" s="6" t="str">
        <f>'SUB- 2'!D74</f>
        <v>BTMC24O1060</v>
      </c>
      <c r="F75" s="6">
        <v>32</v>
      </c>
      <c r="G75" s="6" t="s">
        <v>25</v>
      </c>
      <c r="H75" s="6">
        <f t="shared" si="6"/>
        <v>32</v>
      </c>
      <c r="I75" s="6" t="str">
        <f t="shared" si="7"/>
        <v>PASS</v>
      </c>
      <c r="J75" s="6" t="str">
        <f t="shared" si="8"/>
        <v>1</v>
      </c>
    </row>
    <row r="76" spans="4:10" x14ac:dyDescent="0.35">
      <c r="D76" s="6">
        <f>'SUB- 2'!C75</f>
        <v>61</v>
      </c>
      <c r="E76" s="6" t="str">
        <f>'SUB- 2'!D75</f>
        <v>BTMC24O1061</v>
      </c>
      <c r="F76" s="6">
        <v>32</v>
      </c>
      <c r="G76" s="6" t="s">
        <v>25</v>
      </c>
      <c r="H76" s="6">
        <f t="shared" si="6"/>
        <v>32</v>
      </c>
      <c r="I76" s="6" t="str">
        <f t="shared" si="7"/>
        <v>PASS</v>
      </c>
      <c r="J76" s="6" t="str">
        <f t="shared" si="8"/>
        <v>1</v>
      </c>
    </row>
    <row r="77" spans="4:10" x14ac:dyDescent="0.35">
      <c r="D77" s="6">
        <f>'SUB- 2'!C76</f>
        <v>62</v>
      </c>
      <c r="E77" s="6" t="str">
        <f>'SUB- 2'!D76</f>
        <v>BTMC24O1062</v>
      </c>
      <c r="F77" s="6">
        <v>8</v>
      </c>
      <c r="G77" s="6" t="s">
        <v>25</v>
      </c>
      <c r="H77" s="6">
        <f t="shared" si="6"/>
        <v>8</v>
      </c>
      <c r="I77" s="6" t="str">
        <f t="shared" si="7"/>
        <v>FAIL</v>
      </c>
      <c r="J77" s="6" t="str">
        <f t="shared" si="8"/>
        <v>0</v>
      </c>
    </row>
    <row r="78" spans="4:10" x14ac:dyDescent="0.35">
      <c r="D78" s="6">
        <f>'SUB- 2'!C77</f>
        <v>63</v>
      </c>
      <c r="E78" s="6" t="str">
        <f>'SUB- 2'!D77</f>
        <v>BTMC24O1063</v>
      </c>
      <c r="F78" s="6">
        <v>12</v>
      </c>
      <c r="G78" s="6" t="s">
        <v>25</v>
      </c>
      <c r="H78" s="6">
        <f t="shared" si="6"/>
        <v>12</v>
      </c>
      <c r="I78" s="6" t="str">
        <f t="shared" si="7"/>
        <v>FAIL</v>
      </c>
      <c r="J78" s="6" t="str">
        <f t="shared" si="8"/>
        <v>0</v>
      </c>
    </row>
    <row r="79" spans="4:10" x14ac:dyDescent="0.35">
      <c r="D79" s="6">
        <f>'SUB- 2'!C78</f>
        <v>64</v>
      </c>
      <c r="E79" s="6" t="str">
        <f>'SUB- 2'!D78</f>
        <v>BTMC24O1064</v>
      </c>
      <c r="F79" s="6">
        <v>7</v>
      </c>
      <c r="G79" s="6" t="s">
        <v>25</v>
      </c>
      <c r="H79" s="6">
        <f t="shared" si="6"/>
        <v>7</v>
      </c>
      <c r="I79" s="6" t="str">
        <f t="shared" si="7"/>
        <v>FAIL</v>
      </c>
      <c r="J79" s="6" t="str">
        <f t="shared" si="8"/>
        <v>0</v>
      </c>
    </row>
    <row r="80" spans="4:10" x14ac:dyDescent="0.35">
      <c r="D80" s="6">
        <f>'SUB- 2'!C79</f>
        <v>65</v>
      </c>
      <c r="E80" s="6" t="str">
        <f>'SUB- 2'!D79</f>
        <v>BTMC24O1065</v>
      </c>
      <c r="F80" s="6">
        <v>3</v>
      </c>
      <c r="G80" s="6" t="s">
        <v>25</v>
      </c>
      <c r="H80" s="6">
        <f t="shared" si="6"/>
        <v>3</v>
      </c>
      <c r="I80" s="6" t="str">
        <f t="shared" si="7"/>
        <v>FAIL</v>
      </c>
      <c r="J80" s="6" t="str">
        <f t="shared" si="8"/>
        <v>0</v>
      </c>
    </row>
    <row r="81" spans="4:10" x14ac:dyDescent="0.35">
      <c r="D81" s="6">
        <f>'SUB- 2'!C80</f>
        <v>66</v>
      </c>
      <c r="E81" s="6" t="str">
        <f>'SUB- 2'!D80</f>
        <v>BTMC24O1066</v>
      </c>
      <c r="F81" s="6">
        <v>19</v>
      </c>
      <c r="G81" s="6" t="s">
        <v>25</v>
      </c>
      <c r="H81" s="6">
        <f t="shared" si="6"/>
        <v>19</v>
      </c>
      <c r="I81" s="6" t="str">
        <f t="shared" si="7"/>
        <v>PASS</v>
      </c>
      <c r="J81" s="6" t="str">
        <f t="shared" si="8"/>
        <v>1</v>
      </c>
    </row>
    <row r="82" spans="4:10" x14ac:dyDescent="0.35">
      <c r="D82" s="6">
        <f>'SUB- 2'!C81</f>
        <v>67</v>
      </c>
      <c r="E82" s="6" t="str">
        <f>'SUB- 2'!D81</f>
        <v>BTMC24O1067</v>
      </c>
      <c r="F82" s="6">
        <v>29</v>
      </c>
      <c r="G82" s="6" t="s">
        <v>25</v>
      </c>
      <c r="H82" s="6">
        <f t="shared" si="6"/>
        <v>29</v>
      </c>
      <c r="I82" s="6" t="str">
        <f t="shared" si="7"/>
        <v>PASS</v>
      </c>
      <c r="J82" s="6" t="str">
        <f t="shared" si="8"/>
        <v>1</v>
      </c>
    </row>
    <row r="83" spans="4:10" x14ac:dyDescent="0.35">
      <c r="D83" s="6">
        <f>'SUB- 2'!C82</f>
        <v>68</v>
      </c>
      <c r="E83" s="6" t="str">
        <f>'SUB- 2'!D82</f>
        <v>BTMC24O1068</v>
      </c>
      <c r="F83" s="6">
        <v>7</v>
      </c>
      <c r="G83" s="6" t="s">
        <v>25</v>
      </c>
      <c r="H83" s="6">
        <f t="shared" si="6"/>
        <v>7</v>
      </c>
      <c r="I83" s="6" t="str">
        <f t="shared" si="7"/>
        <v>FAIL</v>
      </c>
      <c r="J83" s="6" t="str">
        <f t="shared" si="8"/>
        <v>0</v>
      </c>
    </row>
    <row r="84" spans="4:10" x14ac:dyDescent="0.35">
      <c r="D84" s="6">
        <f>'SUB- 2'!C83</f>
        <v>69</v>
      </c>
      <c r="E84" s="6" t="str">
        <f>'SUB- 2'!D83</f>
        <v>BTMC24O1069</v>
      </c>
      <c r="F84" s="6">
        <v>27</v>
      </c>
      <c r="G84" s="6" t="s">
        <v>25</v>
      </c>
      <c r="H84" s="6">
        <f t="shared" si="6"/>
        <v>27</v>
      </c>
      <c r="I84" s="6" t="str">
        <f t="shared" si="7"/>
        <v>PASS</v>
      </c>
      <c r="J84" s="6" t="str">
        <f t="shared" si="8"/>
        <v>1</v>
      </c>
    </row>
    <row r="85" spans="4:10" x14ac:dyDescent="0.35">
      <c r="D85" s="6">
        <f>'SUB- 2'!C84</f>
        <v>70</v>
      </c>
      <c r="E85" s="6" t="str">
        <f>'SUB- 2'!D84</f>
        <v>BTMC24O1070</v>
      </c>
      <c r="F85" s="6">
        <v>9</v>
      </c>
      <c r="G85" s="6" t="s">
        <v>25</v>
      </c>
      <c r="H85" s="6">
        <f t="shared" si="6"/>
        <v>9</v>
      </c>
      <c r="I85" s="6" t="str">
        <f t="shared" si="7"/>
        <v>FAIL</v>
      </c>
      <c r="J85" s="6" t="str">
        <f t="shared" si="8"/>
        <v>0</v>
      </c>
    </row>
    <row r="86" spans="4:10" x14ac:dyDescent="0.35">
      <c r="D86" s="6">
        <f>'SUB- 2'!C85</f>
        <v>71</v>
      </c>
      <c r="E86" s="6" t="str">
        <f>'SUB- 2'!D85</f>
        <v>BTMC24O1071</v>
      </c>
      <c r="F86" s="6">
        <v>21</v>
      </c>
      <c r="G86" s="6" t="s">
        <v>25</v>
      </c>
      <c r="H86" s="6">
        <f t="shared" si="6"/>
        <v>21</v>
      </c>
      <c r="I86" s="6" t="str">
        <f t="shared" si="7"/>
        <v>PASS</v>
      </c>
      <c r="J86" s="6" t="str">
        <f t="shared" si="8"/>
        <v>1</v>
      </c>
    </row>
    <row r="87" spans="4:10" x14ac:dyDescent="0.35">
      <c r="D87" s="6">
        <f>'SUB- 2'!C86</f>
        <v>72</v>
      </c>
      <c r="E87" s="6" t="str">
        <f>'SUB- 2'!D86</f>
        <v>BTMC24O1072</v>
      </c>
      <c r="F87" s="6">
        <v>38</v>
      </c>
      <c r="G87" s="6" t="s">
        <v>25</v>
      </c>
      <c r="H87" s="6">
        <f t="shared" si="6"/>
        <v>38</v>
      </c>
      <c r="I87" s="6" t="str">
        <f t="shared" si="7"/>
        <v>PASS</v>
      </c>
      <c r="J87" s="6" t="str">
        <f t="shared" si="8"/>
        <v>1</v>
      </c>
    </row>
    <row r="88" spans="4:10" x14ac:dyDescent="0.35">
      <c r="D88" s="6">
        <f>'SUB- 2'!C87</f>
        <v>73</v>
      </c>
      <c r="E88" s="6" t="str">
        <f>'SUB- 2'!D87</f>
        <v>BTMC24O1073</v>
      </c>
      <c r="F88" s="6">
        <v>6</v>
      </c>
      <c r="G88" s="6" t="s">
        <v>25</v>
      </c>
      <c r="H88" s="6">
        <f t="shared" si="6"/>
        <v>6</v>
      </c>
      <c r="I88" s="6" t="str">
        <f t="shared" si="7"/>
        <v>FAIL</v>
      </c>
      <c r="J88" s="6" t="str">
        <f t="shared" si="8"/>
        <v>0</v>
      </c>
    </row>
    <row r="89" spans="4:10" x14ac:dyDescent="0.35">
      <c r="D89" s="6">
        <f>'SUB- 2'!C88</f>
        <v>74</v>
      </c>
      <c r="E89" s="6" t="str">
        <f>'SUB- 2'!D88</f>
        <v>BTMC24O1074</v>
      </c>
      <c r="F89" s="6">
        <v>10</v>
      </c>
      <c r="G89" s="6" t="s">
        <v>25</v>
      </c>
      <c r="H89" s="6">
        <f t="shared" si="6"/>
        <v>10</v>
      </c>
      <c r="I89" s="6" t="str">
        <f t="shared" si="7"/>
        <v>FAIL</v>
      </c>
      <c r="J89" s="6" t="str">
        <f t="shared" si="8"/>
        <v>0</v>
      </c>
    </row>
    <row r="90" spans="4:10" x14ac:dyDescent="0.35">
      <c r="D90" s="6">
        <f>'SUB- 2'!C89</f>
        <v>75</v>
      </c>
      <c r="E90" s="6" t="str">
        <f>'SUB- 2'!D89</f>
        <v>BTMC24O1075</v>
      </c>
      <c r="F90" s="6">
        <v>24</v>
      </c>
      <c r="G90" s="6" t="s">
        <v>25</v>
      </c>
      <c r="H90" s="6">
        <f t="shared" si="6"/>
        <v>24</v>
      </c>
      <c r="I90" s="6" t="str">
        <f t="shared" si="7"/>
        <v>PASS</v>
      </c>
      <c r="J90" s="6" t="str">
        <f t="shared" si="8"/>
        <v>1</v>
      </c>
    </row>
    <row r="91" spans="4:10" x14ac:dyDescent="0.35">
      <c r="D91" s="6">
        <f>'SUB- 2'!C90</f>
        <v>76</v>
      </c>
      <c r="E91" s="6" t="str">
        <f>'SUB- 2'!D90</f>
        <v>BTMC24O1076</v>
      </c>
      <c r="F91" s="6">
        <v>7</v>
      </c>
      <c r="G91" s="6" t="s">
        <v>25</v>
      </c>
      <c r="H91" s="6">
        <f t="shared" si="6"/>
        <v>7</v>
      </c>
      <c r="I91" s="6" t="str">
        <f t="shared" si="7"/>
        <v>FAIL</v>
      </c>
      <c r="J91" s="6" t="str">
        <f t="shared" si="8"/>
        <v>0</v>
      </c>
    </row>
    <row r="92" spans="4:10" x14ac:dyDescent="0.35">
      <c r="D92" s="6">
        <f>'SUB- 2'!C91</f>
        <v>77</v>
      </c>
      <c r="E92" s="6" t="str">
        <f>'SUB- 2'!D91</f>
        <v>BTMC24O1077</v>
      </c>
      <c r="F92" s="6">
        <v>24</v>
      </c>
      <c r="G92" s="6" t="s">
        <v>25</v>
      </c>
      <c r="H92" s="6">
        <f t="shared" si="6"/>
        <v>24</v>
      </c>
      <c r="I92" s="6" t="str">
        <f t="shared" si="7"/>
        <v>PASS</v>
      </c>
      <c r="J92" s="6" t="str">
        <f t="shared" si="8"/>
        <v>1</v>
      </c>
    </row>
    <row r="93" spans="4:10" x14ac:dyDescent="0.35">
      <c r="D93" s="6">
        <f>'SUB- 2'!C92</f>
        <v>78</v>
      </c>
      <c r="E93" s="6" t="str">
        <f>'SUB- 2'!D92</f>
        <v>BTMC24O1078</v>
      </c>
      <c r="F93" s="6">
        <v>28</v>
      </c>
      <c r="G93" s="6" t="s">
        <v>25</v>
      </c>
      <c r="H93" s="6">
        <f t="shared" si="6"/>
        <v>28</v>
      </c>
      <c r="I93" s="6" t="str">
        <f t="shared" si="7"/>
        <v>PASS</v>
      </c>
      <c r="J93" s="6" t="str">
        <f t="shared" si="8"/>
        <v>1</v>
      </c>
    </row>
    <row r="94" spans="4:10" x14ac:dyDescent="0.35">
      <c r="D94" s="6">
        <f>'SUB- 2'!C93</f>
        <v>79</v>
      </c>
      <c r="E94" s="6" t="str">
        <f>'SUB- 2'!D93</f>
        <v>BTMC24O1079</v>
      </c>
      <c r="F94" s="6">
        <v>35</v>
      </c>
      <c r="G94" s="6" t="s">
        <v>25</v>
      </c>
      <c r="H94" s="6">
        <f t="shared" si="6"/>
        <v>35</v>
      </c>
      <c r="I94" s="6" t="str">
        <f t="shared" si="7"/>
        <v>PASS</v>
      </c>
      <c r="J94" s="6" t="str">
        <f t="shared" si="8"/>
        <v>1</v>
      </c>
    </row>
    <row r="95" spans="4:10" x14ac:dyDescent="0.35">
      <c r="D95" s="6">
        <f>'SUB- 2'!C94</f>
        <v>80</v>
      </c>
      <c r="E95" s="6" t="str">
        <f>'SUB- 2'!D94</f>
        <v>BTMC24O1080</v>
      </c>
      <c r="F95" s="6">
        <v>39</v>
      </c>
      <c r="G95" s="6" t="s">
        <v>25</v>
      </c>
      <c r="H95" s="6">
        <f t="shared" si="6"/>
        <v>39</v>
      </c>
      <c r="I95" s="6" t="str">
        <f t="shared" si="7"/>
        <v>PASS</v>
      </c>
      <c r="J95" s="6" t="str">
        <f t="shared" si="8"/>
        <v>1</v>
      </c>
    </row>
    <row r="96" spans="4:10" x14ac:dyDescent="0.35">
      <c r="D96" s="6">
        <f>'SUB- 2'!C95</f>
        <v>81</v>
      </c>
      <c r="E96" s="6" t="str">
        <f>'SUB- 2'!D95</f>
        <v>BTMC24O1081</v>
      </c>
      <c r="F96" s="6">
        <v>17</v>
      </c>
      <c r="G96" s="6" t="s">
        <v>25</v>
      </c>
      <c r="H96" s="6">
        <f t="shared" si="6"/>
        <v>17</v>
      </c>
      <c r="I96" s="6" t="str">
        <f t="shared" si="7"/>
        <v>PASS</v>
      </c>
      <c r="J96" s="6" t="str">
        <f t="shared" si="8"/>
        <v>1</v>
      </c>
    </row>
    <row r="97" spans="4:10" x14ac:dyDescent="0.35">
      <c r="D97" s="6">
        <f>'SUB- 2'!C96</f>
        <v>82</v>
      </c>
      <c r="E97" s="6" t="str">
        <f>'SUB- 2'!D96</f>
        <v>BTMC24O1082</v>
      </c>
      <c r="F97" s="6">
        <v>3</v>
      </c>
      <c r="G97" s="6" t="s">
        <v>25</v>
      </c>
      <c r="H97" s="6">
        <f t="shared" si="6"/>
        <v>3</v>
      </c>
      <c r="I97" s="6" t="str">
        <f t="shared" si="7"/>
        <v>FAIL</v>
      </c>
      <c r="J97" s="6" t="str">
        <f t="shared" si="8"/>
        <v>0</v>
      </c>
    </row>
    <row r="98" spans="4:10" x14ac:dyDescent="0.35">
      <c r="D98" s="6">
        <f>'SUB- 2'!C97</f>
        <v>83</v>
      </c>
      <c r="E98" s="6" t="str">
        <f>'SUB- 2'!D97</f>
        <v>BTMC24O1083</v>
      </c>
      <c r="F98" s="6">
        <v>12</v>
      </c>
      <c r="G98" s="6" t="s">
        <v>25</v>
      </c>
      <c r="H98" s="6">
        <f t="shared" si="6"/>
        <v>12</v>
      </c>
      <c r="I98" s="6" t="str">
        <f t="shared" si="7"/>
        <v>FAIL</v>
      </c>
      <c r="J98" s="6" t="str">
        <f t="shared" si="8"/>
        <v>0</v>
      </c>
    </row>
    <row r="99" spans="4:10" x14ac:dyDescent="0.35">
      <c r="D99" s="6">
        <f>'SUB- 2'!C98</f>
        <v>84</v>
      </c>
      <c r="E99" s="6" t="str">
        <f>'SUB- 2'!D98</f>
        <v>BTMC24O1084</v>
      </c>
      <c r="F99" s="6">
        <v>10</v>
      </c>
      <c r="G99" s="6" t="s">
        <v>25</v>
      </c>
      <c r="H99" s="6">
        <f t="shared" si="6"/>
        <v>10</v>
      </c>
      <c r="I99" s="6" t="str">
        <f t="shared" si="7"/>
        <v>FAIL</v>
      </c>
      <c r="J99" s="6" t="str">
        <f t="shared" si="8"/>
        <v>0</v>
      </c>
    </row>
    <row r="100" spans="4:10" x14ac:dyDescent="0.35">
      <c r="D100" s="6">
        <f>'SUB- 2'!C99</f>
        <v>85</v>
      </c>
      <c r="E100" s="6" t="str">
        <f>'SUB- 2'!D99</f>
        <v>BTMC24O1085</v>
      </c>
      <c r="F100" s="6">
        <v>10</v>
      </c>
      <c r="G100" s="6" t="s">
        <v>25</v>
      </c>
      <c r="H100" s="6">
        <f t="shared" si="6"/>
        <v>10</v>
      </c>
      <c r="I100" s="6" t="str">
        <f t="shared" si="7"/>
        <v>FAIL</v>
      </c>
      <c r="J100" s="6" t="str">
        <f t="shared" si="8"/>
        <v>0</v>
      </c>
    </row>
    <row r="101" spans="4:10" x14ac:dyDescent="0.35">
      <c r="D101" s="6">
        <f>'SUB- 2'!C100</f>
        <v>86</v>
      </c>
      <c r="E101" s="6" t="str">
        <f>'SUB- 2'!D100</f>
        <v>BTMC24O1086</v>
      </c>
      <c r="F101" s="6">
        <v>46</v>
      </c>
      <c r="G101" s="6" t="s">
        <v>25</v>
      </c>
      <c r="H101" s="6">
        <f t="shared" ref="H101:H115" si="9">F101</f>
        <v>46</v>
      </c>
      <c r="I101" s="6" t="str">
        <f t="shared" ref="I101:I115" si="10">IF(H101&lt;16,"FAIL","PASS")</f>
        <v>PASS</v>
      </c>
      <c r="J101" s="6" t="str">
        <f t="shared" ref="J101:J115" si="11">IF(H101&lt;16,"0","1")</f>
        <v>1</v>
      </c>
    </row>
    <row r="102" spans="4:10" x14ac:dyDescent="0.35">
      <c r="D102" s="6">
        <f>'SUB- 2'!C101</f>
        <v>87</v>
      </c>
      <c r="E102" s="6" t="str">
        <f>'SUB- 2'!D101</f>
        <v>BTMC24O1087</v>
      </c>
      <c r="F102" s="6">
        <v>50</v>
      </c>
      <c r="G102" s="6" t="s">
        <v>25</v>
      </c>
      <c r="H102" s="6">
        <f t="shared" si="9"/>
        <v>50</v>
      </c>
      <c r="I102" s="6" t="str">
        <f t="shared" si="10"/>
        <v>PASS</v>
      </c>
      <c r="J102" s="6" t="str">
        <f t="shared" si="11"/>
        <v>1</v>
      </c>
    </row>
    <row r="103" spans="4:10" x14ac:dyDescent="0.35">
      <c r="D103" s="6">
        <f>'SUB- 2'!C102</f>
        <v>88</v>
      </c>
      <c r="E103" s="6" t="str">
        <f>'SUB- 2'!D102</f>
        <v>BTMC24O1088</v>
      </c>
      <c r="F103" s="6">
        <v>37</v>
      </c>
      <c r="G103" s="6" t="s">
        <v>25</v>
      </c>
      <c r="H103" s="6">
        <f t="shared" si="9"/>
        <v>37</v>
      </c>
      <c r="I103" s="6" t="str">
        <f t="shared" si="10"/>
        <v>PASS</v>
      </c>
      <c r="J103" s="6" t="str">
        <f t="shared" si="11"/>
        <v>1</v>
      </c>
    </row>
    <row r="104" spans="4:10" x14ac:dyDescent="0.35">
      <c r="D104" s="6">
        <f>'SUB- 2'!C103</f>
        <v>89</v>
      </c>
      <c r="E104" s="6" t="str">
        <f>'SUB- 2'!D103</f>
        <v>BTMC24O1089</v>
      </c>
      <c r="F104" s="6">
        <v>30</v>
      </c>
      <c r="G104" s="6" t="s">
        <v>25</v>
      </c>
      <c r="H104" s="6">
        <f t="shared" si="9"/>
        <v>30</v>
      </c>
      <c r="I104" s="6" t="str">
        <f t="shared" si="10"/>
        <v>PASS</v>
      </c>
      <c r="J104" s="6" t="str">
        <f t="shared" si="11"/>
        <v>1</v>
      </c>
    </row>
    <row r="105" spans="4:10" x14ac:dyDescent="0.35">
      <c r="D105" s="6">
        <f>'SUB- 2'!C104</f>
        <v>90</v>
      </c>
      <c r="E105" s="6" t="str">
        <f>'SUB- 2'!D104</f>
        <v>BTMC24O1090</v>
      </c>
      <c r="F105" s="6">
        <v>32</v>
      </c>
      <c r="G105" s="6" t="s">
        <v>25</v>
      </c>
      <c r="H105" s="6">
        <f t="shared" si="9"/>
        <v>32</v>
      </c>
      <c r="I105" s="6" t="str">
        <f t="shared" si="10"/>
        <v>PASS</v>
      </c>
      <c r="J105" s="6" t="str">
        <f t="shared" si="11"/>
        <v>1</v>
      </c>
    </row>
    <row r="106" spans="4:10" x14ac:dyDescent="0.35">
      <c r="D106" s="6">
        <f>'SUB- 2'!C105</f>
        <v>91</v>
      </c>
      <c r="E106" s="6" t="str">
        <f>'SUB- 2'!D105</f>
        <v>BTMC24O1091</v>
      </c>
      <c r="F106" s="6">
        <v>6</v>
      </c>
      <c r="G106" s="6" t="s">
        <v>25</v>
      </c>
      <c r="H106" s="6">
        <f t="shared" si="9"/>
        <v>6</v>
      </c>
      <c r="I106" s="6" t="str">
        <f t="shared" si="10"/>
        <v>FAIL</v>
      </c>
      <c r="J106" s="6" t="str">
        <f t="shared" si="11"/>
        <v>0</v>
      </c>
    </row>
    <row r="107" spans="4:10" x14ac:dyDescent="0.35">
      <c r="D107" s="6">
        <f>'SUB- 2'!C106</f>
        <v>92</v>
      </c>
      <c r="E107" s="6" t="str">
        <f>'SUB- 2'!D106</f>
        <v>BTMC24O1092</v>
      </c>
      <c r="F107" s="6">
        <v>19</v>
      </c>
      <c r="G107" s="6" t="s">
        <v>25</v>
      </c>
      <c r="H107" s="6">
        <f t="shared" si="9"/>
        <v>19</v>
      </c>
      <c r="I107" s="6" t="str">
        <f t="shared" si="10"/>
        <v>PASS</v>
      </c>
      <c r="J107" s="6" t="str">
        <f t="shared" si="11"/>
        <v>1</v>
      </c>
    </row>
    <row r="108" spans="4:10" x14ac:dyDescent="0.35">
      <c r="D108" s="6">
        <f>'SUB- 2'!C107</f>
        <v>93</v>
      </c>
      <c r="E108" s="6" t="str">
        <f>'SUB- 2'!D107</f>
        <v>BTMC24O1093</v>
      </c>
      <c r="F108" s="6">
        <v>11</v>
      </c>
      <c r="G108" s="6" t="s">
        <v>25</v>
      </c>
      <c r="H108" s="6">
        <f t="shared" si="9"/>
        <v>11</v>
      </c>
      <c r="I108" s="6" t="str">
        <f t="shared" si="10"/>
        <v>FAIL</v>
      </c>
      <c r="J108" s="6" t="str">
        <f t="shared" si="11"/>
        <v>0</v>
      </c>
    </row>
    <row r="109" spans="4:10" x14ac:dyDescent="0.35">
      <c r="D109" s="6">
        <f>'SUB- 2'!C108</f>
        <v>94</v>
      </c>
      <c r="E109" s="6" t="str">
        <f>'SUB- 2'!D108</f>
        <v>BTMC24O1094</v>
      </c>
      <c r="F109" s="6">
        <v>12</v>
      </c>
      <c r="G109" s="6" t="s">
        <v>25</v>
      </c>
      <c r="H109" s="6">
        <f t="shared" si="9"/>
        <v>12</v>
      </c>
      <c r="I109" s="6" t="str">
        <f t="shared" si="10"/>
        <v>FAIL</v>
      </c>
      <c r="J109" s="6" t="str">
        <f t="shared" si="11"/>
        <v>0</v>
      </c>
    </row>
    <row r="110" spans="4:10" x14ac:dyDescent="0.35">
      <c r="D110" s="6">
        <f>'SUB- 2'!C109</f>
        <v>95</v>
      </c>
      <c r="E110" s="6" t="str">
        <f>'SUB- 2'!D109</f>
        <v>BTMC24O1095</v>
      </c>
      <c r="F110" s="6">
        <v>43</v>
      </c>
      <c r="G110" s="6" t="s">
        <v>25</v>
      </c>
      <c r="H110" s="6">
        <f t="shared" si="9"/>
        <v>43</v>
      </c>
      <c r="I110" s="6" t="str">
        <f t="shared" si="10"/>
        <v>PASS</v>
      </c>
      <c r="J110" s="6" t="str">
        <f t="shared" si="11"/>
        <v>1</v>
      </c>
    </row>
    <row r="111" spans="4:10" x14ac:dyDescent="0.35">
      <c r="D111" s="6">
        <f>'SUB- 2'!C110</f>
        <v>96</v>
      </c>
      <c r="E111" s="6" t="str">
        <f>'SUB- 2'!D110</f>
        <v>BTMC24O1096</v>
      </c>
      <c r="F111" s="6">
        <v>25</v>
      </c>
      <c r="G111" s="6" t="s">
        <v>25</v>
      </c>
      <c r="H111" s="6">
        <f t="shared" si="9"/>
        <v>25</v>
      </c>
      <c r="I111" s="6" t="str">
        <f t="shared" si="10"/>
        <v>PASS</v>
      </c>
      <c r="J111" s="6" t="str">
        <f t="shared" si="11"/>
        <v>1</v>
      </c>
    </row>
    <row r="112" spans="4:10" x14ac:dyDescent="0.35">
      <c r="D112" s="6">
        <f>'SUB- 2'!C111</f>
        <v>97</v>
      </c>
      <c r="E112" s="6" t="str">
        <f>'SUB- 2'!D111</f>
        <v>BTMC24O1097</v>
      </c>
      <c r="F112" s="6">
        <v>39</v>
      </c>
      <c r="G112" s="6" t="s">
        <v>25</v>
      </c>
      <c r="H112" s="6">
        <f t="shared" si="9"/>
        <v>39</v>
      </c>
      <c r="I112" s="6" t="str">
        <f t="shared" si="10"/>
        <v>PASS</v>
      </c>
      <c r="J112" s="6" t="str">
        <f t="shared" si="11"/>
        <v>1</v>
      </c>
    </row>
    <row r="113" spans="4:10" x14ac:dyDescent="0.35">
      <c r="D113" s="6">
        <f>'SUB- 2'!C112</f>
        <v>98</v>
      </c>
      <c r="E113" s="6" t="str">
        <f>'SUB- 2'!D112</f>
        <v>BTMC24O1098</v>
      </c>
      <c r="F113" s="6">
        <v>12</v>
      </c>
      <c r="G113" s="6" t="s">
        <v>25</v>
      </c>
      <c r="H113" s="6">
        <f t="shared" si="9"/>
        <v>12</v>
      </c>
      <c r="I113" s="6" t="str">
        <f t="shared" si="10"/>
        <v>FAIL</v>
      </c>
      <c r="J113" s="6" t="str">
        <f t="shared" si="11"/>
        <v>0</v>
      </c>
    </row>
    <row r="114" spans="4:10" x14ac:dyDescent="0.35">
      <c r="D114" s="6">
        <f>'SUB- 2'!C113</f>
        <v>99</v>
      </c>
      <c r="E114" s="6" t="str">
        <f>'SUB- 2'!D113</f>
        <v>BTMC24O1099</v>
      </c>
      <c r="F114" s="6">
        <v>29</v>
      </c>
      <c r="G114" s="6" t="s">
        <v>25</v>
      </c>
      <c r="H114" s="6">
        <f t="shared" si="9"/>
        <v>29</v>
      </c>
      <c r="I114" s="6" t="str">
        <f t="shared" si="10"/>
        <v>PASS</v>
      </c>
      <c r="J114" s="6" t="str">
        <f t="shared" si="11"/>
        <v>1</v>
      </c>
    </row>
    <row r="115" spans="4:10" x14ac:dyDescent="0.35">
      <c r="D115" s="6">
        <f>'SUB- 2'!C114</f>
        <v>100</v>
      </c>
      <c r="E115" s="6" t="str">
        <f>'SUB- 2'!D114</f>
        <v>BTMC24O1100</v>
      </c>
      <c r="F115" s="6">
        <v>34</v>
      </c>
      <c r="G115" s="6" t="s">
        <v>25</v>
      </c>
      <c r="H115" s="6">
        <f t="shared" si="9"/>
        <v>34</v>
      </c>
      <c r="I115" s="6" t="str">
        <f t="shared" si="10"/>
        <v>PASS</v>
      </c>
      <c r="J115" s="6" t="str">
        <f t="shared" si="11"/>
        <v>1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5:M15"/>
  </mergeCells>
  <conditionalFormatting sqref="I16:I115">
    <cfRule type="containsText" dxfId="4" priority="1" operator="containsText" text="FAIL">
      <formula>NOT(ISERROR(SEARCH("FAIL",I16)))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033A-7D3C-41D1-A4DC-7BE629D9FB3E}">
  <sheetPr codeName="Sheet10"/>
  <dimension ref="C1:Q116"/>
  <sheetViews>
    <sheetView topLeftCell="C1" zoomScale="80" zoomScaleNormal="80" workbookViewId="0">
      <selection activeCell="L16" sqref="L16:M17"/>
    </sheetView>
  </sheetViews>
  <sheetFormatPr defaultRowHeight="14.5" x14ac:dyDescent="0.35"/>
  <cols>
    <col min="4" max="4" width="6.54296875" customWidth="1"/>
    <col min="5" max="5" width="16.7265625" customWidth="1"/>
    <col min="6" max="6" width="20.0898437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128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115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ht="23" x14ac:dyDescent="0.6">
      <c r="C5" s="35"/>
      <c r="D5" s="164" t="s">
        <v>127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s="11" customFormat="1" ht="22" x14ac:dyDescent="0.6">
      <c r="C6" s="34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s="11" customFormat="1" ht="22" x14ac:dyDescent="0.6">
      <c r="C7" s="34"/>
      <c r="D7" s="34"/>
      <c r="E7" s="34"/>
      <c r="F7" s="34"/>
      <c r="G7" s="164" t="s">
        <v>114</v>
      </c>
      <c r="H7" s="166"/>
      <c r="I7" s="166"/>
      <c r="J7" s="166"/>
      <c r="K7" s="166"/>
      <c r="L7" s="166"/>
      <c r="M7" s="34"/>
      <c r="N7" s="34"/>
      <c r="O7" s="34"/>
      <c r="P7" s="34"/>
      <c r="Q7" s="40"/>
    </row>
    <row r="8" spans="3:17" s="11" customFormat="1" ht="21" x14ac:dyDescent="0.5">
      <c r="C8" s="34"/>
      <c r="D8" s="160" t="s">
        <v>111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s="11" customFormat="1" ht="21" x14ac:dyDescent="0.5">
      <c r="C9" s="40"/>
      <c r="D9" s="160" t="s">
        <v>129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x14ac:dyDescent="0.35">
      <c r="L11" s="7"/>
      <c r="M11" s="7"/>
      <c r="N11" s="7"/>
    </row>
    <row r="12" spans="3:17" ht="18.5" x14ac:dyDescent="0.45">
      <c r="E12" s="32">
        <v>25241109</v>
      </c>
      <c r="F12" s="32" t="s">
        <v>64</v>
      </c>
      <c r="G12" s="32" t="s">
        <v>65</v>
      </c>
      <c r="L12" s="7"/>
      <c r="M12" s="7"/>
      <c r="N12" s="7"/>
    </row>
    <row r="13" spans="3:17" x14ac:dyDescent="0.35">
      <c r="D13" s="29" t="s">
        <v>42</v>
      </c>
      <c r="E13" s="29" t="s">
        <v>43</v>
      </c>
      <c r="F13" s="29" t="s">
        <v>60</v>
      </c>
      <c r="G13" s="29" t="s">
        <v>49</v>
      </c>
      <c r="H13" s="29" t="s">
        <v>50</v>
      </c>
      <c r="I13" s="29" t="s">
        <v>52</v>
      </c>
      <c r="J13" s="29" t="s">
        <v>51</v>
      </c>
      <c r="L13" s="7"/>
      <c r="M13" s="7"/>
      <c r="N13" s="7"/>
    </row>
    <row r="14" spans="3:17" x14ac:dyDescent="0.35">
      <c r="D14" s="6"/>
      <c r="E14" s="6"/>
      <c r="F14" s="29" t="s">
        <v>61</v>
      </c>
      <c r="G14" s="6"/>
      <c r="H14" s="6"/>
      <c r="I14" s="6"/>
      <c r="J14" s="6"/>
      <c r="L14" s="7"/>
      <c r="M14" s="7"/>
      <c r="N14" s="7"/>
    </row>
    <row r="15" spans="3:17" x14ac:dyDescent="0.35">
      <c r="D15" s="6"/>
      <c r="E15" s="6"/>
      <c r="F15" s="33">
        <v>70</v>
      </c>
      <c r="G15" s="33">
        <v>30</v>
      </c>
      <c r="H15" s="33">
        <v>100</v>
      </c>
      <c r="I15" s="33" t="s">
        <v>53</v>
      </c>
      <c r="J15" s="33">
        <v>1</v>
      </c>
      <c r="L15" s="107" t="s">
        <v>660</v>
      </c>
      <c r="M15" s="107"/>
    </row>
    <row r="16" spans="3:17" x14ac:dyDescent="0.35">
      <c r="D16" s="6"/>
      <c r="E16" s="6"/>
      <c r="F16" s="6"/>
      <c r="G16" s="6"/>
      <c r="H16" s="6"/>
      <c r="I16" s="6"/>
      <c r="J16" s="6"/>
      <c r="L16" s="215" t="s">
        <v>668</v>
      </c>
      <c r="M16" s="212">
        <f>COUNTIF(I17:I116,I18)</f>
        <v>67</v>
      </c>
      <c r="N16" s="215"/>
      <c r="O16" s="215"/>
    </row>
    <row r="17" spans="4:15" x14ac:dyDescent="0.35">
      <c r="D17" s="6">
        <v>1</v>
      </c>
      <c r="E17" s="6" t="s">
        <v>140</v>
      </c>
      <c r="F17" s="6">
        <v>0</v>
      </c>
      <c r="G17" s="6">
        <v>20</v>
      </c>
      <c r="H17" s="6">
        <f>F17+G15</f>
        <v>30</v>
      </c>
      <c r="I17" s="6" t="str">
        <f>IF(H17&lt;35,"FAIL","PASS")</f>
        <v>FAIL</v>
      </c>
      <c r="J17" s="6" t="str">
        <f>IF(H17&lt;35,"0","1")</f>
        <v>0</v>
      </c>
      <c r="L17" s="215" t="s">
        <v>667</v>
      </c>
      <c r="M17" s="212">
        <f>COUNTIF(I17:I116,I17)</f>
        <v>33</v>
      </c>
      <c r="N17" s="212"/>
      <c r="O17" s="212"/>
    </row>
    <row r="18" spans="4:15" x14ac:dyDescent="0.35">
      <c r="D18" s="6">
        <v>2</v>
      </c>
      <c r="E18" s="6" t="s">
        <v>147</v>
      </c>
      <c r="F18" s="6">
        <v>22</v>
      </c>
      <c r="G18" s="6">
        <v>14</v>
      </c>
      <c r="H18" s="6">
        <f>F18+G17</f>
        <v>42</v>
      </c>
      <c r="I18" s="6" t="str">
        <f t="shared" ref="I18:I36" si="0">IF(H18&lt;35,"FAIL","PASS")</f>
        <v>PASS</v>
      </c>
      <c r="J18" s="6" t="str">
        <f t="shared" ref="J18:J36" si="1">IF(H18&lt;35,"0","1")</f>
        <v>1</v>
      </c>
      <c r="L18" s="212"/>
      <c r="M18" s="212"/>
      <c r="N18" s="212"/>
      <c r="O18" s="212"/>
    </row>
    <row r="19" spans="4:15" x14ac:dyDescent="0.35">
      <c r="D19" s="6">
        <v>3</v>
      </c>
      <c r="E19" s="6" t="s">
        <v>152</v>
      </c>
      <c r="F19" s="6">
        <v>28</v>
      </c>
      <c r="G19" s="6">
        <v>0</v>
      </c>
      <c r="H19" s="6">
        <f t="shared" ref="H19:H36" si="2">F19+G19</f>
        <v>28</v>
      </c>
      <c r="I19" s="6" t="str">
        <f t="shared" si="0"/>
        <v>FAIL</v>
      </c>
      <c r="J19" s="6" t="str">
        <f t="shared" si="1"/>
        <v>0</v>
      </c>
      <c r="M19" s="215"/>
      <c r="N19" s="215"/>
      <c r="O19" s="215"/>
    </row>
    <row r="20" spans="4:15" x14ac:dyDescent="0.35">
      <c r="D20" s="6">
        <v>4</v>
      </c>
      <c r="E20" s="6" t="s">
        <v>157</v>
      </c>
      <c r="F20" s="6">
        <v>37</v>
      </c>
      <c r="G20" s="6">
        <v>23</v>
      </c>
      <c r="H20" s="6">
        <f t="shared" si="2"/>
        <v>60</v>
      </c>
      <c r="I20" s="6" t="str">
        <f t="shared" si="0"/>
        <v>PASS</v>
      </c>
      <c r="J20" s="6" t="str">
        <f t="shared" si="1"/>
        <v>1</v>
      </c>
      <c r="M20" s="212"/>
      <c r="N20" s="212"/>
      <c r="O20" s="212"/>
    </row>
    <row r="21" spans="4:15" x14ac:dyDescent="0.35">
      <c r="D21" s="6">
        <v>5</v>
      </c>
      <c r="E21" s="6" t="s">
        <v>162</v>
      </c>
      <c r="F21" s="6">
        <v>60</v>
      </c>
      <c r="G21" s="6">
        <v>28</v>
      </c>
      <c r="H21" s="6">
        <f t="shared" si="2"/>
        <v>88</v>
      </c>
      <c r="I21" s="6" t="str">
        <f t="shared" si="0"/>
        <v>PASS</v>
      </c>
      <c r="J21" s="6" t="str">
        <f t="shared" si="1"/>
        <v>1</v>
      </c>
      <c r="L21" s="7"/>
      <c r="M21" s="7"/>
      <c r="N21" s="7"/>
    </row>
    <row r="22" spans="4:15" x14ac:dyDescent="0.35">
      <c r="D22" s="6">
        <v>6</v>
      </c>
      <c r="E22" s="6" t="s">
        <v>167</v>
      </c>
      <c r="F22" s="6">
        <v>23</v>
      </c>
      <c r="G22" s="6">
        <v>27</v>
      </c>
      <c r="H22" s="6">
        <f t="shared" si="2"/>
        <v>50</v>
      </c>
      <c r="I22" s="6" t="str">
        <f t="shared" si="0"/>
        <v>PASS</v>
      </c>
      <c r="J22" s="6" t="str">
        <f t="shared" si="1"/>
        <v>1</v>
      </c>
      <c r="L22" s="7"/>
      <c r="M22" s="7"/>
      <c r="N22" s="7"/>
    </row>
    <row r="23" spans="4:15" x14ac:dyDescent="0.35">
      <c r="D23" s="6">
        <v>7</v>
      </c>
      <c r="E23" s="6" t="s">
        <v>565</v>
      </c>
      <c r="F23" s="6">
        <v>55</v>
      </c>
      <c r="G23" s="6">
        <v>27</v>
      </c>
      <c r="H23" s="6">
        <f t="shared" si="2"/>
        <v>82</v>
      </c>
      <c r="I23" s="6" t="str">
        <f t="shared" si="0"/>
        <v>PASS</v>
      </c>
      <c r="J23" s="6" t="str">
        <f t="shared" si="1"/>
        <v>1</v>
      </c>
      <c r="L23" s="7"/>
      <c r="M23" s="7"/>
      <c r="N23" s="7"/>
    </row>
    <row r="24" spans="4:15" x14ac:dyDescent="0.35">
      <c r="D24" s="6">
        <v>8</v>
      </c>
      <c r="E24" s="6" t="s">
        <v>566</v>
      </c>
      <c r="F24" s="6">
        <v>26</v>
      </c>
      <c r="G24" s="6">
        <v>26</v>
      </c>
      <c r="H24" s="6">
        <f t="shared" si="2"/>
        <v>52</v>
      </c>
      <c r="I24" s="6" t="str">
        <f t="shared" si="0"/>
        <v>PASS</v>
      </c>
      <c r="J24" s="6" t="str">
        <f t="shared" si="1"/>
        <v>1</v>
      </c>
      <c r="L24" s="7"/>
      <c r="M24" s="7"/>
      <c r="N24" s="7"/>
    </row>
    <row r="25" spans="4:15" x14ac:dyDescent="0.35">
      <c r="D25" s="6">
        <v>9</v>
      </c>
      <c r="E25" s="6" t="s">
        <v>176</v>
      </c>
      <c r="F25" s="6">
        <v>65</v>
      </c>
      <c r="G25" s="6">
        <v>9</v>
      </c>
      <c r="H25" s="6">
        <f t="shared" si="2"/>
        <v>74</v>
      </c>
      <c r="I25" s="6" t="str">
        <f t="shared" si="0"/>
        <v>PASS</v>
      </c>
      <c r="J25" s="6" t="str">
        <f t="shared" si="1"/>
        <v>1</v>
      </c>
      <c r="L25" s="7"/>
      <c r="M25" s="7"/>
      <c r="N25" s="7"/>
    </row>
    <row r="26" spans="4:15" x14ac:dyDescent="0.35">
      <c r="D26" s="6">
        <v>10</v>
      </c>
      <c r="E26" s="6" t="s">
        <v>181</v>
      </c>
      <c r="F26" s="6">
        <v>13</v>
      </c>
      <c r="G26" s="6">
        <v>11</v>
      </c>
      <c r="H26" s="6">
        <f t="shared" si="2"/>
        <v>24</v>
      </c>
      <c r="I26" s="6" t="str">
        <f t="shared" si="0"/>
        <v>FAIL</v>
      </c>
      <c r="J26" s="6" t="str">
        <f t="shared" si="1"/>
        <v>0</v>
      </c>
      <c r="L26" s="7"/>
      <c r="M26" s="7"/>
      <c r="N26" s="7"/>
    </row>
    <row r="27" spans="4:15" x14ac:dyDescent="0.35">
      <c r="D27" s="6">
        <v>11</v>
      </c>
      <c r="E27" s="6" t="s">
        <v>186</v>
      </c>
      <c r="F27" s="6">
        <v>7</v>
      </c>
      <c r="G27" s="6">
        <v>13</v>
      </c>
      <c r="H27" s="6">
        <f t="shared" si="2"/>
        <v>20</v>
      </c>
      <c r="I27" s="6" t="str">
        <f t="shared" si="0"/>
        <v>FAIL</v>
      </c>
      <c r="J27" s="6" t="str">
        <f t="shared" si="1"/>
        <v>0</v>
      </c>
      <c r="L27" s="7"/>
      <c r="M27" s="7"/>
      <c r="N27" s="7"/>
    </row>
    <row r="28" spans="4:15" x14ac:dyDescent="0.35">
      <c r="D28" s="6">
        <v>12</v>
      </c>
      <c r="E28" s="6" t="s">
        <v>191</v>
      </c>
      <c r="F28" s="6">
        <v>55</v>
      </c>
      <c r="G28" s="6">
        <v>27</v>
      </c>
      <c r="H28" s="6">
        <f t="shared" si="2"/>
        <v>82</v>
      </c>
      <c r="I28" s="6" t="str">
        <f t="shared" si="0"/>
        <v>PASS</v>
      </c>
      <c r="J28" s="6" t="str">
        <f t="shared" si="1"/>
        <v>1</v>
      </c>
      <c r="L28" s="7"/>
      <c r="M28" s="7"/>
      <c r="N28" s="7"/>
    </row>
    <row r="29" spans="4:15" x14ac:dyDescent="0.35">
      <c r="D29" s="6">
        <v>13</v>
      </c>
      <c r="E29" s="6" t="s">
        <v>196</v>
      </c>
      <c r="F29" s="6">
        <v>62</v>
      </c>
      <c r="G29" s="6">
        <v>1</v>
      </c>
      <c r="H29" s="6">
        <f t="shared" si="2"/>
        <v>63</v>
      </c>
      <c r="I29" s="6" t="str">
        <f t="shared" si="0"/>
        <v>PASS</v>
      </c>
      <c r="J29" s="6" t="str">
        <f t="shared" si="1"/>
        <v>1</v>
      </c>
      <c r="L29" s="7"/>
      <c r="M29" s="7"/>
      <c r="N29" s="7"/>
    </row>
    <row r="30" spans="4:15" x14ac:dyDescent="0.35">
      <c r="D30" s="6">
        <v>14</v>
      </c>
      <c r="E30" s="6" t="s">
        <v>567</v>
      </c>
      <c r="F30" s="6">
        <v>49</v>
      </c>
      <c r="G30" s="6">
        <v>1</v>
      </c>
      <c r="H30" s="6">
        <f t="shared" si="2"/>
        <v>50</v>
      </c>
      <c r="I30" s="6" t="str">
        <f t="shared" si="0"/>
        <v>PASS</v>
      </c>
      <c r="J30" s="6" t="str">
        <f t="shared" si="1"/>
        <v>1</v>
      </c>
      <c r="L30" s="7"/>
      <c r="M30" s="7"/>
      <c r="N30" s="7"/>
    </row>
    <row r="31" spans="4:15" x14ac:dyDescent="0.35">
      <c r="D31" s="6">
        <v>15</v>
      </c>
      <c r="E31" s="6" t="s">
        <v>568</v>
      </c>
      <c r="F31" s="6">
        <v>28</v>
      </c>
      <c r="G31" s="6">
        <v>30</v>
      </c>
      <c r="H31" s="6">
        <f t="shared" si="2"/>
        <v>58</v>
      </c>
      <c r="I31" s="6" t="str">
        <f t="shared" si="0"/>
        <v>PASS</v>
      </c>
      <c r="J31" s="6" t="str">
        <f t="shared" si="1"/>
        <v>1</v>
      </c>
      <c r="L31" s="7"/>
      <c r="M31" s="7"/>
      <c r="N31" s="7"/>
    </row>
    <row r="32" spans="4:15" x14ac:dyDescent="0.35">
      <c r="D32" s="6">
        <v>16</v>
      </c>
      <c r="E32" s="6" t="s">
        <v>204</v>
      </c>
      <c r="F32" s="6">
        <v>68</v>
      </c>
      <c r="G32" s="6">
        <v>25</v>
      </c>
      <c r="H32" s="6">
        <f t="shared" si="2"/>
        <v>93</v>
      </c>
      <c r="I32" s="6" t="str">
        <f t="shared" si="0"/>
        <v>PASS</v>
      </c>
      <c r="J32" s="6" t="str">
        <f t="shared" si="1"/>
        <v>1</v>
      </c>
      <c r="L32" s="7"/>
      <c r="M32" s="7"/>
      <c r="N32" s="7"/>
    </row>
    <row r="33" spans="4:14" x14ac:dyDescent="0.35">
      <c r="D33" s="6">
        <v>17</v>
      </c>
      <c r="E33" s="6" t="s">
        <v>209</v>
      </c>
      <c r="F33" s="6">
        <v>34</v>
      </c>
      <c r="G33" s="6">
        <v>13</v>
      </c>
      <c r="H33" s="6">
        <f t="shared" si="2"/>
        <v>47</v>
      </c>
      <c r="I33" s="6" t="str">
        <f t="shared" si="0"/>
        <v>PASS</v>
      </c>
      <c r="J33" s="6" t="str">
        <f t="shared" si="1"/>
        <v>1</v>
      </c>
      <c r="L33" s="7"/>
      <c r="M33" s="7"/>
      <c r="N33" s="7"/>
    </row>
    <row r="34" spans="4:14" x14ac:dyDescent="0.35">
      <c r="D34" s="6">
        <v>18</v>
      </c>
      <c r="E34" s="6" t="s">
        <v>214</v>
      </c>
      <c r="F34" s="6">
        <v>2</v>
      </c>
      <c r="G34" s="6">
        <v>15</v>
      </c>
      <c r="H34" s="6">
        <f t="shared" si="2"/>
        <v>17</v>
      </c>
      <c r="I34" s="6" t="str">
        <f t="shared" si="0"/>
        <v>FAIL</v>
      </c>
      <c r="J34" s="6" t="str">
        <f t="shared" si="1"/>
        <v>0</v>
      </c>
      <c r="L34" s="7"/>
      <c r="M34" s="7"/>
      <c r="N34" s="7"/>
    </row>
    <row r="35" spans="4:14" x14ac:dyDescent="0.35">
      <c r="D35" s="6">
        <v>19</v>
      </c>
      <c r="E35" s="6" t="s">
        <v>219</v>
      </c>
      <c r="F35" s="6">
        <v>9</v>
      </c>
      <c r="G35" s="6">
        <v>13</v>
      </c>
      <c r="H35" s="6">
        <f t="shared" si="2"/>
        <v>22</v>
      </c>
      <c r="I35" s="6" t="str">
        <f t="shared" si="0"/>
        <v>FAIL</v>
      </c>
      <c r="J35" s="6" t="str">
        <f t="shared" si="1"/>
        <v>0</v>
      </c>
      <c r="L35" s="7"/>
      <c r="M35" s="7"/>
      <c r="N35" s="7"/>
    </row>
    <row r="36" spans="4:14" x14ac:dyDescent="0.35">
      <c r="D36" s="6">
        <v>20</v>
      </c>
      <c r="E36" s="6" t="s">
        <v>224</v>
      </c>
      <c r="F36" s="6">
        <v>38</v>
      </c>
      <c r="G36" s="6">
        <v>26</v>
      </c>
      <c r="H36" s="6">
        <f t="shared" si="2"/>
        <v>64</v>
      </c>
      <c r="I36" s="6" t="str">
        <f t="shared" si="0"/>
        <v>PASS</v>
      </c>
      <c r="J36" s="6" t="str">
        <f t="shared" si="1"/>
        <v>1</v>
      </c>
    </row>
    <row r="37" spans="4:14" x14ac:dyDescent="0.35">
      <c r="D37" s="6">
        <f>'SUB- 2'!C35</f>
        <v>21</v>
      </c>
      <c r="E37" s="6" t="str">
        <f>'SUB- 2'!D35</f>
        <v>BTMC24O1021</v>
      </c>
      <c r="F37" s="6">
        <v>44</v>
      </c>
      <c r="G37" s="6">
        <v>29</v>
      </c>
      <c r="H37" s="6">
        <f t="shared" ref="H37" si="3">F37+G37</f>
        <v>73</v>
      </c>
      <c r="I37" s="6" t="str">
        <f t="shared" ref="I37" si="4">IF(H37&lt;35,"FAIL","PASS")</f>
        <v>PASS</v>
      </c>
      <c r="J37" s="6" t="str">
        <f t="shared" ref="J37" si="5">IF(H37&lt;35,"0","1")</f>
        <v>1</v>
      </c>
    </row>
    <row r="38" spans="4:14" x14ac:dyDescent="0.35">
      <c r="D38" s="6">
        <f>'SUB- 2'!C36</f>
        <v>22</v>
      </c>
      <c r="E38" s="6" t="str">
        <f>'SUB- 2'!D36</f>
        <v>BTMC24O1022</v>
      </c>
      <c r="F38" s="6">
        <v>42</v>
      </c>
      <c r="G38" s="6">
        <v>22</v>
      </c>
      <c r="H38" s="6">
        <f t="shared" ref="H38:H101" si="6">F38+G38</f>
        <v>64</v>
      </c>
      <c r="I38" s="6" t="str">
        <f t="shared" ref="I38:I101" si="7">IF(H38&lt;35,"FAIL","PASS")</f>
        <v>PASS</v>
      </c>
      <c r="J38" s="6" t="str">
        <f t="shared" ref="J38:J101" si="8">IF(H38&lt;35,"0","1")</f>
        <v>1</v>
      </c>
    </row>
    <row r="39" spans="4:14" x14ac:dyDescent="0.35">
      <c r="D39" s="6">
        <f>'SUB- 2'!C37</f>
        <v>23</v>
      </c>
      <c r="E39" s="6" t="str">
        <f>'SUB- 2'!D37</f>
        <v>BTMC24O1023</v>
      </c>
      <c r="F39" s="6">
        <v>0</v>
      </c>
      <c r="G39" s="6">
        <v>24</v>
      </c>
      <c r="H39" s="6">
        <f t="shared" si="6"/>
        <v>24</v>
      </c>
      <c r="I39" s="6" t="str">
        <f t="shared" si="7"/>
        <v>FAIL</v>
      </c>
      <c r="J39" s="6" t="str">
        <f t="shared" si="8"/>
        <v>0</v>
      </c>
    </row>
    <row r="40" spans="4:14" x14ac:dyDescent="0.35">
      <c r="D40" s="6">
        <f>'SUB- 2'!C38</f>
        <v>24</v>
      </c>
      <c r="E40" s="6" t="str">
        <f>'SUB- 2'!D38</f>
        <v>BTMC24O1024</v>
      </c>
      <c r="F40" s="6">
        <v>33</v>
      </c>
      <c r="G40" s="6">
        <v>25</v>
      </c>
      <c r="H40" s="6">
        <f t="shared" si="6"/>
        <v>58</v>
      </c>
      <c r="I40" s="6" t="str">
        <f t="shared" si="7"/>
        <v>PASS</v>
      </c>
      <c r="J40" s="6" t="str">
        <f t="shared" si="8"/>
        <v>1</v>
      </c>
    </row>
    <row r="41" spans="4:14" x14ac:dyDescent="0.35">
      <c r="D41" s="6">
        <f>'SUB- 2'!C39</f>
        <v>25</v>
      </c>
      <c r="E41" s="6" t="str">
        <f>'SUB- 2'!D39</f>
        <v>BTMC24O1025</v>
      </c>
      <c r="F41" s="6">
        <v>48</v>
      </c>
      <c r="G41" s="6">
        <v>4</v>
      </c>
      <c r="H41" s="6">
        <f t="shared" si="6"/>
        <v>52</v>
      </c>
      <c r="I41" s="6" t="str">
        <f t="shared" si="7"/>
        <v>PASS</v>
      </c>
      <c r="J41" s="6" t="str">
        <f t="shared" si="8"/>
        <v>1</v>
      </c>
    </row>
    <row r="42" spans="4:14" x14ac:dyDescent="0.35">
      <c r="D42" s="6">
        <f>'SUB- 2'!C40</f>
        <v>26</v>
      </c>
      <c r="E42" s="6" t="str">
        <f>'SUB- 2'!D40</f>
        <v>BTMC24O1026</v>
      </c>
      <c r="F42" s="6">
        <v>11</v>
      </c>
      <c r="G42" s="6">
        <v>21</v>
      </c>
      <c r="H42" s="6">
        <f t="shared" si="6"/>
        <v>32</v>
      </c>
      <c r="I42" s="6" t="str">
        <f t="shared" si="7"/>
        <v>FAIL</v>
      </c>
      <c r="J42" s="6" t="str">
        <f t="shared" si="8"/>
        <v>0</v>
      </c>
    </row>
    <row r="43" spans="4:14" x14ac:dyDescent="0.35">
      <c r="D43" s="6">
        <f>'SUB- 2'!C41</f>
        <v>27</v>
      </c>
      <c r="E43" s="6" t="str">
        <f>'SUB- 2'!D41</f>
        <v>BTMC24O1027</v>
      </c>
      <c r="F43" s="6">
        <v>54</v>
      </c>
      <c r="G43" s="6">
        <v>21</v>
      </c>
      <c r="H43" s="6">
        <f t="shared" si="6"/>
        <v>75</v>
      </c>
      <c r="I43" s="6" t="str">
        <f t="shared" si="7"/>
        <v>PASS</v>
      </c>
      <c r="J43" s="6" t="str">
        <f t="shared" si="8"/>
        <v>1</v>
      </c>
    </row>
    <row r="44" spans="4:14" x14ac:dyDescent="0.35">
      <c r="D44" s="6">
        <f>'SUB- 2'!C42</f>
        <v>28</v>
      </c>
      <c r="E44" s="6" t="str">
        <f>'SUB- 2'!D42</f>
        <v>BTMC24O1028</v>
      </c>
      <c r="F44" s="6">
        <v>32</v>
      </c>
      <c r="G44" s="6">
        <v>0</v>
      </c>
      <c r="H44" s="6">
        <f t="shared" si="6"/>
        <v>32</v>
      </c>
      <c r="I44" s="6" t="str">
        <f t="shared" si="7"/>
        <v>FAIL</v>
      </c>
      <c r="J44" s="6" t="str">
        <f t="shared" si="8"/>
        <v>0</v>
      </c>
    </row>
    <row r="45" spans="4:14" x14ac:dyDescent="0.35">
      <c r="D45" s="6">
        <f>'SUB- 2'!C43</f>
        <v>29</v>
      </c>
      <c r="E45" s="6" t="str">
        <f>'SUB- 2'!D43</f>
        <v>BTMC24O1029</v>
      </c>
      <c r="F45" s="6">
        <v>2</v>
      </c>
      <c r="G45" s="6">
        <v>9</v>
      </c>
      <c r="H45" s="6">
        <f t="shared" si="6"/>
        <v>11</v>
      </c>
      <c r="I45" s="6" t="str">
        <f t="shared" si="7"/>
        <v>FAIL</v>
      </c>
      <c r="J45" s="6" t="str">
        <f t="shared" si="8"/>
        <v>0</v>
      </c>
    </row>
    <row r="46" spans="4:14" x14ac:dyDescent="0.35">
      <c r="D46" s="6">
        <f>'SUB- 2'!C44</f>
        <v>30</v>
      </c>
      <c r="E46" s="6" t="str">
        <f>'SUB- 2'!D44</f>
        <v>BTMC24O1030</v>
      </c>
      <c r="F46" s="6">
        <v>9</v>
      </c>
      <c r="G46" s="6">
        <v>8</v>
      </c>
      <c r="H46" s="6">
        <f t="shared" si="6"/>
        <v>17</v>
      </c>
      <c r="I46" s="6" t="str">
        <f t="shared" si="7"/>
        <v>FAIL</v>
      </c>
      <c r="J46" s="6" t="str">
        <f t="shared" si="8"/>
        <v>0</v>
      </c>
    </row>
    <row r="47" spans="4:14" x14ac:dyDescent="0.35">
      <c r="D47" s="6">
        <f>'SUB- 2'!C45</f>
        <v>31</v>
      </c>
      <c r="E47" s="6" t="str">
        <f>'SUB- 2'!D45</f>
        <v>BTMC24O1031</v>
      </c>
      <c r="F47" s="6">
        <v>55</v>
      </c>
      <c r="G47" s="6">
        <v>30</v>
      </c>
      <c r="H47" s="6">
        <f t="shared" si="6"/>
        <v>85</v>
      </c>
      <c r="I47" s="6" t="str">
        <f t="shared" si="7"/>
        <v>PASS</v>
      </c>
      <c r="J47" s="6" t="str">
        <f t="shared" si="8"/>
        <v>1</v>
      </c>
    </row>
    <row r="48" spans="4:14" x14ac:dyDescent="0.35">
      <c r="D48" s="6">
        <f>'SUB- 2'!C46</f>
        <v>32</v>
      </c>
      <c r="E48" s="6" t="str">
        <f>'SUB- 2'!D46</f>
        <v>BTMC24O1032</v>
      </c>
      <c r="F48" s="6">
        <v>68</v>
      </c>
      <c r="G48" s="6">
        <v>9</v>
      </c>
      <c r="H48" s="6">
        <f t="shared" si="6"/>
        <v>77</v>
      </c>
      <c r="I48" s="6" t="str">
        <f t="shared" si="7"/>
        <v>PASS</v>
      </c>
      <c r="J48" s="6" t="str">
        <f t="shared" si="8"/>
        <v>1</v>
      </c>
    </row>
    <row r="49" spans="4:10" x14ac:dyDescent="0.35">
      <c r="D49" s="6">
        <f>'SUB- 2'!C47</f>
        <v>33</v>
      </c>
      <c r="E49" s="6" t="str">
        <f>'SUB- 2'!D47</f>
        <v>BTMC24O1033</v>
      </c>
      <c r="F49" s="6">
        <v>61</v>
      </c>
      <c r="G49" s="6">
        <v>30</v>
      </c>
      <c r="H49" s="6">
        <f t="shared" si="6"/>
        <v>91</v>
      </c>
      <c r="I49" s="6" t="str">
        <f t="shared" si="7"/>
        <v>PASS</v>
      </c>
      <c r="J49" s="6" t="str">
        <f t="shared" si="8"/>
        <v>1</v>
      </c>
    </row>
    <row r="50" spans="4:10" x14ac:dyDescent="0.35">
      <c r="D50" s="6">
        <f>'SUB- 2'!C48</f>
        <v>34</v>
      </c>
      <c r="E50" s="6" t="str">
        <f>'SUB- 2'!D48</f>
        <v>BTMC24O1034</v>
      </c>
      <c r="F50" s="6">
        <v>31</v>
      </c>
      <c r="G50" s="6">
        <v>12</v>
      </c>
      <c r="H50" s="6">
        <f t="shared" si="6"/>
        <v>43</v>
      </c>
      <c r="I50" s="6" t="str">
        <f t="shared" si="7"/>
        <v>PASS</v>
      </c>
      <c r="J50" s="6" t="str">
        <f t="shared" si="8"/>
        <v>1</v>
      </c>
    </row>
    <row r="51" spans="4:10" x14ac:dyDescent="0.35">
      <c r="D51" s="6">
        <f>'SUB- 2'!C49</f>
        <v>35</v>
      </c>
      <c r="E51" s="6" t="str">
        <f>'SUB- 2'!D49</f>
        <v>BTMC24O1035</v>
      </c>
      <c r="F51" s="6">
        <v>1</v>
      </c>
      <c r="G51" s="6">
        <v>0</v>
      </c>
      <c r="H51" s="6">
        <f t="shared" si="6"/>
        <v>1</v>
      </c>
      <c r="I51" s="6" t="str">
        <f t="shared" si="7"/>
        <v>FAIL</v>
      </c>
      <c r="J51" s="6" t="str">
        <f t="shared" si="8"/>
        <v>0</v>
      </c>
    </row>
    <row r="52" spans="4:10" x14ac:dyDescent="0.35">
      <c r="D52" s="6">
        <f>'SUB- 2'!C50</f>
        <v>36</v>
      </c>
      <c r="E52" s="6" t="str">
        <f>'SUB- 2'!D50</f>
        <v>BTMC24O1036</v>
      </c>
      <c r="F52" s="6">
        <v>17</v>
      </c>
      <c r="G52" s="6">
        <v>20</v>
      </c>
      <c r="H52" s="6">
        <f t="shared" si="6"/>
        <v>37</v>
      </c>
      <c r="I52" s="6" t="str">
        <f t="shared" si="7"/>
        <v>PASS</v>
      </c>
      <c r="J52" s="6" t="str">
        <f t="shared" si="8"/>
        <v>1</v>
      </c>
    </row>
    <row r="53" spans="4:10" x14ac:dyDescent="0.35">
      <c r="D53" s="6">
        <f>'SUB- 2'!C51</f>
        <v>37</v>
      </c>
      <c r="E53" s="6" t="str">
        <f>'SUB- 2'!D51</f>
        <v>BTMC24O1037</v>
      </c>
      <c r="F53" s="6">
        <v>17</v>
      </c>
      <c r="G53" s="6">
        <v>27</v>
      </c>
      <c r="H53" s="6">
        <f t="shared" si="6"/>
        <v>44</v>
      </c>
      <c r="I53" s="6" t="str">
        <f t="shared" si="7"/>
        <v>PASS</v>
      </c>
      <c r="J53" s="6" t="str">
        <f t="shared" si="8"/>
        <v>1</v>
      </c>
    </row>
    <row r="54" spans="4:10" x14ac:dyDescent="0.35">
      <c r="D54" s="6">
        <f>'SUB- 2'!C52</f>
        <v>38</v>
      </c>
      <c r="E54" s="6" t="str">
        <f>'SUB- 2'!D52</f>
        <v>BTMC24O1038</v>
      </c>
      <c r="F54" s="6">
        <v>64</v>
      </c>
      <c r="G54" s="6">
        <v>16</v>
      </c>
      <c r="H54" s="6">
        <f t="shared" si="6"/>
        <v>80</v>
      </c>
      <c r="I54" s="6" t="str">
        <f t="shared" si="7"/>
        <v>PASS</v>
      </c>
      <c r="J54" s="6" t="str">
        <f t="shared" si="8"/>
        <v>1</v>
      </c>
    </row>
    <row r="55" spans="4:10" x14ac:dyDescent="0.35">
      <c r="D55" s="6">
        <f>'SUB- 2'!C53</f>
        <v>39</v>
      </c>
      <c r="E55" s="6" t="str">
        <f>'SUB- 2'!D53</f>
        <v>BTMC24O1039</v>
      </c>
      <c r="F55" s="6">
        <v>10</v>
      </c>
      <c r="G55" s="6">
        <v>29</v>
      </c>
      <c r="H55" s="6">
        <f t="shared" si="6"/>
        <v>39</v>
      </c>
      <c r="I55" s="6" t="str">
        <f t="shared" si="7"/>
        <v>PASS</v>
      </c>
      <c r="J55" s="6" t="str">
        <f t="shared" si="8"/>
        <v>1</v>
      </c>
    </row>
    <row r="56" spans="4:10" x14ac:dyDescent="0.35">
      <c r="D56" s="6">
        <f>'SUB- 2'!C54</f>
        <v>40</v>
      </c>
      <c r="E56" s="6" t="str">
        <f>'SUB- 2'!D54</f>
        <v>BTMC24O1040</v>
      </c>
      <c r="F56" s="6">
        <v>36</v>
      </c>
      <c r="G56" s="6">
        <v>30</v>
      </c>
      <c r="H56" s="6">
        <f t="shared" si="6"/>
        <v>66</v>
      </c>
      <c r="I56" s="6" t="str">
        <f t="shared" si="7"/>
        <v>PASS</v>
      </c>
      <c r="J56" s="6" t="str">
        <f t="shared" si="8"/>
        <v>1</v>
      </c>
    </row>
    <row r="57" spans="4:10" x14ac:dyDescent="0.35">
      <c r="D57" s="6">
        <f>'SUB- 2'!C55</f>
        <v>41</v>
      </c>
      <c r="E57" s="6" t="str">
        <f>'SUB- 2'!D55</f>
        <v>BTMC24O1041</v>
      </c>
      <c r="F57" s="6">
        <v>17</v>
      </c>
      <c r="G57" s="6">
        <v>12</v>
      </c>
      <c r="H57" s="6">
        <f t="shared" si="6"/>
        <v>29</v>
      </c>
      <c r="I57" s="6" t="str">
        <f t="shared" si="7"/>
        <v>FAIL</v>
      </c>
      <c r="J57" s="6" t="str">
        <f t="shared" si="8"/>
        <v>0</v>
      </c>
    </row>
    <row r="58" spans="4:10" x14ac:dyDescent="0.35">
      <c r="D58" s="6">
        <f>'SUB- 2'!C56</f>
        <v>42</v>
      </c>
      <c r="E58" s="6" t="str">
        <f>'SUB- 2'!D56</f>
        <v>BTMC24O1042</v>
      </c>
      <c r="F58" s="6">
        <v>10</v>
      </c>
      <c r="G58" s="6">
        <v>8</v>
      </c>
      <c r="H58" s="6">
        <f t="shared" si="6"/>
        <v>18</v>
      </c>
      <c r="I58" s="6" t="str">
        <f t="shared" si="7"/>
        <v>FAIL</v>
      </c>
      <c r="J58" s="6" t="str">
        <f t="shared" si="8"/>
        <v>0</v>
      </c>
    </row>
    <row r="59" spans="4:10" x14ac:dyDescent="0.35">
      <c r="D59" s="6">
        <f>'SUB- 2'!C57</f>
        <v>43</v>
      </c>
      <c r="E59" s="6" t="str">
        <f>'SUB- 2'!D57</f>
        <v>BTMC24O1043</v>
      </c>
      <c r="F59" s="6">
        <v>18</v>
      </c>
      <c r="G59" s="6">
        <v>28</v>
      </c>
      <c r="H59" s="6">
        <f t="shared" si="6"/>
        <v>46</v>
      </c>
      <c r="I59" s="6" t="str">
        <f t="shared" si="7"/>
        <v>PASS</v>
      </c>
      <c r="J59" s="6" t="str">
        <f t="shared" si="8"/>
        <v>1</v>
      </c>
    </row>
    <row r="60" spans="4:10" x14ac:dyDescent="0.35">
      <c r="D60" s="6">
        <f>'SUB- 2'!C58</f>
        <v>44</v>
      </c>
      <c r="E60" s="6" t="str">
        <f>'SUB- 2'!D58</f>
        <v>BTMC24O1044</v>
      </c>
      <c r="F60" s="6">
        <v>58</v>
      </c>
      <c r="G60" s="6">
        <v>11</v>
      </c>
      <c r="H60" s="6">
        <f t="shared" si="6"/>
        <v>69</v>
      </c>
      <c r="I60" s="6" t="str">
        <f t="shared" si="7"/>
        <v>PASS</v>
      </c>
      <c r="J60" s="6" t="str">
        <f t="shared" si="8"/>
        <v>1</v>
      </c>
    </row>
    <row r="61" spans="4:10" x14ac:dyDescent="0.35">
      <c r="D61" s="6">
        <f>'SUB- 2'!C59</f>
        <v>45</v>
      </c>
      <c r="E61" s="6" t="str">
        <f>'SUB- 2'!D59</f>
        <v>BTMC24O1045</v>
      </c>
      <c r="F61" s="6">
        <v>4</v>
      </c>
      <c r="G61" s="6">
        <v>23</v>
      </c>
      <c r="H61" s="6">
        <f t="shared" si="6"/>
        <v>27</v>
      </c>
      <c r="I61" s="6" t="str">
        <f t="shared" si="7"/>
        <v>FAIL</v>
      </c>
      <c r="J61" s="6" t="str">
        <f t="shared" si="8"/>
        <v>0</v>
      </c>
    </row>
    <row r="62" spans="4:10" x14ac:dyDescent="0.35">
      <c r="D62" s="6">
        <f>'SUB- 2'!C60</f>
        <v>46</v>
      </c>
      <c r="E62" s="6" t="str">
        <f>'SUB- 2'!D60</f>
        <v>BTMC24O1046</v>
      </c>
      <c r="F62" s="6">
        <v>26</v>
      </c>
      <c r="G62" s="6">
        <v>19</v>
      </c>
      <c r="H62" s="6">
        <f t="shared" si="6"/>
        <v>45</v>
      </c>
      <c r="I62" s="6" t="str">
        <f t="shared" si="7"/>
        <v>PASS</v>
      </c>
      <c r="J62" s="6" t="str">
        <f t="shared" si="8"/>
        <v>1</v>
      </c>
    </row>
    <row r="63" spans="4:10" x14ac:dyDescent="0.35">
      <c r="D63" s="6">
        <f>'SUB- 2'!C61</f>
        <v>47</v>
      </c>
      <c r="E63" s="6" t="str">
        <f>'SUB- 2'!D61</f>
        <v>BTMC24O1047</v>
      </c>
      <c r="F63" s="6">
        <v>48</v>
      </c>
      <c r="G63" s="6">
        <v>3</v>
      </c>
      <c r="H63" s="6">
        <f t="shared" si="6"/>
        <v>51</v>
      </c>
      <c r="I63" s="6" t="str">
        <f t="shared" si="7"/>
        <v>PASS</v>
      </c>
      <c r="J63" s="6" t="str">
        <f t="shared" si="8"/>
        <v>1</v>
      </c>
    </row>
    <row r="64" spans="4:10" x14ac:dyDescent="0.35">
      <c r="D64" s="6">
        <f>'SUB- 2'!C62</f>
        <v>48</v>
      </c>
      <c r="E64" s="6" t="str">
        <f>'SUB- 2'!D62</f>
        <v>BTMC24O1048</v>
      </c>
      <c r="F64" s="6">
        <v>57</v>
      </c>
      <c r="G64" s="6">
        <v>14</v>
      </c>
      <c r="H64" s="6">
        <f t="shared" si="6"/>
        <v>71</v>
      </c>
      <c r="I64" s="6" t="str">
        <f t="shared" si="7"/>
        <v>PASS</v>
      </c>
      <c r="J64" s="6" t="str">
        <f t="shared" si="8"/>
        <v>1</v>
      </c>
    </row>
    <row r="65" spans="4:10" x14ac:dyDescent="0.35">
      <c r="D65" s="6">
        <f>'SUB- 2'!C63</f>
        <v>49</v>
      </c>
      <c r="E65" s="6" t="str">
        <f>'SUB- 2'!D63</f>
        <v>BTMC24O1049</v>
      </c>
      <c r="F65" s="6">
        <v>58</v>
      </c>
      <c r="G65" s="6">
        <v>30</v>
      </c>
      <c r="H65" s="6">
        <f t="shared" si="6"/>
        <v>88</v>
      </c>
      <c r="I65" s="6" t="str">
        <f t="shared" si="7"/>
        <v>PASS</v>
      </c>
      <c r="J65" s="6" t="str">
        <f t="shared" si="8"/>
        <v>1</v>
      </c>
    </row>
    <row r="66" spans="4:10" x14ac:dyDescent="0.35">
      <c r="D66" s="6">
        <f>'SUB- 2'!C64</f>
        <v>50</v>
      </c>
      <c r="E66" s="6" t="str">
        <f>'SUB- 2'!D64</f>
        <v>BTMC24O1050</v>
      </c>
      <c r="F66" s="6">
        <v>11</v>
      </c>
      <c r="G66" s="6">
        <v>16</v>
      </c>
      <c r="H66" s="6">
        <f t="shared" si="6"/>
        <v>27</v>
      </c>
      <c r="I66" s="6" t="str">
        <f t="shared" si="7"/>
        <v>FAIL</v>
      </c>
      <c r="J66" s="6" t="str">
        <f t="shared" si="8"/>
        <v>0</v>
      </c>
    </row>
    <row r="67" spans="4:10" x14ac:dyDescent="0.35">
      <c r="D67" s="6">
        <f>'SUB- 2'!C65</f>
        <v>51</v>
      </c>
      <c r="E67" s="6" t="str">
        <f>'SUB- 2'!D65</f>
        <v>BTMC24O1051</v>
      </c>
      <c r="F67" s="6">
        <v>7</v>
      </c>
      <c r="G67" s="6">
        <v>2</v>
      </c>
      <c r="H67" s="6">
        <f t="shared" si="6"/>
        <v>9</v>
      </c>
      <c r="I67" s="6" t="str">
        <f t="shared" si="7"/>
        <v>FAIL</v>
      </c>
      <c r="J67" s="6" t="str">
        <f t="shared" si="8"/>
        <v>0</v>
      </c>
    </row>
    <row r="68" spans="4:10" x14ac:dyDescent="0.35">
      <c r="D68" s="6">
        <f>'SUB- 2'!C66</f>
        <v>52</v>
      </c>
      <c r="E68" s="6" t="str">
        <f>'SUB- 2'!D66</f>
        <v>BTMC24O1052</v>
      </c>
      <c r="F68" s="6">
        <v>5</v>
      </c>
      <c r="G68" s="6">
        <v>1</v>
      </c>
      <c r="H68" s="6">
        <f t="shared" si="6"/>
        <v>6</v>
      </c>
      <c r="I68" s="6" t="str">
        <f t="shared" si="7"/>
        <v>FAIL</v>
      </c>
      <c r="J68" s="6" t="str">
        <f t="shared" si="8"/>
        <v>0</v>
      </c>
    </row>
    <row r="69" spans="4:10" x14ac:dyDescent="0.35">
      <c r="D69" s="6">
        <f>'SUB- 2'!C67</f>
        <v>53</v>
      </c>
      <c r="E69" s="6" t="str">
        <f>'SUB- 2'!D67</f>
        <v>BTMC24O1053</v>
      </c>
      <c r="F69" s="6">
        <v>62</v>
      </c>
      <c r="G69" s="6">
        <v>0</v>
      </c>
      <c r="H69" s="6">
        <f t="shared" si="6"/>
        <v>62</v>
      </c>
      <c r="I69" s="6" t="str">
        <f t="shared" si="7"/>
        <v>PASS</v>
      </c>
      <c r="J69" s="6" t="str">
        <f t="shared" si="8"/>
        <v>1</v>
      </c>
    </row>
    <row r="70" spans="4:10" x14ac:dyDescent="0.35">
      <c r="D70" s="6">
        <f>'SUB- 2'!C68</f>
        <v>54</v>
      </c>
      <c r="E70" s="6" t="str">
        <f>'SUB- 2'!D68</f>
        <v>BTMC24O1054</v>
      </c>
      <c r="F70" s="6">
        <v>20</v>
      </c>
      <c r="G70" s="6">
        <v>25</v>
      </c>
      <c r="H70" s="6">
        <f t="shared" si="6"/>
        <v>45</v>
      </c>
      <c r="I70" s="6" t="str">
        <f t="shared" si="7"/>
        <v>PASS</v>
      </c>
      <c r="J70" s="6" t="str">
        <f t="shared" si="8"/>
        <v>1</v>
      </c>
    </row>
    <row r="71" spans="4:10" x14ac:dyDescent="0.35">
      <c r="D71" s="6">
        <f>'SUB- 2'!C69</f>
        <v>55</v>
      </c>
      <c r="E71" s="6" t="str">
        <f>'SUB- 2'!D69</f>
        <v>BTMC24O1055</v>
      </c>
      <c r="F71" s="6">
        <v>55</v>
      </c>
      <c r="G71" s="6">
        <v>13</v>
      </c>
      <c r="H71" s="6">
        <f t="shared" si="6"/>
        <v>68</v>
      </c>
      <c r="I71" s="6" t="str">
        <f t="shared" si="7"/>
        <v>PASS</v>
      </c>
      <c r="J71" s="6" t="str">
        <f t="shared" si="8"/>
        <v>1</v>
      </c>
    </row>
    <row r="72" spans="4:10" x14ac:dyDescent="0.35">
      <c r="D72" s="6">
        <f>'SUB- 2'!C70</f>
        <v>56</v>
      </c>
      <c r="E72" s="6" t="str">
        <f>'SUB- 2'!D70</f>
        <v>BTMC24O1056</v>
      </c>
      <c r="F72" s="6">
        <v>30</v>
      </c>
      <c r="G72" s="6">
        <v>9</v>
      </c>
      <c r="H72" s="6">
        <f t="shared" si="6"/>
        <v>39</v>
      </c>
      <c r="I72" s="6" t="str">
        <f t="shared" si="7"/>
        <v>PASS</v>
      </c>
      <c r="J72" s="6" t="str">
        <f t="shared" si="8"/>
        <v>1</v>
      </c>
    </row>
    <row r="73" spans="4:10" x14ac:dyDescent="0.35">
      <c r="D73" s="6">
        <f>'SUB- 2'!C71</f>
        <v>57</v>
      </c>
      <c r="E73" s="6" t="str">
        <f>'SUB- 2'!D71</f>
        <v>BTMC24O1057</v>
      </c>
      <c r="F73" s="6">
        <v>9</v>
      </c>
      <c r="G73" s="6">
        <v>7</v>
      </c>
      <c r="H73" s="6">
        <f t="shared" si="6"/>
        <v>16</v>
      </c>
      <c r="I73" s="6" t="str">
        <f t="shared" si="7"/>
        <v>FAIL</v>
      </c>
      <c r="J73" s="6" t="str">
        <f t="shared" si="8"/>
        <v>0</v>
      </c>
    </row>
    <row r="74" spans="4:10" x14ac:dyDescent="0.35">
      <c r="D74" s="6">
        <f>'SUB- 2'!C72</f>
        <v>58</v>
      </c>
      <c r="E74" s="6" t="str">
        <f>'SUB- 2'!D72</f>
        <v>BTMC24O1058</v>
      </c>
      <c r="F74" s="6">
        <v>56</v>
      </c>
      <c r="G74" s="6">
        <v>11</v>
      </c>
      <c r="H74" s="6">
        <f t="shared" si="6"/>
        <v>67</v>
      </c>
      <c r="I74" s="6" t="str">
        <f t="shared" si="7"/>
        <v>PASS</v>
      </c>
      <c r="J74" s="6" t="str">
        <f t="shared" si="8"/>
        <v>1</v>
      </c>
    </row>
    <row r="75" spans="4:10" x14ac:dyDescent="0.35">
      <c r="D75" s="6">
        <f>'SUB- 2'!C73</f>
        <v>59</v>
      </c>
      <c r="E75" s="6" t="str">
        <f>'SUB- 2'!D73</f>
        <v>BTMC24O1059</v>
      </c>
      <c r="F75" s="6">
        <v>35</v>
      </c>
      <c r="G75" s="6">
        <v>12</v>
      </c>
      <c r="H75" s="6">
        <f t="shared" si="6"/>
        <v>47</v>
      </c>
      <c r="I75" s="6" t="str">
        <f t="shared" si="7"/>
        <v>PASS</v>
      </c>
      <c r="J75" s="6" t="str">
        <f t="shared" si="8"/>
        <v>1</v>
      </c>
    </row>
    <row r="76" spans="4:10" x14ac:dyDescent="0.35">
      <c r="D76" s="6">
        <f>'SUB- 2'!C74</f>
        <v>60</v>
      </c>
      <c r="E76" s="6" t="str">
        <f>'SUB- 2'!D74</f>
        <v>BTMC24O1060</v>
      </c>
      <c r="F76" s="6">
        <v>11</v>
      </c>
      <c r="G76" s="6">
        <v>4</v>
      </c>
      <c r="H76" s="6">
        <f t="shared" si="6"/>
        <v>15</v>
      </c>
      <c r="I76" s="6" t="str">
        <f t="shared" si="7"/>
        <v>FAIL</v>
      </c>
      <c r="J76" s="6" t="str">
        <f t="shared" si="8"/>
        <v>0</v>
      </c>
    </row>
    <row r="77" spans="4:10" x14ac:dyDescent="0.35">
      <c r="D77" s="6">
        <f>'SUB- 2'!C75</f>
        <v>61</v>
      </c>
      <c r="E77" s="6" t="str">
        <f>'SUB- 2'!D75</f>
        <v>BTMC24O1061</v>
      </c>
      <c r="F77" s="6">
        <v>39</v>
      </c>
      <c r="G77" s="6">
        <v>23</v>
      </c>
      <c r="H77" s="6">
        <f t="shared" si="6"/>
        <v>62</v>
      </c>
      <c r="I77" s="6" t="str">
        <f t="shared" si="7"/>
        <v>PASS</v>
      </c>
      <c r="J77" s="6" t="str">
        <f t="shared" si="8"/>
        <v>1</v>
      </c>
    </row>
    <row r="78" spans="4:10" x14ac:dyDescent="0.35">
      <c r="D78" s="6">
        <f>'SUB- 2'!C76</f>
        <v>62</v>
      </c>
      <c r="E78" s="6" t="str">
        <f>'SUB- 2'!D76</f>
        <v>BTMC24O1062</v>
      </c>
      <c r="F78" s="6">
        <v>52</v>
      </c>
      <c r="G78" s="6">
        <v>13</v>
      </c>
      <c r="H78" s="6">
        <f t="shared" si="6"/>
        <v>65</v>
      </c>
      <c r="I78" s="6" t="str">
        <f t="shared" si="7"/>
        <v>PASS</v>
      </c>
      <c r="J78" s="6" t="str">
        <f t="shared" si="8"/>
        <v>1</v>
      </c>
    </row>
    <row r="79" spans="4:10" x14ac:dyDescent="0.35">
      <c r="D79" s="6">
        <f>'SUB- 2'!C77</f>
        <v>63</v>
      </c>
      <c r="E79" s="6" t="str">
        <f>'SUB- 2'!D77</f>
        <v>BTMC24O1063</v>
      </c>
      <c r="F79" s="6">
        <v>21</v>
      </c>
      <c r="G79" s="6">
        <v>29</v>
      </c>
      <c r="H79" s="6">
        <f t="shared" si="6"/>
        <v>50</v>
      </c>
      <c r="I79" s="6" t="str">
        <f t="shared" si="7"/>
        <v>PASS</v>
      </c>
      <c r="J79" s="6" t="str">
        <f t="shared" si="8"/>
        <v>1</v>
      </c>
    </row>
    <row r="80" spans="4:10" x14ac:dyDescent="0.35">
      <c r="D80" s="6">
        <f>'SUB- 2'!C78</f>
        <v>64</v>
      </c>
      <c r="E80" s="6" t="str">
        <f>'SUB- 2'!D78</f>
        <v>BTMC24O1064</v>
      </c>
      <c r="F80" s="6">
        <v>67</v>
      </c>
      <c r="G80" s="6">
        <v>16</v>
      </c>
      <c r="H80" s="6">
        <f t="shared" si="6"/>
        <v>83</v>
      </c>
      <c r="I80" s="6" t="str">
        <f t="shared" si="7"/>
        <v>PASS</v>
      </c>
      <c r="J80" s="6" t="str">
        <f t="shared" si="8"/>
        <v>1</v>
      </c>
    </row>
    <row r="81" spans="4:10" x14ac:dyDescent="0.35">
      <c r="D81" s="6">
        <f>'SUB- 2'!C79</f>
        <v>65</v>
      </c>
      <c r="E81" s="6" t="str">
        <f>'SUB- 2'!D79</f>
        <v>BTMC24O1065</v>
      </c>
      <c r="F81" s="6">
        <v>8</v>
      </c>
      <c r="G81" s="6">
        <v>4</v>
      </c>
      <c r="H81" s="6">
        <f t="shared" si="6"/>
        <v>12</v>
      </c>
      <c r="I81" s="6" t="str">
        <f t="shared" si="7"/>
        <v>FAIL</v>
      </c>
      <c r="J81" s="6" t="str">
        <f t="shared" si="8"/>
        <v>0</v>
      </c>
    </row>
    <row r="82" spans="4:10" x14ac:dyDescent="0.35">
      <c r="D82" s="6">
        <f>'SUB- 2'!C80</f>
        <v>66</v>
      </c>
      <c r="E82" s="6" t="str">
        <f>'SUB- 2'!D80</f>
        <v>BTMC24O1066</v>
      </c>
      <c r="F82" s="6">
        <v>15</v>
      </c>
      <c r="G82" s="6">
        <v>29</v>
      </c>
      <c r="H82" s="6">
        <f t="shared" si="6"/>
        <v>44</v>
      </c>
      <c r="I82" s="6" t="str">
        <f t="shared" si="7"/>
        <v>PASS</v>
      </c>
      <c r="J82" s="6" t="str">
        <f t="shared" si="8"/>
        <v>1</v>
      </c>
    </row>
    <row r="83" spans="4:10" x14ac:dyDescent="0.35">
      <c r="D83" s="6">
        <f>'SUB- 2'!C81</f>
        <v>67</v>
      </c>
      <c r="E83" s="6" t="str">
        <f>'SUB- 2'!D81</f>
        <v>BTMC24O1067</v>
      </c>
      <c r="F83" s="6">
        <v>23</v>
      </c>
      <c r="G83" s="6">
        <v>29</v>
      </c>
      <c r="H83" s="6">
        <f t="shared" si="6"/>
        <v>52</v>
      </c>
      <c r="I83" s="6" t="str">
        <f t="shared" si="7"/>
        <v>PASS</v>
      </c>
      <c r="J83" s="6" t="str">
        <f t="shared" si="8"/>
        <v>1</v>
      </c>
    </row>
    <row r="84" spans="4:10" x14ac:dyDescent="0.35">
      <c r="D84" s="6">
        <f>'SUB- 2'!C82</f>
        <v>68</v>
      </c>
      <c r="E84" s="6" t="str">
        <f>'SUB- 2'!D82</f>
        <v>BTMC24O1068</v>
      </c>
      <c r="F84" s="6">
        <v>12</v>
      </c>
      <c r="G84" s="6">
        <v>21</v>
      </c>
      <c r="H84" s="6">
        <f t="shared" si="6"/>
        <v>33</v>
      </c>
      <c r="I84" s="6" t="str">
        <f t="shared" si="7"/>
        <v>FAIL</v>
      </c>
      <c r="J84" s="6" t="str">
        <f t="shared" si="8"/>
        <v>0</v>
      </c>
    </row>
    <row r="85" spans="4:10" x14ac:dyDescent="0.35">
      <c r="D85" s="6">
        <f>'SUB- 2'!C83</f>
        <v>69</v>
      </c>
      <c r="E85" s="6" t="str">
        <f>'SUB- 2'!D83</f>
        <v>BTMC24O1069</v>
      </c>
      <c r="F85" s="6">
        <v>64</v>
      </c>
      <c r="G85" s="6">
        <v>0</v>
      </c>
      <c r="H85" s="6">
        <f t="shared" si="6"/>
        <v>64</v>
      </c>
      <c r="I85" s="6" t="str">
        <f t="shared" si="7"/>
        <v>PASS</v>
      </c>
      <c r="J85" s="6" t="str">
        <f t="shared" si="8"/>
        <v>1</v>
      </c>
    </row>
    <row r="86" spans="4:10" x14ac:dyDescent="0.35">
      <c r="D86" s="6">
        <f>'SUB- 2'!C84</f>
        <v>70</v>
      </c>
      <c r="E86" s="6" t="str">
        <f>'SUB- 2'!D84</f>
        <v>BTMC24O1070</v>
      </c>
      <c r="F86" s="6">
        <v>26</v>
      </c>
      <c r="G86" s="6">
        <v>3</v>
      </c>
      <c r="H86" s="6">
        <f t="shared" si="6"/>
        <v>29</v>
      </c>
      <c r="I86" s="6" t="str">
        <f t="shared" si="7"/>
        <v>FAIL</v>
      </c>
      <c r="J86" s="6" t="str">
        <f t="shared" si="8"/>
        <v>0</v>
      </c>
    </row>
    <row r="87" spans="4:10" x14ac:dyDescent="0.35">
      <c r="D87" s="6">
        <f>'SUB- 2'!C85</f>
        <v>71</v>
      </c>
      <c r="E87" s="6" t="str">
        <f>'SUB- 2'!D85</f>
        <v>BTMC24O1071</v>
      </c>
      <c r="F87" s="6">
        <v>58</v>
      </c>
      <c r="G87" s="6">
        <v>22</v>
      </c>
      <c r="H87" s="6">
        <f t="shared" si="6"/>
        <v>80</v>
      </c>
      <c r="I87" s="6" t="str">
        <f t="shared" si="7"/>
        <v>PASS</v>
      </c>
      <c r="J87" s="6" t="str">
        <f t="shared" si="8"/>
        <v>1</v>
      </c>
    </row>
    <row r="88" spans="4:10" x14ac:dyDescent="0.35">
      <c r="D88" s="6">
        <f>'SUB- 2'!C86</f>
        <v>72</v>
      </c>
      <c r="E88" s="6" t="str">
        <f>'SUB- 2'!D86</f>
        <v>BTMC24O1072</v>
      </c>
      <c r="F88" s="6">
        <v>55</v>
      </c>
      <c r="G88" s="6">
        <v>28</v>
      </c>
      <c r="H88" s="6">
        <f t="shared" si="6"/>
        <v>83</v>
      </c>
      <c r="I88" s="6" t="str">
        <f t="shared" si="7"/>
        <v>PASS</v>
      </c>
      <c r="J88" s="6" t="str">
        <f t="shared" si="8"/>
        <v>1</v>
      </c>
    </row>
    <row r="89" spans="4:10" x14ac:dyDescent="0.35">
      <c r="D89" s="6">
        <f>'SUB- 2'!C87</f>
        <v>73</v>
      </c>
      <c r="E89" s="6" t="str">
        <f>'SUB- 2'!D87</f>
        <v>BTMC24O1073</v>
      </c>
      <c r="F89" s="6">
        <v>61</v>
      </c>
      <c r="G89" s="6">
        <v>8</v>
      </c>
      <c r="H89" s="6">
        <f t="shared" si="6"/>
        <v>69</v>
      </c>
      <c r="I89" s="6" t="str">
        <f t="shared" si="7"/>
        <v>PASS</v>
      </c>
      <c r="J89" s="6" t="str">
        <f t="shared" si="8"/>
        <v>1</v>
      </c>
    </row>
    <row r="90" spans="4:10" x14ac:dyDescent="0.35">
      <c r="D90" s="6">
        <f>'SUB- 2'!C88</f>
        <v>74</v>
      </c>
      <c r="E90" s="6" t="str">
        <f>'SUB- 2'!D88</f>
        <v>BTMC24O1074</v>
      </c>
      <c r="F90" s="6">
        <v>7</v>
      </c>
      <c r="G90" s="6">
        <v>22</v>
      </c>
      <c r="H90" s="6">
        <f t="shared" si="6"/>
        <v>29</v>
      </c>
      <c r="I90" s="6" t="str">
        <f t="shared" si="7"/>
        <v>FAIL</v>
      </c>
      <c r="J90" s="6" t="str">
        <f t="shared" si="8"/>
        <v>0</v>
      </c>
    </row>
    <row r="91" spans="4:10" x14ac:dyDescent="0.35">
      <c r="D91" s="6">
        <f>'SUB- 2'!C89</f>
        <v>75</v>
      </c>
      <c r="E91" s="6" t="str">
        <f>'SUB- 2'!D89</f>
        <v>BTMC24O1075</v>
      </c>
      <c r="F91" s="6">
        <v>5</v>
      </c>
      <c r="G91" s="6">
        <v>7</v>
      </c>
      <c r="H91" s="6">
        <f t="shared" si="6"/>
        <v>12</v>
      </c>
      <c r="I91" s="6" t="str">
        <f t="shared" si="7"/>
        <v>FAIL</v>
      </c>
      <c r="J91" s="6" t="str">
        <f t="shared" si="8"/>
        <v>0</v>
      </c>
    </row>
    <row r="92" spans="4:10" x14ac:dyDescent="0.35">
      <c r="D92" s="6">
        <f>'SUB- 2'!C90</f>
        <v>76</v>
      </c>
      <c r="E92" s="6" t="str">
        <f>'SUB- 2'!D90</f>
        <v>BTMC24O1076</v>
      </c>
      <c r="F92" s="6">
        <v>2</v>
      </c>
      <c r="G92" s="6">
        <v>6</v>
      </c>
      <c r="H92" s="6">
        <f t="shared" si="6"/>
        <v>8</v>
      </c>
      <c r="I92" s="6" t="str">
        <f t="shared" si="7"/>
        <v>FAIL</v>
      </c>
      <c r="J92" s="6" t="str">
        <f t="shared" si="8"/>
        <v>0</v>
      </c>
    </row>
    <row r="93" spans="4:10" x14ac:dyDescent="0.35">
      <c r="D93" s="6">
        <f>'SUB- 2'!C91</f>
        <v>77</v>
      </c>
      <c r="E93" s="6" t="str">
        <f>'SUB- 2'!D91</f>
        <v>BTMC24O1077</v>
      </c>
      <c r="F93" s="6">
        <v>5</v>
      </c>
      <c r="G93" s="6">
        <v>3</v>
      </c>
      <c r="H93" s="6">
        <f t="shared" si="6"/>
        <v>8</v>
      </c>
      <c r="I93" s="6" t="str">
        <f t="shared" si="7"/>
        <v>FAIL</v>
      </c>
      <c r="J93" s="6" t="str">
        <f t="shared" si="8"/>
        <v>0</v>
      </c>
    </row>
    <row r="94" spans="4:10" x14ac:dyDescent="0.35">
      <c r="D94" s="6">
        <f>'SUB- 2'!C92</f>
        <v>78</v>
      </c>
      <c r="E94" s="6" t="str">
        <f>'SUB- 2'!D92</f>
        <v>BTMC24O1078</v>
      </c>
      <c r="F94" s="6">
        <v>47</v>
      </c>
      <c r="G94" s="6">
        <v>5</v>
      </c>
      <c r="H94" s="6">
        <f t="shared" si="6"/>
        <v>52</v>
      </c>
      <c r="I94" s="6" t="str">
        <f t="shared" si="7"/>
        <v>PASS</v>
      </c>
      <c r="J94" s="6" t="str">
        <f t="shared" si="8"/>
        <v>1</v>
      </c>
    </row>
    <row r="95" spans="4:10" x14ac:dyDescent="0.35">
      <c r="D95" s="6">
        <f>'SUB- 2'!C93</f>
        <v>79</v>
      </c>
      <c r="E95" s="6" t="str">
        <f>'SUB- 2'!D93</f>
        <v>BTMC24O1079</v>
      </c>
      <c r="F95" s="6">
        <v>27</v>
      </c>
      <c r="G95" s="6">
        <v>8</v>
      </c>
      <c r="H95" s="6">
        <f t="shared" si="6"/>
        <v>35</v>
      </c>
      <c r="I95" s="6" t="str">
        <f t="shared" si="7"/>
        <v>PASS</v>
      </c>
      <c r="J95" s="6" t="str">
        <f t="shared" si="8"/>
        <v>1</v>
      </c>
    </row>
    <row r="96" spans="4:10" x14ac:dyDescent="0.35">
      <c r="D96" s="6">
        <f>'SUB- 2'!C94</f>
        <v>80</v>
      </c>
      <c r="E96" s="6" t="str">
        <f>'SUB- 2'!D94</f>
        <v>BTMC24O1080</v>
      </c>
      <c r="F96" s="6">
        <v>31</v>
      </c>
      <c r="G96" s="6">
        <v>2</v>
      </c>
      <c r="H96" s="6">
        <f t="shared" si="6"/>
        <v>33</v>
      </c>
      <c r="I96" s="6" t="str">
        <f t="shared" si="7"/>
        <v>FAIL</v>
      </c>
      <c r="J96" s="6" t="str">
        <f t="shared" si="8"/>
        <v>0</v>
      </c>
    </row>
    <row r="97" spans="4:10" x14ac:dyDescent="0.35">
      <c r="D97" s="6">
        <f>'SUB- 2'!C95</f>
        <v>81</v>
      </c>
      <c r="E97" s="6" t="str">
        <f>'SUB- 2'!D95</f>
        <v>BTMC24O1081</v>
      </c>
      <c r="F97" s="6">
        <v>41</v>
      </c>
      <c r="G97" s="6">
        <v>26</v>
      </c>
      <c r="H97" s="6">
        <f t="shared" si="6"/>
        <v>67</v>
      </c>
      <c r="I97" s="6" t="str">
        <f t="shared" si="7"/>
        <v>PASS</v>
      </c>
      <c r="J97" s="6" t="str">
        <f t="shared" si="8"/>
        <v>1</v>
      </c>
    </row>
    <row r="98" spans="4:10" x14ac:dyDescent="0.35">
      <c r="D98" s="6">
        <f>'SUB- 2'!C96</f>
        <v>82</v>
      </c>
      <c r="E98" s="6" t="str">
        <f>'SUB- 2'!D96</f>
        <v>BTMC24O1082</v>
      </c>
      <c r="F98" s="6">
        <v>3</v>
      </c>
      <c r="G98" s="6">
        <v>14</v>
      </c>
      <c r="H98" s="6">
        <f t="shared" si="6"/>
        <v>17</v>
      </c>
      <c r="I98" s="6" t="str">
        <f t="shared" si="7"/>
        <v>FAIL</v>
      </c>
      <c r="J98" s="6" t="str">
        <f t="shared" si="8"/>
        <v>0</v>
      </c>
    </row>
    <row r="99" spans="4:10" x14ac:dyDescent="0.35">
      <c r="D99" s="6">
        <f>'SUB- 2'!C97</f>
        <v>83</v>
      </c>
      <c r="E99" s="6" t="str">
        <f>'SUB- 2'!D97</f>
        <v>BTMC24O1083</v>
      </c>
      <c r="F99" s="6">
        <v>23</v>
      </c>
      <c r="G99" s="6">
        <v>23</v>
      </c>
      <c r="H99" s="6">
        <f t="shared" si="6"/>
        <v>46</v>
      </c>
      <c r="I99" s="6" t="str">
        <f t="shared" si="7"/>
        <v>PASS</v>
      </c>
      <c r="J99" s="6" t="str">
        <f t="shared" si="8"/>
        <v>1</v>
      </c>
    </row>
    <row r="100" spans="4:10" x14ac:dyDescent="0.35">
      <c r="D100" s="6">
        <f>'SUB- 2'!C98</f>
        <v>84</v>
      </c>
      <c r="E100" s="6" t="str">
        <f>'SUB- 2'!D98</f>
        <v>BTMC24O1084</v>
      </c>
      <c r="F100" s="6">
        <v>61</v>
      </c>
      <c r="G100" s="6">
        <v>6</v>
      </c>
      <c r="H100" s="6">
        <f t="shared" si="6"/>
        <v>67</v>
      </c>
      <c r="I100" s="6" t="str">
        <f t="shared" si="7"/>
        <v>PASS</v>
      </c>
      <c r="J100" s="6" t="str">
        <f t="shared" si="8"/>
        <v>1</v>
      </c>
    </row>
    <row r="101" spans="4:10" x14ac:dyDescent="0.35">
      <c r="D101" s="6">
        <f>'SUB- 2'!C99</f>
        <v>85</v>
      </c>
      <c r="E101" s="6" t="str">
        <f>'SUB- 2'!D99</f>
        <v>BTMC24O1085</v>
      </c>
      <c r="F101" s="6">
        <v>1</v>
      </c>
      <c r="G101" s="6">
        <v>30</v>
      </c>
      <c r="H101" s="6">
        <f t="shared" si="6"/>
        <v>31</v>
      </c>
      <c r="I101" s="6" t="str">
        <f t="shared" si="7"/>
        <v>FAIL</v>
      </c>
      <c r="J101" s="6" t="str">
        <f t="shared" si="8"/>
        <v>0</v>
      </c>
    </row>
    <row r="102" spans="4:10" x14ac:dyDescent="0.35">
      <c r="D102" s="6">
        <f>'SUB- 2'!C100</f>
        <v>86</v>
      </c>
      <c r="E102" s="6" t="str">
        <f>'SUB- 2'!D100</f>
        <v>BTMC24O1086</v>
      </c>
      <c r="F102" s="6">
        <v>55</v>
      </c>
      <c r="G102" s="6">
        <v>6</v>
      </c>
      <c r="H102" s="6">
        <f t="shared" ref="H102:H116" si="9">F102+G102</f>
        <v>61</v>
      </c>
      <c r="I102" s="6" t="str">
        <f t="shared" ref="I102:I116" si="10">IF(H102&lt;35,"FAIL","PASS")</f>
        <v>PASS</v>
      </c>
      <c r="J102" s="6" t="str">
        <f t="shared" ref="J102:J116" si="11">IF(H102&lt;35,"0","1")</f>
        <v>1</v>
      </c>
    </row>
    <row r="103" spans="4:10" x14ac:dyDescent="0.35">
      <c r="D103" s="6">
        <f>'SUB- 2'!C101</f>
        <v>87</v>
      </c>
      <c r="E103" s="6" t="str">
        <f>'SUB- 2'!D101</f>
        <v>BTMC24O1087</v>
      </c>
      <c r="F103" s="6">
        <v>69</v>
      </c>
      <c r="G103" s="6">
        <v>28</v>
      </c>
      <c r="H103" s="6">
        <f t="shared" si="9"/>
        <v>97</v>
      </c>
      <c r="I103" s="6" t="str">
        <f t="shared" si="10"/>
        <v>PASS</v>
      </c>
      <c r="J103" s="6" t="str">
        <f t="shared" si="11"/>
        <v>1</v>
      </c>
    </row>
    <row r="104" spans="4:10" x14ac:dyDescent="0.35">
      <c r="D104" s="6">
        <f>'SUB- 2'!C102</f>
        <v>88</v>
      </c>
      <c r="E104" s="6" t="str">
        <f>'SUB- 2'!D102</f>
        <v>BTMC24O1088</v>
      </c>
      <c r="F104" s="6">
        <v>66</v>
      </c>
      <c r="G104" s="6">
        <v>18</v>
      </c>
      <c r="H104" s="6">
        <f t="shared" si="9"/>
        <v>84</v>
      </c>
      <c r="I104" s="6" t="str">
        <f t="shared" si="10"/>
        <v>PASS</v>
      </c>
      <c r="J104" s="6" t="str">
        <f t="shared" si="11"/>
        <v>1</v>
      </c>
    </row>
    <row r="105" spans="4:10" x14ac:dyDescent="0.35">
      <c r="D105" s="6">
        <f>'SUB- 2'!C103</f>
        <v>89</v>
      </c>
      <c r="E105" s="6" t="str">
        <f>'SUB- 2'!D103</f>
        <v>BTMC24O1089</v>
      </c>
      <c r="F105" s="6">
        <v>32</v>
      </c>
      <c r="G105" s="6">
        <v>21</v>
      </c>
      <c r="H105" s="6">
        <f t="shared" si="9"/>
        <v>53</v>
      </c>
      <c r="I105" s="6" t="str">
        <f t="shared" si="10"/>
        <v>PASS</v>
      </c>
      <c r="J105" s="6" t="str">
        <f t="shared" si="11"/>
        <v>1</v>
      </c>
    </row>
    <row r="106" spans="4:10" x14ac:dyDescent="0.35">
      <c r="D106" s="6">
        <f>'SUB- 2'!C104</f>
        <v>90</v>
      </c>
      <c r="E106" s="6" t="str">
        <f>'SUB- 2'!D104</f>
        <v>BTMC24O1090</v>
      </c>
      <c r="F106" s="6">
        <v>32</v>
      </c>
      <c r="G106" s="6">
        <v>11</v>
      </c>
      <c r="H106" s="6">
        <f t="shared" si="9"/>
        <v>43</v>
      </c>
      <c r="I106" s="6" t="str">
        <f t="shared" si="10"/>
        <v>PASS</v>
      </c>
      <c r="J106" s="6" t="str">
        <f t="shared" si="11"/>
        <v>1</v>
      </c>
    </row>
    <row r="107" spans="4:10" x14ac:dyDescent="0.35">
      <c r="D107" s="6">
        <f>'SUB- 2'!C105</f>
        <v>91</v>
      </c>
      <c r="E107" s="6" t="str">
        <f>'SUB- 2'!D105</f>
        <v>BTMC24O1091</v>
      </c>
      <c r="F107" s="6">
        <v>1</v>
      </c>
      <c r="G107" s="6">
        <v>1</v>
      </c>
      <c r="H107" s="6">
        <f t="shared" si="9"/>
        <v>2</v>
      </c>
      <c r="I107" s="6" t="str">
        <f t="shared" si="10"/>
        <v>FAIL</v>
      </c>
      <c r="J107" s="6" t="str">
        <f t="shared" si="11"/>
        <v>0</v>
      </c>
    </row>
    <row r="108" spans="4:10" x14ac:dyDescent="0.35">
      <c r="D108" s="6">
        <f>'SUB- 2'!C106</f>
        <v>92</v>
      </c>
      <c r="E108" s="6" t="str">
        <f>'SUB- 2'!D106</f>
        <v>BTMC24O1092</v>
      </c>
      <c r="F108" s="6">
        <v>25</v>
      </c>
      <c r="G108" s="6">
        <v>11</v>
      </c>
      <c r="H108" s="6">
        <f t="shared" si="9"/>
        <v>36</v>
      </c>
      <c r="I108" s="6" t="str">
        <f t="shared" si="10"/>
        <v>PASS</v>
      </c>
      <c r="J108" s="6" t="str">
        <f t="shared" si="11"/>
        <v>1</v>
      </c>
    </row>
    <row r="109" spans="4:10" x14ac:dyDescent="0.35">
      <c r="D109" s="6">
        <f>'SUB- 2'!C107</f>
        <v>93</v>
      </c>
      <c r="E109" s="6" t="str">
        <f>'SUB- 2'!D107</f>
        <v>BTMC24O1093</v>
      </c>
      <c r="F109" s="6">
        <v>22</v>
      </c>
      <c r="G109" s="6">
        <v>19</v>
      </c>
      <c r="H109" s="6">
        <f t="shared" si="9"/>
        <v>41</v>
      </c>
      <c r="I109" s="6" t="str">
        <f t="shared" si="10"/>
        <v>PASS</v>
      </c>
      <c r="J109" s="6" t="str">
        <f t="shared" si="11"/>
        <v>1</v>
      </c>
    </row>
    <row r="110" spans="4:10" x14ac:dyDescent="0.35">
      <c r="D110" s="6">
        <f>'SUB- 2'!C108</f>
        <v>94</v>
      </c>
      <c r="E110" s="6" t="str">
        <f>'SUB- 2'!D108</f>
        <v>BTMC24O1094</v>
      </c>
      <c r="F110" s="6">
        <v>12</v>
      </c>
      <c r="G110" s="6">
        <v>10</v>
      </c>
      <c r="H110" s="6">
        <f t="shared" si="9"/>
        <v>22</v>
      </c>
      <c r="I110" s="6" t="str">
        <f t="shared" si="10"/>
        <v>FAIL</v>
      </c>
      <c r="J110" s="6" t="str">
        <f t="shared" si="11"/>
        <v>0</v>
      </c>
    </row>
    <row r="111" spans="4:10" x14ac:dyDescent="0.35">
      <c r="D111" s="6">
        <f>'SUB- 2'!C109</f>
        <v>95</v>
      </c>
      <c r="E111" s="6" t="str">
        <f>'SUB- 2'!D109</f>
        <v>BTMC24O1095</v>
      </c>
      <c r="F111" s="6">
        <v>41</v>
      </c>
      <c r="G111" s="6">
        <v>25</v>
      </c>
      <c r="H111" s="6">
        <f t="shared" si="9"/>
        <v>66</v>
      </c>
      <c r="I111" s="6" t="str">
        <f t="shared" si="10"/>
        <v>PASS</v>
      </c>
      <c r="J111" s="6" t="str">
        <f t="shared" si="11"/>
        <v>1</v>
      </c>
    </row>
    <row r="112" spans="4:10" x14ac:dyDescent="0.35">
      <c r="D112" s="6">
        <f>'SUB- 2'!C110</f>
        <v>96</v>
      </c>
      <c r="E112" s="6" t="str">
        <f>'SUB- 2'!D110</f>
        <v>BTMC24O1096</v>
      </c>
      <c r="F112" s="6">
        <v>34</v>
      </c>
      <c r="G112" s="6">
        <v>22</v>
      </c>
      <c r="H112" s="6">
        <f t="shared" si="9"/>
        <v>56</v>
      </c>
      <c r="I112" s="6" t="str">
        <f t="shared" si="10"/>
        <v>PASS</v>
      </c>
      <c r="J112" s="6" t="str">
        <f t="shared" si="11"/>
        <v>1</v>
      </c>
    </row>
    <row r="113" spans="4:10" x14ac:dyDescent="0.35">
      <c r="D113" s="6">
        <f>'SUB- 2'!C111</f>
        <v>97</v>
      </c>
      <c r="E113" s="6" t="str">
        <f>'SUB- 2'!D111</f>
        <v>BTMC24O1097</v>
      </c>
      <c r="F113" s="6">
        <v>43</v>
      </c>
      <c r="G113" s="6">
        <v>25</v>
      </c>
      <c r="H113" s="6">
        <f t="shared" si="9"/>
        <v>68</v>
      </c>
      <c r="I113" s="6" t="str">
        <f t="shared" si="10"/>
        <v>PASS</v>
      </c>
      <c r="J113" s="6" t="str">
        <f t="shared" si="11"/>
        <v>1</v>
      </c>
    </row>
    <row r="114" spans="4:10" x14ac:dyDescent="0.35">
      <c r="D114" s="6">
        <f>'SUB- 2'!C112</f>
        <v>98</v>
      </c>
      <c r="E114" s="6" t="str">
        <f>'SUB- 2'!D112</f>
        <v>BTMC24O1098</v>
      </c>
      <c r="F114" s="6">
        <v>28</v>
      </c>
      <c r="G114" s="6">
        <v>7</v>
      </c>
      <c r="H114" s="6">
        <f t="shared" si="9"/>
        <v>35</v>
      </c>
      <c r="I114" s="6" t="str">
        <f t="shared" si="10"/>
        <v>PASS</v>
      </c>
      <c r="J114" s="6" t="str">
        <f t="shared" si="11"/>
        <v>1</v>
      </c>
    </row>
    <row r="115" spans="4:10" x14ac:dyDescent="0.35">
      <c r="D115" s="6">
        <f>'SUB- 2'!C113</f>
        <v>99</v>
      </c>
      <c r="E115" s="6" t="str">
        <f>'SUB- 2'!D113</f>
        <v>BTMC24O1099</v>
      </c>
      <c r="F115" s="6">
        <v>37</v>
      </c>
      <c r="G115" s="6">
        <v>16</v>
      </c>
      <c r="H115" s="6">
        <f t="shared" si="9"/>
        <v>53</v>
      </c>
      <c r="I115" s="6" t="str">
        <f t="shared" si="10"/>
        <v>PASS</v>
      </c>
      <c r="J115" s="6" t="str">
        <f t="shared" si="11"/>
        <v>1</v>
      </c>
    </row>
    <row r="116" spans="4:10" x14ac:dyDescent="0.35">
      <c r="D116" s="6">
        <f>'SUB- 2'!C114</f>
        <v>100</v>
      </c>
      <c r="E116" s="6" t="str">
        <f>'SUB- 2'!D114</f>
        <v>BTMC24O1100</v>
      </c>
      <c r="F116" s="6">
        <v>5</v>
      </c>
      <c r="G116" s="6">
        <v>21</v>
      </c>
      <c r="H116" s="6">
        <f t="shared" si="9"/>
        <v>26</v>
      </c>
      <c r="I116" s="6" t="str">
        <f t="shared" si="10"/>
        <v>FAIL</v>
      </c>
      <c r="J116" s="6" t="str">
        <f t="shared" si="11"/>
        <v>0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5:M15"/>
  </mergeCells>
  <conditionalFormatting sqref="I17:I116">
    <cfRule type="containsText" dxfId="3" priority="1" operator="containsText" text="FAIL">
      <formula>NOT(ISERROR(SEARCH("FAIL",I17)))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E8E4-7574-48C7-B276-7A2FFA83446F}">
  <sheetPr codeName="Sheet11"/>
  <dimension ref="C1:Q115"/>
  <sheetViews>
    <sheetView zoomScale="48" zoomScaleNormal="90" workbookViewId="0">
      <selection activeCell="P17" sqref="P17"/>
    </sheetView>
  </sheetViews>
  <sheetFormatPr defaultRowHeight="14.5" x14ac:dyDescent="0.35"/>
  <cols>
    <col min="4" max="4" width="6.54296875" customWidth="1"/>
    <col min="5" max="5" width="16.7265625" customWidth="1"/>
    <col min="6" max="6" width="20.9062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128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93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s="11" customFormat="1" ht="23" x14ac:dyDescent="0.6">
      <c r="C5" s="34"/>
      <c r="D5" s="164" t="s">
        <v>126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s="11" customFormat="1" ht="22" x14ac:dyDescent="0.6">
      <c r="C6" s="34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s="11" customFormat="1" ht="22" x14ac:dyDescent="0.6">
      <c r="C7" s="34"/>
      <c r="D7" s="34"/>
      <c r="E7" s="34"/>
      <c r="F7" s="34"/>
      <c r="G7" s="164" t="s">
        <v>114</v>
      </c>
      <c r="H7" s="166"/>
      <c r="I7" s="166"/>
      <c r="J7" s="166"/>
      <c r="K7" s="166"/>
      <c r="L7" s="166"/>
      <c r="M7" s="34"/>
      <c r="N7" s="34"/>
      <c r="O7" s="34"/>
      <c r="P7" s="34"/>
      <c r="Q7" s="40"/>
    </row>
    <row r="8" spans="3:17" s="11" customFormat="1" ht="21" x14ac:dyDescent="0.5">
      <c r="C8" s="34"/>
      <c r="D8" s="160" t="s">
        <v>130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s="11" customFormat="1" ht="21" x14ac:dyDescent="0.5">
      <c r="C9" s="40"/>
      <c r="D9" s="160" t="s">
        <v>131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>
        <v>25241110</v>
      </c>
      <c r="F11" s="32" t="s">
        <v>66</v>
      </c>
      <c r="G11" s="32" t="s">
        <v>67</v>
      </c>
      <c r="L11" s="7"/>
      <c r="M11" s="7"/>
      <c r="N11" s="7"/>
    </row>
    <row r="12" spans="3:17" x14ac:dyDescent="0.35">
      <c r="D12" s="29" t="s">
        <v>42</v>
      </c>
      <c r="E12" s="29" t="s">
        <v>43</v>
      </c>
      <c r="F12" s="29" t="s">
        <v>60</v>
      </c>
      <c r="G12" s="29" t="s">
        <v>49</v>
      </c>
      <c r="H12" s="29" t="s">
        <v>50</v>
      </c>
      <c r="I12" s="29" t="s">
        <v>52</v>
      </c>
      <c r="J12" s="29" t="s">
        <v>51</v>
      </c>
      <c r="L12" s="7"/>
      <c r="M12" s="7"/>
      <c r="N12" s="7"/>
    </row>
    <row r="13" spans="3:17" x14ac:dyDescent="0.35">
      <c r="D13" s="6"/>
      <c r="E13" s="6"/>
      <c r="F13" s="29" t="s">
        <v>61</v>
      </c>
      <c r="G13" s="6"/>
      <c r="H13" s="6"/>
      <c r="I13" s="6"/>
      <c r="J13" s="6"/>
      <c r="L13" s="7"/>
      <c r="M13" s="7"/>
      <c r="N13" s="7"/>
    </row>
    <row r="14" spans="3:17" x14ac:dyDescent="0.35">
      <c r="D14" s="6"/>
      <c r="E14" s="6"/>
      <c r="F14" s="33">
        <v>70</v>
      </c>
      <c r="G14" s="33">
        <v>30</v>
      </c>
      <c r="H14" s="33">
        <v>100</v>
      </c>
      <c r="I14" s="33" t="s">
        <v>53</v>
      </c>
      <c r="J14" s="33">
        <v>1</v>
      </c>
      <c r="L14" s="7"/>
      <c r="M14" s="7"/>
      <c r="N14" s="7"/>
    </row>
    <row r="15" spans="3:17" x14ac:dyDescent="0.35">
      <c r="D15" s="6"/>
      <c r="E15" s="6"/>
      <c r="F15" s="6"/>
      <c r="G15" s="6"/>
      <c r="H15" s="6"/>
      <c r="I15" s="6"/>
      <c r="J15" s="6"/>
      <c r="L15" s="107" t="s">
        <v>660</v>
      </c>
      <c r="M15" s="107"/>
    </row>
    <row r="16" spans="3:17" x14ac:dyDescent="0.35">
      <c r="D16" s="6">
        <v>1</v>
      </c>
      <c r="E16" s="6" t="s">
        <v>140</v>
      </c>
      <c r="F16" s="6">
        <v>6</v>
      </c>
      <c r="G16" s="6">
        <v>8</v>
      </c>
      <c r="H16" s="6">
        <f>F16+G16</f>
        <v>14</v>
      </c>
      <c r="I16" s="6" t="str">
        <f>IF(H16&lt;35,"FAIL","PASS")</f>
        <v>FAIL</v>
      </c>
      <c r="J16" s="6" t="str">
        <f>IF(H16&lt;35,"0","1")</f>
        <v>0</v>
      </c>
      <c r="L16" s="215" t="s">
        <v>668</v>
      </c>
      <c r="M16" s="212">
        <f>COUNTIF(I16:I115,I17)</f>
        <v>64</v>
      </c>
      <c r="N16" s="215"/>
      <c r="O16" s="215"/>
    </row>
    <row r="17" spans="4:15" x14ac:dyDescent="0.35">
      <c r="D17" s="6">
        <v>2</v>
      </c>
      <c r="E17" s="6" t="s">
        <v>147</v>
      </c>
      <c r="F17" s="6">
        <v>53</v>
      </c>
      <c r="G17" s="6">
        <v>20</v>
      </c>
      <c r="H17" s="6">
        <f t="shared" ref="H17:H35" si="0">F17+G17</f>
        <v>73</v>
      </c>
      <c r="I17" s="6" t="str">
        <f t="shared" ref="I17:I35" si="1">IF(H17&lt;35,"FAIL","PASS")</f>
        <v>PASS</v>
      </c>
      <c r="J17" s="6" t="str">
        <f t="shared" ref="J17:J35" si="2">IF(H17&lt;35,"0","1")</f>
        <v>1</v>
      </c>
      <c r="L17" s="215" t="s">
        <v>667</v>
      </c>
      <c r="M17" s="212">
        <f>COUNTIF(I16:I115,I16)</f>
        <v>36</v>
      </c>
      <c r="N17" s="212"/>
      <c r="O17" s="212"/>
    </row>
    <row r="18" spans="4:15" x14ac:dyDescent="0.35">
      <c r="D18" s="6">
        <v>3</v>
      </c>
      <c r="E18" s="6" t="s">
        <v>152</v>
      </c>
      <c r="F18" s="6">
        <v>12</v>
      </c>
      <c r="G18" s="6">
        <v>11</v>
      </c>
      <c r="H18" s="6">
        <f t="shared" si="0"/>
        <v>23</v>
      </c>
      <c r="I18" s="6" t="str">
        <f t="shared" si="1"/>
        <v>FAIL</v>
      </c>
      <c r="J18" s="6" t="str">
        <f t="shared" si="2"/>
        <v>0</v>
      </c>
      <c r="M18" s="212"/>
      <c r="N18" s="212"/>
      <c r="O18" s="212"/>
    </row>
    <row r="19" spans="4:15" x14ac:dyDescent="0.35">
      <c r="D19" s="6">
        <v>4</v>
      </c>
      <c r="E19" s="6" t="s">
        <v>157</v>
      </c>
      <c r="F19" s="6">
        <v>61</v>
      </c>
      <c r="G19" s="6">
        <v>27</v>
      </c>
      <c r="H19" s="6">
        <f t="shared" si="0"/>
        <v>88</v>
      </c>
      <c r="I19" s="6" t="str">
        <f t="shared" si="1"/>
        <v>PASS</v>
      </c>
      <c r="J19" s="6" t="str">
        <f t="shared" si="2"/>
        <v>1</v>
      </c>
      <c r="L19" s="212"/>
      <c r="M19" s="212"/>
      <c r="N19" s="215"/>
      <c r="O19" s="215"/>
    </row>
    <row r="20" spans="4:15" x14ac:dyDescent="0.35">
      <c r="D20" s="6">
        <v>5</v>
      </c>
      <c r="E20" s="6" t="s">
        <v>162</v>
      </c>
      <c r="F20" s="6">
        <v>55</v>
      </c>
      <c r="G20" s="6">
        <v>23</v>
      </c>
      <c r="H20" s="6">
        <f t="shared" si="0"/>
        <v>78</v>
      </c>
      <c r="I20" s="6" t="str">
        <f t="shared" si="1"/>
        <v>PASS</v>
      </c>
      <c r="J20" s="6" t="str">
        <f t="shared" si="2"/>
        <v>1</v>
      </c>
      <c r="M20" s="215"/>
      <c r="N20" s="212"/>
      <c r="O20" s="212"/>
    </row>
    <row r="21" spans="4:15" x14ac:dyDescent="0.35">
      <c r="D21" s="6">
        <v>6</v>
      </c>
      <c r="E21" s="6" t="s">
        <v>167</v>
      </c>
      <c r="F21" s="6">
        <v>31</v>
      </c>
      <c r="G21" s="6">
        <v>0</v>
      </c>
      <c r="H21" s="6">
        <f t="shared" si="0"/>
        <v>31</v>
      </c>
      <c r="I21" s="6" t="str">
        <f t="shared" si="1"/>
        <v>FAIL</v>
      </c>
      <c r="J21" s="6" t="str">
        <f t="shared" si="2"/>
        <v>0</v>
      </c>
      <c r="M21" s="212"/>
      <c r="N21" s="7"/>
    </row>
    <row r="22" spans="4:15" x14ac:dyDescent="0.35">
      <c r="D22" s="6">
        <v>7</v>
      </c>
      <c r="E22" s="6" t="s">
        <v>565</v>
      </c>
      <c r="F22" s="6">
        <v>0</v>
      </c>
      <c r="G22" s="6">
        <v>21</v>
      </c>
      <c r="H22" s="6">
        <f t="shared" si="0"/>
        <v>21</v>
      </c>
      <c r="I22" s="6" t="str">
        <f t="shared" si="1"/>
        <v>FAIL</v>
      </c>
      <c r="J22" s="6" t="str">
        <f t="shared" si="2"/>
        <v>0</v>
      </c>
      <c r="L22" s="7"/>
      <c r="M22" s="7"/>
      <c r="N22" s="7"/>
    </row>
    <row r="23" spans="4:15" x14ac:dyDescent="0.35">
      <c r="D23" s="6">
        <v>8</v>
      </c>
      <c r="E23" s="6" t="s">
        <v>566</v>
      </c>
      <c r="F23" s="6">
        <v>23</v>
      </c>
      <c r="G23" s="6">
        <v>22</v>
      </c>
      <c r="H23" s="6">
        <f t="shared" si="0"/>
        <v>45</v>
      </c>
      <c r="I23" s="6" t="str">
        <f t="shared" si="1"/>
        <v>PASS</v>
      </c>
      <c r="J23" s="6" t="str">
        <f t="shared" si="2"/>
        <v>1</v>
      </c>
      <c r="L23" s="7"/>
      <c r="M23" s="7"/>
      <c r="N23" s="7"/>
    </row>
    <row r="24" spans="4:15" x14ac:dyDescent="0.35">
      <c r="D24" s="6">
        <v>9</v>
      </c>
      <c r="E24" s="6" t="s">
        <v>176</v>
      </c>
      <c r="F24" s="6">
        <v>30</v>
      </c>
      <c r="G24" s="6">
        <v>14</v>
      </c>
      <c r="H24" s="6">
        <f t="shared" si="0"/>
        <v>44</v>
      </c>
      <c r="I24" s="6" t="str">
        <f t="shared" si="1"/>
        <v>PASS</v>
      </c>
      <c r="J24" s="6" t="str">
        <f t="shared" si="2"/>
        <v>1</v>
      </c>
      <c r="L24" s="7"/>
      <c r="M24" s="7"/>
      <c r="N24" s="7"/>
    </row>
    <row r="25" spans="4:15" x14ac:dyDescent="0.35">
      <c r="D25" s="6">
        <v>10</v>
      </c>
      <c r="E25" s="6" t="s">
        <v>181</v>
      </c>
      <c r="F25" s="6">
        <v>51</v>
      </c>
      <c r="G25" s="6">
        <v>19</v>
      </c>
      <c r="H25" s="6">
        <f t="shared" si="0"/>
        <v>70</v>
      </c>
      <c r="I25" s="6" t="str">
        <f t="shared" si="1"/>
        <v>PASS</v>
      </c>
      <c r="J25" s="6" t="str">
        <f t="shared" si="2"/>
        <v>1</v>
      </c>
      <c r="L25" s="7"/>
      <c r="M25" s="7"/>
      <c r="N25" s="7"/>
    </row>
    <row r="26" spans="4:15" x14ac:dyDescent="0.35">
      <c r="D26" s="6">
        <v>11</v>
      </c>
      <c r="E26" s="6" t="s">
        <v>186</v>
      </c>
      <c r="F26" s="6">
        <v>20</v>
      </c>
      <c r="G26" s="6">
        <v>2</v>
      </c>
      <c r="H26" s="6">
        <f t="shared" si="0"/>
        <v>22</v>
      </c>
      <c r="I26" s="6" t="str">
        <f t="shared" si="1"/>
        <v>FAIL</v>
      </c>
      <c r="J26" s="6" t="str">
        <f t="shared" si="2"/>
        <v>0</v>
      </c>
      <c r="L26" s="7"/>
      <c r="M26" s="7"/>
      <c r="N26" s="7"/>
    </row>
    <row r="27" spans="4:15" x14ac:dyDescent="0.35">
      <c r="D27" s="6">
        <v>12</v>
      </c>
      <c r="E27" s="6" t="s">
        <v>191</v>
      </c>
      <c r="F27" s="6">
        <v>7</v>
      </c>
      <c r="G27" s="6">
        <v>27</v>
      </c>
      <c r="H27" s="6">
        <f t="shared" si="0"/>
        <v>34</v>
      </c>
      <c r="I27" s="6" t="str">
        <f t="shared" si="1"/>
        <v>FAIL</v>
      </c>
      <c r="J27" s="6" t="str">
        <f t="shared" si="2"/>
        <v>0</v>
      </c>
      <c r="L27" s="7"/>
      <c r="M27" s="7"/>
      <c r="N27" s="7"/>
    </row>
    <row r="28" spans="4:15" x14ac:dyDescent="0.35">
      <c r="D28" s="6">
        <v>13</v>
      </c>
      <c r="E28" s="6" t="s">
        <v>196</v>
      </c>
      <c r="F28" s="6">
        <v>26</v>
      </c>
      <c r="G28" s="6">
        <v>12</v>
      </c>
      <c r="H28" s="6">
        <f t="shared" si="0"/>
        <v>38</v>
      </c>
      <c r="I28" s="6" t="str">
        <f t="shared" si="1"/>
        <v>PASS</v>
      </c>
      <c r="J28" s="6" t="str">
        <f t="shared" si="2"/>
        <v>1</v>
      </c>
      <c r="L28" s="7"/>
      <c r="M28" s="7"/>
      <c r="N28" s="7"/>
    </row>
    <row r="29" spans="4:15" x14ac:dyDescent="0.35">
      <c r="D29" s="6">
        <v>14</v>
      </c>
      <c r="E29" s="6" t="s">
        <v>567</v>
      </c>
      <c r="F29" s="6">
        <v>33</v>
      </c>
      <c r="G29" s="6">
        <v>7</v>
      </c>
      <c r="H29" s="6">
        <f t="shared" si="0"/>
        <v>40</v>
      </c>
      <c r="I29" s="6" t="str">
        <f t="shared" si="1"/>
        <v>PASS</v>
      </c>
      <c r="J29" s="6" t="str">
        <f t="shared" si="2"/>
        <v>1</v>
      </c>
      <c r="L29" s="7"/>
      <c r="M29" s="7"/>
      <c r="N29" s="7"/>
    </row>
    <row r="30" spans="4:15" x14ac:dyDescent="0.35">
      <c r="D30" s="6">
        <v>15</v>
      </c>
      <c r="E30" s="6" t="s">
        <v>568</v>
      </c>
      <c r="F30" s="6">
        <v>46</v>
      </c>
      <c r="G30" s="6">
        <v>1</v>
      </c>
      <c r="H30" s="6">
        <f t="shared" si="0"/>
        <v>47</v>
      </c>
      <c r="I30" s="6" t="str">
        <f t="shared" si="1"/>
        <v>PASS</v>
      </c>
      <c r="J30" s="6" t="str">
        <f t="shared" si="2"/>
        <v>1</v>
      </c>
      <c r="L30" s="7"/>
      <c r="M30" s="7"/>
      <c r="N30" s="7"/>
    </row>
    <row r="31" spans="4:15" x14ac:dyDescent="0.35">
      <c r="D31" s="6">
        <v>16</v>
      </c>
      <c r="E31" s="6" t="s">
        <v>204</v>
      </c>
      <c r="F31" s="6">
        <v>67</v>
      </c>
      <c r="G31" s="6">
        <v>12</v>
      </c>
      <c r="H31" s="6">
        <f t="shared" si="0"/>
        <v>79</v>
      </c>
      <c r="I31" s="6" t="str">
        <f t="shared" si="1"/>
        <v>PASS</v>
      </c>
      <c r="J31" s="6" t="str">
        <f t="shared" si="2"/>
        <v>1</v>
      </c>
      <c r="L31" s="7"/>
      <c r="M31" s="7"/>
      <c r="N31" s="7"/>
    </row>
    <row r="32" spans="4:15" x14ac:dyDescent="0.35">
      <c r="D32" s="6">
        <v>17</v>
      </c>
      <c r="E32" s="6" t="s">
        <v>209</v>
      </c>
      <c r="F32" s="6">
        <v>15</v>
      </c>
      <c r="G32" s="6">
        <v>6</v>
      </c>
      <c r="H32" s="6">
        <f t="shared" si="0"/>
        <v>21</v>
      </c>
      <c r="I32" s="6" t="str">
        <f t="shared" si="1"/>
        <v>FAIL</v>
      </c>
      <c r="J32" s="6" t="str">
        <f t="shared" si="2"/>
        <v>0</v>
      </c>
      <c r="L32" s="7"/>
      <c r="M32" s="7"/>
      <c r="N32" s="7"/>
    </row>
    <row r="33" spans="4:14" x14ac:dyDescent="0.35">
      <c r="D33" s="6">
        <v>18</v>
      </c>
      <c r="E33" s="6" t="s">
        <v>214</v>
      </c>
      <c r="F33" s="6">
        <v>42</v>
      </c>
      <c r="G33" s="6">
        <v>25</v>
      </c>
      <c r="H33" s="6">
        <f t="shared" si="0"/>
        <v>67</v>
      </c>
      <c r="I33" s="6" t="str">
        <f t="shared" si="1"/>
        <v>PASS</v>
      </c>
      <c r="J33" s="6" t="str">
        <f t="shared" si="2"/>
        <v>1</v>
      </c>
      <c r="L33" s="7"/>
      <c r="M33" s="7"/>
      <c r="N33" s="7"/>
    </row>
    <row r="34" spans="4:14" x14ac:dyDescent="0.35">
      <c r="D34" s="6">
        <v>19</v>
      </c>
      <c r="E34" s="6" t="s">
        <v>219</v>
      </c>
      <c r="F34" s="6">
        <v>25</v>
      </c>
      <c r="G34" s="6">
        <v>5</v>
      </c>
      <c r="H34" s="6">
        <f t="shared" si="0"/>
        <v>30</v>
      </c>
      <c r="I34" s="6" t="str">
        <f t="shared" si="1"/>
        <v>FAIL</v>
      </c>
      <c r="J34" s="6" t="str">
        <f t="shared" si="2"/>
        <v>0</v>
      </c>
      <c r="L34" s="7"/>
      <c r="M34" s="7"/>
      <c r="N34" s="7"/>
    </row>
    <row r="35" spans="4:14" x14ac:dyDescent="0.35">
      <c r="D35" s="6">
        <v>20</v>
      </c>
      <c r="E35" s="6" t="s">
        <v>224</v>
      </c>
      <c r="F35" s="6">
        <v>46</v>
      </c>
      <c r="G35" s="6">
        <v>20</v>
      </c>
      <c r="H35" s="6">
        <f t="shared" si="0"/>
        <v>66</v>
      </c>
      <c r="I35" s="6" t="str">
        <f t="shared" si="1"/>
        <v>PASS</v>
      </c>
      <c r="J35" s="6" t="str">
        <f t="shared" si="2"/>
        <v>1</v>
      </c>
      <c r="L35" s="7"/>
      <c r="M35" s="7"/>
      <c r="N35" s="7"/>
    </row>
    <row r="36" spans="4:14" x14ac:dyDescent="0.35">
      <c r="D36" s="6">
        <f>'SUB-1'!D35</f>
        <v>21</v>
      </c>
      <c r="E36" s="6" t="str">
        <f>'SUB-1'!E35</f>
        <v>BTMC24O1021</v>
      </c>
      <c r="F36" s="6">
        <v>69</v>
      </c>
      <c r="G36" s="6">
        <v>28</v>
      </c>
      <c r="H36" s="6">
        <f t="shared" ref="H36" si="3">F36+G36</f>
        <v>97</v>
      </c>
      <c r="I36" s="6" t="str">
        <f t="shared" ref="I36" si="4">IF(H36&lt;35,"FAIL","PASS")</f>
        <v>PASS</v>
      </c>
      <c r="J36" s="6" t="str">
        <f t="shared" ref="J36" si="5">IF(H36&lt;35,"0","1")</f>
        <v>1</v>
      </c>
    </row>
    <row r="37" spans="4:14" x14ac:dyDescent="0.35">
      <c r="D37" s="6">
        <f>'SUB-1'!D36</f>
        <v>22</v>
      </c>
      <c r="E37" s="6" t="str">
        <f>'SUB-1'!E36</f>
        <v>BTMC24O1022</v>
      </c>
      <c r="F37" s="6">
        <v>36</v>
      </c>
      <c r="G37" s="6">
        <v>8</v>
      </c>
      <c r="H37" s="6">
        <f t="shared" ref="H37:H100" si="6">F37+G37</f>
        <v>44</v>
      </c>
      <c r="I37" s="6" t="str">
        <f t="shared" ref="I37:I100" si="7">IF(H37&lt;35,"FAIL","PASS")</f>
        <v>PASS</v>
      </c>
      <c r="J37" s="6" t="str">
        <f t="shared" ref="J37:J100" si="8">IF(H37&lt;35,"0","1")</f>
        <v>1</v>
      </c>
    </row>
    <row r="38" spans="4:14" x14ac:dyDescent="0.35">
      <c r="D38" s="6">
        <f>'SUB-1'!D37</f>
        <v>23</v>
      </c>
      <c r="E38" s="6" t="str">
        <f>'SUB-1'!E37</f>
        <v>BTMC24O1023</v>
      </c>
      <c r="F38" s="6">
        <v>22</v>
      </c>
      <c r="G38" s="6">
        <v>3</v>
      </c>
      <c r="H38" s="6">
        <f t="shared" si="6"/>
        <v>25</v>
      </c>
      <c r="I38" s="6" t="str">
        <f t="shared" si="7"/>
        <v>FAIL</v>
      </c>
      <c r="J38" s="6" t="str">
        <f t="shared" si="8"/>
        <v>0</v>
      </c>
    </row>
    <row r="39" spans="4:14" x14ac:dyDescent="0.35">
      <c r="D39" s="6">
        <f>'SUB-1'!D38</f>
        <v>24</v>
      </c>
      <c r="E39" s="6" t="str">
        <f>'SUB-1'!E38</f>
        <v>BTMC24O1024</v>
      </c>
      <c r="F39" s="6">
        <v>68</v>
      </c>
      <c r="G39" s="6">
        <v>29</v>
      </c>
      <c r="H39" s="6">
        <f t="shared" si="6"/>
        <v>97</v>
      </c>
      <c r="I39" s="6" t="str">
        <f t="shared" si="7"/>
        <v>PASS</v>
      </c>
      <c r="J39" s="6" t="str">
        <f t="shared" si="8"/>
        <v>1</v>
      </c>
    </row>
    <row r="40" spans="4:14" x14ac:dyDescent="0.35">
      <c r="D40" s="6">
        <f>'SUB-1'!D39</f>
        <v>25</v>
      </c>
      <c r="E40" s="6" t="str">
        <f>'SUB-1'!E39</f>
        <v>BTMC24O1025</v>
      </c>
      <c r="F40" s="6">
        <v>16</v>
      </c>
      <c r="G40" s="6">
        <v>23</v>
      </c>
      <c r="H40" s="6">
        <f t="shared" si="6"/>
        <v>39</v>
      </c>
      <c r="I40" s="6" t="str">
        <f t="shared" si="7"/>
        <v>PASS</v>
      </c>
      <c r="J40" s="6" t="str">
        <f t="shared" si="8"/>
        <v>1</v>
      </c>
    </row>
    <row r="41" spans="4:14" x14ac:dyDescent="0.35">
      <c r="D41" s="6">
        <f>'SUB-1'!D40</f>
        <v>26</v>
      </c>
      <c r="E41" s="6" t="str">
        <f>'SUB-1'!E40</f>
        <v>BTMC24O1026</v>
      </c>
      <c r="F41" s="6">
        <v>6</v>
      </c>
      <c r="G41" s="6">
        <v>26</v>
      </c>
      <c r="H41" s="6">
        <f t="shared" si="6"/>
        <v>32</v>
      </c>
      <c r="I41" s="6" t="str">
        <f t="shared" si="7"/>
        <v>FAIL</v>
      </c>
      <c r="J41" s="6" t="str">
        <f t="shared" si="8"/>
        <v>0</v>
      </c>
    </row>
    <row r="42" spans="4:14" x14ac:dyDescent="0.35">
      <c r="D42" s="6">
        <f>'SUB-1'!D41</f>
        <v>27</v>
      </c>
      <c r="E42" s="6" t="str">
        <f>'SUB-1'!E41</f>
        <v>BTMC24O1027</v>
      </c>
      <c r="F42" s="6">
        <v>51</v>
      </c>
      <c r="G42" s="6">
        <v>5</v>
      </c>
      <c r="H42" s="6">
        <f t="shared" si="6"/>
        <v>56</v>
      </c>
      <c r="I42" s="6" t="str">
        <f t="shared" si="7"/>
        <v>PASS</v>
      </c>
      <c r="J42" s="6" t="str">
        <f t="shared" si="8"/>
        <v>1</v>
      </c>
    </row>
    <row r="43" spans="4:14" x14ac:dyDescent="0.35">
      <c r="D43" s="6">
        <f>'SUB-1'!D42</f>
        <v>28</v>
      </c>
      <c r="E43" s="6" t="str">
        <f>'SUB-1'!E42</f>
        <v>BTMC24O1028</v>
      </c>
      <c r="F43" s="6">
        <v>43</v>
      </c>
      <c r="G43" s="6">
        <v>30</v>
      </c>
      <c r="H43" s="6">
        <f t="shared" si="6"/>
        <v>73</v>
      </c>
      <c r="I43" s="6" t="str">
        <f t="shared" si="7"/>
        <v>PASS</v>
      </c>
      <c r="J43" s="6" t="str">
        <f t="shared" si="8"/>
        <v>1</v>
      </c>
    </row>
    <row r="44" spans="4:14" x14ac:dyDescent="0.35">
      <c r="D44" s="6">
        <f>'SUB-1'!D43</f>
        <v>29</v>
      </c>
      <c r="E44" s="6" t="str">
        <f>'SUB-1'!E43</f>
        <v>BTMC24O1029</v>
      </c>
      <c r="F44" s="6">
        <v>18</v>
      </c>
      <c r="G44" s="6">
        <v>27</v>
      </c>
      <c r="H44" s="6">
        <f t="shared" si="6"/>
        <v>45</v>
      </c>
      <c r="I44" s="6" t="str">
        <f t="shared" si="7"/>
        <v>PASS</v>
      </c>
      <c r="J44" s="6" t="str">
        <f t="shared" si="8"/>
        <v>1</v>
      </c>
    </row>
    <row r="45" spans="4:14" x14ac:dyDescent="0.35">
      <c r="D45" s="6">
        <f>'SUB-1'!D44</f>
        <v>30</v>
      </c>
      <c r="E45" s="6" t="str">
        <f>'SUB-1'!E44</f>
        <v>BTMC24O1030</v>
      </c>
      <c r="F45" s="6">
        <v>10</v>
      </c>
      <c r="G45" s="6">
        <v>20</v>
      </c>
      <c r="H45" s="6">
        <f t="shared" si="6"/>
        <v>30</v>
      </c>
      <c r="I45" s="6" t="str">
        <f t="shared" si="7"/>
        <v>FAIL</v>
      </c>
      <c r="J45" s="6" t="str">
        <f t="shared" si="8"/>
        <v>0</v>
      </c>
    </row>
    <row r="46" spans="4:14" x14ac:dyDescent="0.35">
      <c r="D46" s="6">
        <f>'SUB-1'!D45</f>
        <v>31</v>
      </c>
      <c r="E46" s="6" t="str">
        <f>'SUB-1'!E45</f>
        <v>BTMC24O1031</v>
      </c>
      <c r="F46" s="6">
        <v>56</v>
      </c>
      <c r="G46" s="6">
        <v>22</v>
      </c>
      <c r="H46" s="6">
        <f t="shared" si="6"/>
        <v>78</v>
      </c>
      <c r="I46" s="6" t="str">
        <f t="shared" si="7"/>
        <v>PASS</v>
      </c>
      <c r="J46" s="6" t="str">
        <f t="shared" si="8"/>
        <v>1</v>
      </c>
    </row>
    <row r="47" spans="4:14" x14ac:dyDescent="0.35">
      <c r="D47" s="6">
        <f>'SUB-1'!D46</f>
        <v>32</v>
      </c>
      <c r="E47" s="6" t="str">
        <f>'SUB-1'!E46</f>
        <v>BTMC24O1032</v>
      </c>
      <c r="F47" s="6">
        <v>40</v>
      </c>
      <c r="G47" s="6">
        <v>5</v>
      </c>
      <c r="H47" s="6">
        <f t="shared" si="6"/>
        <v>45</v>
      </c>
      <c r="I47" s="6" t="str">
        <f t="shared" si="7"/>
        <v>PASS</v>
      </c>
      <c r="J47" s="6" t="str">
        <f t="shared" si="8"/>
        <v>1</v>
      </c>
    </row>
    <row r="48" spans="4:14" x14ac:dyDescent="0.35">
      <c r="D48" s="6">
        <f>'SUB-1'!D47</f>
        <v>33</v>
      </c>
      <c r="E48" s="6" t="str">
        <f>'SUB-1'!E47</f>
        <v>BTMC24O1033</v>
      </c>
      <c r="F48" s="6">
        <v>41</v>
      </c>
      <c r="G48" s="6">
        <v>10</v>
      </c>
      <c r="H48" s="6">
        <f t="shared" si="6"/>
        <v>51</v>
      </c>
      <c r="I48" s="6" t="str">
        <f t="shared" si="7"/>
        <v>PASS</v>
      </c>
      <c r="J48" s="6" t="str">
        <f t="shared" si="8"/>
        <v>1</v>
      </c>
    </row>
    <row r="49" spans="4:10" x14ac:dyDescent="0.35">
      <c r="D49" s="6">
        <f>'SUB-1'!D48</f>
        <v>34</v>
      </c>
      <c r="E49" s="6" t="str">
        <f>'SUB-1'!E48</f>
        <v>BTMC24O1034</v>
      </c>
      <c r="F49" s="6">
        <v>9</v>
      </c>
      <c r="G49" s="6">
        <v>8</v>
      </c>
      <c r="H49" s="6">
        <f t="shared" si="6"/>
        <v>17</v>
      </c>
      <c r="I49" s="6" t="str">
        <f t="shared" si="7"/>
        <v>FAIL</v>
      </c>
      <c r="J49" s="6" t="str">
        <f t="shared" si="8"/>
        <v>0</v>
      </c>
    </row>
    <row r="50" spans="4:10" x14ac:dyDescent="0.35">
      <c r="D50" s="6">
        <f>'SUB-1'!D49</f>
        <v>35</v>
      </c>
      <c r="E50" s="6" t="str">
        <f>'SUB-1'!E49</f>
        <v>BTMC24O1035</v>
      </c>
      <c r="F50" s="6">
        <v>33</v>
      </c>
      <c r="G50" s="6">
        <v>0</v>
      </c>
      <c r="H50" s="6">
        <f t="shared" si="6"/>
        <v>33</v>
      </c>
      <c r="I50" s="6" t="str">
        <f t="shared" si="7"/>
        <v>FAIL</v>
      </c>
      <c r="J50" s="6" t="str">
        <f t="shared" si="8"/>
        <v>0</v>
      </c>
    </row>
    <row r="51" spans="4:10" x14ac:dyDescent="0.35">
      <c r="D51" s="6">
        <f>'SUB-1'!D50</f>
        <v>36</v>
      </c>
      <c r="E51" s="6" t="str">
        <f>'SUB-1'!E50</f>
        <v>BTMC24O1036</v>
      </c>
      <c r="F51" s="6">
        <v>33</v>
      </c>
      <c r="G51" s="6">
        <v>3</v>
      </c>
      <c r="H51" s="6">
        <f t="shared" si="6"/>
        <v>36</v>
      </c>
      <c r="I51" s="6" t="str">
        <f t="shared" si="7"/>
        <v>PASS</v>
      </c>
      <c r="J51" s="6" t="str">
        <f t="shared" si="8"/>
        <v>1</v>
      </c>
    </row>
    <row r="52" spans="4:10" x14ac:dyDescent="0.35">
      <c r="D52" s="6">
        <f>'SUB-1'!D51</f>
        <v>37</v>
      </c>
      <c r="E52" s="6" t="str">
        <f>'SUB-1'!E51</f>
        <v>BTMC24O1037</v>
      </c>
      <c r="F52" s="6">
        <v>56</v>
      </c>
      <c r="G52" s="6">
        <v>17</v>
      </c>
      <c r="H52" s="6">
        <f t="shared" si="6"/>
        <v>73</v>
      </c>
      <c r="I52" s="6" t="str">
        <f t="shared" si="7"/>
        <v>PASS</v>
      </c>
      <c r="J52" s="6" t="str">
        <f t="shared" si="8"/>
        <v>1</v>
      </c>
    </row>
    <row r="53" spans="4:10" x14ac:dyDescent="0.35">
      <c r="D53" s="6">
        <f>'SUB-1'!D52</f>
        <v>38</v>
      </c>
      <c r="E53" s="6" t="str">
        <f>'SUB-1'!E52</f>
        <v>BTMC24O1038</v>
      </c>
      <c r="F53" s="6">
        <v>38</v>
      </c>
      <c r="G53" s="6">
        <v>9</v>
      </c>
      <c r="H53" s="6">
        <f t="shared" si="6"/>
        <v>47</v>
      </c>
      <c r="I53" s="6" t="str">
        <f t="shared" si="7"/>
        <v>PASS</v>
      </c>
      <c r="J53" s="6" t="str">
        <f t="shared" si="8"/>
        <v>1</v>
      </c>
    </row>
    <row r="54" spans="4:10" x14ac:dyDescent="0.35">
      <c r="D54" s="6">
        <f>'SUB-1'!D53</f>
        <v>39</v>
      </c>
      <c r="E54" s="6" t="str">
        <f>'SUB-1'!E53</f>
        <v>BTMC24O1039</v>
      </c>
      <c r="F54" s="6">
        <v>65</v>
      </c>
      <c r="G54" s="6">
        <v>0</v>
      </c>
      <c r="H54" s="6">
        <f t="shared" si="6"/>
        <v>65</v>
      </c>
      <c r="I54" s="6" t="str">
        <f t="shared" si="7"/>
        <v>PASS</v>
      </c>
      <c r="J54" s="6" t="str">
        <f t="shared" si="8"/>
        <v>1</v>
      </c>
    </row>
    <row r="55" spans="4:10" x14ac:dyDescent="0.35">
      <c r="D55" s="6">
        <f>'SUB-1'!D54</f>
        <v>40</v>
      </c>
      <c r="E55" s="6" t="str">
        <f>'SUB-1'!E54</f>
        <v>BTMC24O1040</v>
      </c>
      <c r="F55" s="6">
        <v>6</v>
      </c>
      <c r="G55" s="6">
        <v>18</v>
      </c>
      <c r="H55" s="6">
        <f t="shared" si="6"/>
        <v>24</v>
      </c>
      <c r="I55" s="6" t="str">
        <f t="shared" si="7"/>
        <v>FAIL</v>
      </c>
      <c r="J55" s="6" t="str">
        <f t="shared" si="8"/>
        <v>0</v>
      </c>
    </row>
    <row r="56" spans="4:10" x14ac:dyDescent="0.35">
      <c r="D56" s="6">
        <f>'SUB-1'!D55</f>
        <v>41</v>
      </c>
      <c r="E56" s="6" t="str">
        <f>'SUB-1'!E55</f>
        <v>BTMC24O1041</v>
      </c>
      <c r="F56" s="6">
        <v>24</v>
      </c>
      <c r="G56" s="6">
        <v>9</v>
      </c>
      <c r="H56" s="6">
        <f t="shared" si="6"/>
        <v>33</v>
      </c>
      <c r="I56" s="6" t="str">
        <f t="shared" si="7"/>
        <v>FAIL</v>
      </c>
      <c r="J56" s="6" t="str">
        <f t="shared" si="8"/>
        <v>0</v>
      </c>
    </row>
    <row r="57" spans="4:10" x14ac:dyDescent="0.35">
      <c r="D57" s="6">
        <f>'SUB-1'!D56</f>
        <v>42</v>
      </c>
      <c r="E57" s="6" t="str">
        <f>'SUB-1'!E56</f>
        <v>BTMC24O1042</v>
      </c>
      <c r="F57" s="6">
        <v>64</v>
      </c>
      <c r="G57" s="6">
        <v>12</v>
      </c>
      <c r="H57" s="6">
        <f t="shared" si="6"/>
        <v>76</v>
      </c>
      <c r="I57" s="6" t="str">
        <f t="shared" si="7"/>
        <v>PASS</v>
      </c>
      <c r="J57" s="6" t="str">
        <f t="shared" si="8"/>
        <v>1</v>
      </c>
    </row>
    <row r="58" spans="4:10" x14ac:dyDescent="0.35">
      <c r="D58" s="6">
        <f>'SUB-1'!D57</f>
        <v>43</v>
      </c>
      <c r="E58" s="6" t="str">
        <f>'SUB-1'!E57</f>
        <v>BTMC24O1043</v>
      </c>
      <c r="F58" s="6">
        <v>4</v>
      </c>
      <c r="G58" s="6">
        <v>26</v>
      </c>
      <c r="H58" s="6">
        <f t="shared" si="6"/>
        <v>30</v>
      </c>
      <c r="I58" s="6" t="str">
        <f t="shared" si="7"/>
        <v>FAIL</v>
      </c>
      <c r="J58" s="6" t="str">
        <f t="shared" si="8"/>
        <v>0</v>
      </c>
    </row>
    <row r="59" spans="4:10" x14ac:dyDescent="0.35">
      <c r="D59" s="6">
        <f>'SUB-1'!D58</f>
        <v>44</v>
      </c>
      <c r="E59" s="6" t="str">
        <f>'SUB-1'!E58</f>
        <v>BTMC24O1044</v>
      </c>
      <c r="F59" s="6">
        <v>52</v>
      </c>
      <c r="G59" s="6">
        <v>20</v>
      </c>
      <c r="H59" s="6">
        <f t="shared" si="6"/>
        <v>72</v>
      </c>
      <c r="I59" s="6" t="str">
        <f t="shared" si="7"/>
        <v>PASS</v>
      </c>
      <c r="J59" s="6" t="str">
        <f t="shared" si="8"/>
        <v>1</v>
      </c>
    </row>
    <row r="60" spans="4:10" x14ac:dyDescent="0.35">
      <c r="D60" s="6">
        <f>'SUB-1'!D59</f>
        <v>45</v>
      </c>
      <c r="E60" s="6" t="str">
        <f>'SUB-1'!E59</f>
        <v>BTMC24O1045</v>
      </c>
      <c r="F60" s="6">
        <v>60</v>
      </c>
      <c r="G60" s="6">
        <v>7</v>
      </c>
      <c r="H60" s="6">
        <f t="shared" si="6"/>
        <v>67</v>
      </c>
      <c r="I60" s="6" t="str">
        <f t="shared" si="7"/>
        <v>PASS</v>
      </c>
      <c r="J60" s="6" t="str">
        <f t="shared" si="8"/>
        <v>1</v>
      </c>
    </row>
    <row r="61" spans="4:10" x14ac:dyDescent="0.35">
      <c r="D61" s="6">
        <f>'SUB-1'!D60</f>
        <v>46</v>
      </c>
      <c r="E61" s="6" t="str">
        <f>'SUB-1'!E60</f>
        <v>BTMC24O1046</v>
      </c>
      <c r="F61" s="6">
        <v>37</v>
      </c>
      <c r="G61" s="6">
        <v>27</v>
      </c>
      <c r="H61" s="6">
        <f t="shared" si="6"/>
        <v>64</v>
      </c>
      <c r="I61" s="6" t="str">
        <f t="shared" si="7"/>
        <v>PASS</v>
      </c>
      <c r="J61" s="6" t="str">
        <f t="shared" si="8"/>
        <v>1</v>
      </c>
    </row>
    <row r="62" spans="4:10" x14ac:dyDescent="0.35">
      <c r="D62" s="6">
        <f>'SUB-1'!D61</f>
        <v>47</v>
      </c>
      <c r="E62" s="6" t="str">
        <f>'SUB-1'!E61</f>
        <v>BTMC24O1047</v>
      </c>
      <c r="F62" s="6">
        <v>21</v>
      </c>
      <c r="G62" s="6">
        <v>8</v>
      </c>
      <c r="H62" s="6">
        <f t="shared" si="6"/>
        <v>29</v>
      </c>
      <c r="I62" s="6" t="str">
        <f t="shared" si="7"/>
        <v>FAIL</v>
      </c>
      <c r="J62" s="6" t="str">
        <f t="shared" si="8"/>
        <v>0</v>
      </c>
    </row>
    <row r="63" spans="4:10" x14ac:dyDescent="0.35">
      <c r="D63" s="6">
        <f>'SUB-1'!D62</f>
        <v>48</v>
      </c>
      <c r="E63" s="6" t="str">
        <f>'SUB-1'!E62</f>
        <v>BTMC24O1048</v>
      </c>
      <c r="F63" s="6">
        <v>11</v>
      </c>
      <c r="G63" s="6">
        <v>13</v>
      </c>
      <c r="H63" s="6">
        <f t="shared" si="6"/>
        <v>24</v>
      </c>
      <c r="I63" s="6" t="str">
        <f t="shared" si="7"/>
        <v>FAIL</v>
      </c>
      <c r="J63" s="6" t="str">
        <f t="shared" si="8"/>
        <v>0</v>
      </c>
    </row>
    <row r="64" spans="4:10" x14ac:dyDescent="0.35">
      <c r="D64" s="6">
        <f>'SUB-1'!D63</f>
        <v>49</v>
      </c>
      <c r="E64" s="6" t="str">
        <f>'SUB-1'!E63</f>
        <v>BTMC24O1049</v>
      </c>
      <c r="F64" s="6">
        <v>12</v>
      </c>
      <c r="G64" s="6">
        <v>28</v>
      </c>
      <c r="H64" s="6">
        <f t="shared" si="6"/>
        <v>40</v>
      </c>
      <c r="I64" s="6" t="str">
        <f t="shared" si="7"/>
        <v>PASS</v>
      </c>
      <c r="J64" s="6" t="str">
        <f t="shared" si="8"/>
        <v>1</v>
      </c>
    </row>
    <row r="65" spans="4:10" x14ac:dyDescent="0.35">
      <c r="D65" s="6">
        <f>'SUB-1'!D64</f>
        <v>50</v>
      </c>
      <c r="E65" s="6" t="str">
        <f>'SUB-1'!E64</f>
        <v>BTMC24O1050</v>
      </c>
      <c r="F65" s="6">
        <v>40</v>
      </c>
      <c r="G65" s="6">
        <v>15</v>
      </c>
      <c r="H65" s="6">
        <f t="shared" si="6"/>
        <v>55</v>
      </c>
      <c r="I65" s="6" t="str">
        <f t="shared" si="7"/>
        <v>PASS</v>
      </c>
      <c r="J65" s="6" t="str">
        <f t="shared" si="8"/>
        <v>1</v>
      </c>
    </row>
    <row r="66" spans="4:10" x14ac:dyDescent="0.35">
      <c r="D66" s="6">
        <f>'SUB-1'!D65</f>
        <v>51</v>
      </c>
      <c r="E66" s="6" t="str">
        <f>'SUB-1'!E65</f>
        <v>BTMC24O1051</v>
      </c>
      <c r="F66" s="6">
        <v>22</v>
      </c>
      <c r="G66" s="6">
        <v>7</v>
      </c>
      <c r="H66" s="6">
        <f t="shared" si="6"/>
        <v>29</v>
      </c>
      <c r="I66" s="6" t="str">
        <f t="shared" si="7"/>
        <v>FAIL</v>
      </c>
      <c r="J66" s="6" t="str">
        <f t="shared" si="8"/>
        <v>0</v>
      </c>
    </row>
    <row r="67" spans="4:10" x14ac:dyDescent="0.35">
      <c r="D67" s="6">
        <f>'SUB-1'!D66</f>
        <v>52</v>
      </c>
      <c r="E67" s="6" t="str">
        <f>'SUB-1'!E66</f>
        <v>BTMC24O1052</v>
      </c>
      <c r="F67" s="6">
        <v>9</v>
      </c>
      <c r="G67" s="6">
        <v>17</v>
      </c>
      <c r="H67" s="6">
        <f t="shared" si="6"/>
        <v>26</v>
      </c>
      <c r="I67" s="6" t="str">
        <f t="shared" si="7"/>
        <v>FAIL</v>
      </c>
      <c r="J67" s="6" t="str">
        <f t="shared" si="8"/>
        <v>0</v>
      </c>
    </row>
    <row r="68" spans="4:10" x14ac:dyDescent="0.35">
      <c r="D68" s="6">
        <f>'SUB-1'!D67</f>
        <v>53</v>
      </c>
      <c r="E68" s="6" t="str">
        <f>'SUB-1'!E67</f>
        <v>BTMC24O1053</v>
      </c>
      <c r="F68" s="6">
        <v>21</v>
      </c>
      <c r="G68" s="6">
        <v>28</v>
      </c>
      <c r="H68" s="6">
        <f t="shared" si="6"/>
        <v>49</v>
      </c>
      <c r="I68" s="6" t="str">
        <f t="shared" si="7"/>
        <v>PASS</v>
      </c>
      <c r="J68" s="6" t="str">
        <f t="shared" si="8"/>
        <v>1</v>
      </c>
    </row>
    <row r="69" spans="4:10" x14ac:dyDescent="0.35">
      <c r="D69" s="6">
        <f>'SUB-1'!D68</f>
        <v>54</v>
      </c>
      <c r="E69" s="6" t="str">
        <f>'SUB-1'!E68</f>
        <v>BTMC24O1054</v>
      </c>
      <c r="F69" s="6">
        <v>11</v>
      </c>
      <c r="G69" s="6">
        <v>17</v>
      </c>
      <c r="H69" s="6">
        <f t="shared" si="6"/>
        <v>28</v>
      </c>
      <c r="I69" s="6" t="str">
        <f t="shared" si="7"/>
        <v>FAIL</v>
      </c>
      <c r="J69" s="6" t="str">
        <f t="shared" si="8"/>
        <v>0</v>
      </c>
    </row>
    <row r="70" spans="4:10" x14ac:dyDescent="0.35">
      <c r="D70" s="6">
        <f>'SUB-1'!D69</f>
        <v>55</v>
      </c>
      <c r="E70" s="6" t="str">
        <f>'SUB-1'!E69</f>
        <v>BTMC24O1055</v>
      </c>
      <c r="F70" s="6">
        <v>17</v>
      </c>
      <c r="G70" s="6">
        <v>14</v>
      </c>
      <c r="H70" s="6">
        <f t="shared" si="6"/>
        <v>31</v>
      </c>
      <c r="I70" s="6" t="str">
        <f t="shared" si="7"/>
        <v>FAIL</v>
      </c>
      <c r="J70" s="6" t="str">
        <f t="shared" si="8"/>
        <v>0</v>
      </c>
    </row>
    <row r="71" spans="4:10" x14ac:dyDescent="0.35">
      <c r="D71" s="6">
        <f>'SUB-1'!D70</f>
        <v>56</v>
      </c>
      <c r="E71" s="6" t="str">
        <f>'SUB-1'!E70</f>
        <v>BTMC24O1056</v>
      </c>
      <c r="F71" s="6">
        <v>16</v>
      </c>
      <c r="G71" s="6">
        <v>5</v>
      </c>
      <c r="H71" s="6">
        <f t="shared" si="6"/>
        <v>21</v>
      </c>
      <c r="I71" s="6" t="str">
        <f t="shared" si="7"/>
        <v>FAIL</v>
      </c>
      <c r="J71" s="6" t="str">
        <f t="shared" si="8"/>
        <v>0</v>
      </c>
    </row>
    <row r="72" spans="4:10" x14ac:dyDescent="0.35">
      <c r="D72" s="6">
        <f>'SUB-1'!D71</f>
        <v>57</v>
      </c>
      <c r="E72" s="6" t="str">
        <f>'SUB-1'!E71</f>
        <v>BTMC24O1057</v>
      </c>
      <c r="F72" s="6">
        <v>28</v>
      </c>
      <c r="G72" s="6">
        <v>29</v>
      </c>
      <c r="H72" s="6">
        <f t="shared" si="6"/>
        <v>57</v>
      </c>
      <c r="I72" s="6" t="str">
        <f t="shared" si="7"/>
        <v>PASS</v>
      </c>
      <c r="J72" s="6" t="str">
        <f t="shared" si="8"/>
        <v>1</v>
      </c>
    </row>
    <row r="73" spans="4:10" x14ac:dyDescent="0.35">
      <c r="D73" s="6">
        <f>'SUB-1'!D72</f>
        <v>58</v>
      </c>
      <c r="E73" s="6" t="str">
        <f>'SUB-1'!E72</f>
        <v>BTMC24O1058</v>
      </c>
      <c r="F73" s="6">
        <v>60</v>
      </c>
      <c r="G73" s="6">
        <v>21</v>
      </c>
      <c r="H73" s="6">
        <f t="shared" si="6"/>
        <v>81</v>
      </c>
      <c r="I73" s="6" t="str">
        <f t="shared" si="7"/>
        <v>PASS</v>
      </c>
      <c r="J73" s="6" t="str">
        <f t="shared" si="8"/>
        <v>1</v>
      </c>
    </row>
    <row r="74" spans="4:10" x14ac:dyDescent="0.35">
      <c r="D74" s="6">
        <f>'SUB-1'!D73</f>
        <v>59</v>
      </c>
      <c r="E74" s="6" t="str">
        <f>'SUB-1'!E73</f>
        <v>BTMC24O1059</v>
      </c>
      <c r="F74" s="6">
        <v>47</v>
      </c>
      <c r="G74" s="6">
        <v>11</v>
      </c>
      <c r="H74" s="6">
        <f t="shared" si="6"/>
        <v>58</v>
      </c>
      <c r="I74" s="6" t="str">
        <f t="shared" si="7"/>
        <v>PASS</v>
      </c>
      <c r="J74" s="6" t="str">
        <f t="shared" si="8"/>
        <v>1</v>
      </c>
    </row>
    <row r="75" spans="4:10" x14ac:dyDescent="0.35">
      <c r="D75" s="6">
        <f>'SUB-1'!D74</f>
        <v>60</v>
      </c>
      <c r="E75" s="6" t="str">
        <f>'SUB-1'!E74</f>
        <v>BTMC24O1060</v>
      </c>
      <c r="F75" s="6">
        <v>50</v>
      </c>
      <c r="G75" s="6">
        <v>10</v>
      </c>
      <c r="H75" s="6">
        <f t="shared" si="6"/>
        <v>60</v>
      </c>
      <c r="I75" s="6" t="str">
        <f t="shared" si="7"/>
        <v>PASS</v>
      </c>
      <c r="J75" s="6" t="str">
        <f t="shared" si="8"/>
        <v>1</v>
      </c>
    </row>
    <row r="76" spans="4:10" x14ac:dyDescent="0.35">
      <c r="D76" s="6">
        <f>'SUB-1'!D75</f>
        <v>61</v>
      </c>
      <c r="E76" s="6" t="str">
        <f>'SUB-1'!E75</f>
        <v>BTMC24O1061</v>
      </c>
      <c r="F76" s="6">
        <v>59</v>
      </c>
      <c r="G76" s="6">
        <v>14</v>
      </c>
      <c r="H76" s="6">
        <f t="shared" si="6"/>
        <v>73</v>
      </c>
      <c r="I76" s="6" t="str">
        <f t="shared" si="7"/>
        <v>PASS</v>
      </c>
      <c r="J76" s="6" t="str">
        <f t="shared" si="8"/>
        <v>1</v>
      </c>
    </row>
    <row r="77" spans="4:10" x14ac:dyDescent="0.35">
      <c r="D77" s="6">
        <f>'SUB-1'!D76</f>
        <v>62</v>
      </c>
      <c r="E77" s="6" t="str">
        <f>'SUB-1'!E76</f>
        <v>BTMC24O1062</v>
      </c>
      <c r="F77" s="6">
        <v>1</v>
      </c>
      <c r="G77" s="6">
        <v>21</v>
      </c>
      <c r="H77" s="6">
        <f t="shared" si="6"/>
        <v>22</v>
      </c>
      <c r="I77" s="6" t="str">
        <f t="shared" si="7"/>
        <v>FAIL</v>
      </c>
      <c r="J77" s="6" t="str">
        <f t="shared" si="8"/>
        <v>0</v>
      </c>
    </row>
    <row r="78" spans="4:10" x14ac:dyDescent="0.35">
      <c r="D78" s="6">
        <f>'SUB-1'!D77</f>
        <v>63</v>
      </c>
      <c r="E78" s="6" t="str">
        <f>'SUB-1'!E77</f>
        <v>BTMC24O1063</v>
      </c>
      <c r="F78" s="6">
        <v>30</v>
      </c>
      <c r="G78" s="6">
        <v>1</v>
      </c>
      <c r="H78" s="6">
        <f t="shared" si="6"/>
        <v>31</v>
      </c>
      <c r="I78" s="6" t="str">
        <f t="shared" si="7"/>
        <v>FAIL</v>
      </c>
      <c r="J78" s="6" t="str">
        <f t="shared" si="8"/>
        <v>0</v>
      </c>
    </row>
    <row r="79" spans="4:10" x14ac:dyDescent="0.35">
      <c r="D79" s="6">
        <f>'SUB-1'!D78</f>
        <v>64</v>
      </c>
      <c r="E79" s="6" t="str">
        <f>'SUB-1'!E78</f>
        <v>BTMC24O1064</v>
      </c>
      <c r="F79" s="6">
        <v>49</v>
      </c>
      <c r="G79" s="6">
        <v>28</v>
      </c>
      <c r="H79" s="6">
        <f t="shared" si="6"/>
        <v>77</v>
      </c>
      <c r="I79" s="6" t="str">
        <f t="shared" si="7"/>
        <v>PASS</v>
      </c>
      <c r="J79" s="6" t="str">
        <f t="shared" si="8"/>
        <v>1</v>
      </c>
    </row>
    <row r="80" spans="4:10" x14ac:dyDescent="0.35">
      <c r="D80" s="6">
        <f>'SUB-1'!D79</f>
        <v>65</v>
      </c>
      <c r="E80" s="6" t="str">
        <f>'SUB-1'!E79</f>
        <v>BTMC24O1065</v>
      </c>
      <c r="F80" s="6">
        <v>42</v>
      </c>
      <c r="G80" s="6">
        <v>30</v>
      </c>
      <c r="H80" s="6">
        <f t="shared" si="6"/>
        <v>72</v>
      </c>
      <c r="I80" s="6" t="str">
        <f t="shared" si="7"/>
        <v>PASS</v>
      </c>
      <c r="J80" s="6" t="str">
        <f t="shared" si="8"/>
        <v>1</v>
      </c>
    </row>
    <row r="81" spans="4:10" x14ac:dyDescent="0.35">
      <c r="D81" s="6">
        <f>'SUB-1'!D80</f>
        <v>66</v>
      </c>
      <c r="E81" s="6" t="str">
        <f>'SUB-1'!E80</f>
        <v>BTMC24O1066</v>
      </c>
      <c r="F81" s="6">
        <v>40</v>
      </c>
      <c r="G81" s="6">
        <v>11</v>
      </c>
      <c r="H81" s="6">
        <f t="shared" si="6"/>
        <v>51</v>
      </c>
      <c r="I81" s="6" t="str">
        <f t="shared" si="7"/>
        <v>PASS</v>
      </c>
      <c r="J81" s="6" t="str">
        <f t="shared" si="8"/>
        <v>1</v>
      </c>
    </row>
    <row r="82" spans="4:10" x14ac:dyDescent="0.35">
      <c r="D82" s="6">
        <f>'SUB-1'!D81</f>
        <v>67</v>
      </c>
      <c r="E82" s="6" t="str">
        <f>'SUB-1'!E81</f>
        <v>BTMC24O1067</v>
      </c>
      <c r="F82" s="6">
        <v>11</v>
      </c>
      <c r="G82" s="6">
        <v>22</v>
      </c>
      <c r="H82" s="6">
        <f t="shared" si="6"/>
        <v>33</v>
      </c>
      <c r="I82" s="6" t="str">
        <f t="shared" si="7"/>
        <v>FAIL</v>
      </c>
      <c r="J82" s="6" t="str">
        <f t="shared" si="8"/>
        <v>0</v>
      </c>
    </row>
    <row r="83" spans="4:10" x14ac:dyDescent="0.35">
      <c r="D83" s="6">
        <f>'SUB-1'!D82</f>
        <v>68</v>
      </c>
      <c r="E83" s="6" t="str">
        <f>'SUB-1'!E82</f>
        <v>BTMC24O1068</v>
      </c>
      <c r="F83" s="6">
        <v>55</v>
      </c>
      <c r="G83" s="6">
        <v>18</v>
      </c>
      <c r="H83" s="6">
        <f t="shared" si="6"/>
        <v>73</v>
      </c>
      <c r="I83" s="6" t="str">
        <f t="shared" si="7"/>
        <v>PASS</v>
      </c>
      <c r="J83" s="6" t="str">
        <f t="shared" si="8"/>
        <v>1</v>
      </c>
    </row>
    <row r="84" spans="4:10" x14ac:dyDescent="0.35">
      <c r="D84" s="6">
        <f>'SUB-1'!D83</f>
        <v>69</v>
      </c>
      <c r="E84" s="6" t="str">
        <f>'SUB-1'!E83</f>
        <v>BTMC24O1069</v>
      </c>
      <c r="F84" s="6">
        <v>0</v>
      </c>
      <c r="G84" s="6">
        <v>15</v>
      </c>
      <c r="H84" s="6">
        <f t="shared" si="6"/>
        <v>15</v>
      </c>
      <c r="I84" s="6" t="str">
        <f t="shared" si="7"/>
        <v>FAIL</v>
      </c>
      <c r="J84" s="6" t="str">
        <f t="shared" si="8"/>
        <v>0</v>
      </c>
    </row>
    <row r="85" spans="4:10" x14ac:dyDescent="0.35">
      <c r="D85" s="6">
        <f>'SUB-1'!D84</f>
        <v>70</v>
      </c>
      <c r="E85" s="6" t="str">
        <f>'SUB-1'!E84</f>
        <v>BTMC24O1070</v>
      </c>
      <c r="F85" s="6">
        <v>5</v>
      </c>
      <c r="G85" s="6">
        <v>25</v>
      </c>
      <c r="H85" s="6">
        <f t="shared" si="6"/>
        <v>30</v>
      </c>
      <c r="I85" s="6" t="str">
        <f t="shared" si="7"/>
        <v>FAIL</v>
      </c>
      <c r="J85" s="6" t="str">
        <f t="shared" si="8"/>
        <v>0</v>
      </c>
    </row>
    <row r="86" spans="4:10" x14ac:dyDescent="0.35">
      <c r="D86" s="6">
        <f>'SUB-1'!D85</f>
        <v>71</v>
      </c>
      <c r="E86" s="6" t="str">
        <f>'SUB-1'!E85</f>
        <v>BTMC24O1071</v>
      </c>
      <c r="F86" s="6">
        <v>29</v>
      </c>
      <c r="G86" s="6">
        <v>7</v>
      </c>
      <c r="H86" s="6">
        <f t="shared" si="6"/>
        <v>36</v>
      </c>
      <c r="I86" s="6" t="str">
        <f t="shared" si="7"/>
        <v>PASS</v>
      </c>
      <c r="J86" s="6" t="str">
        <f t="shared" si="8"/>
        <v>1</v>
      </c>
    </row>
    <row r="87" spans="4:10" x14ac:dyDescent="0.35">
      <c r="D87" s="6">
        <f>'SUB-1'!D86</f>
        <v>72</v>
      </c>
      <c r="E87" s="6" t="str">
        <f>'SUB-1'!E86</f>
        <v>BTMC24O1072</v>
      </c>
      <c r="F87" s="6">
        <v>45</v>
      </c>
      <c r="G87" s="6">
        <v>27</v>
      </c>
      <c r="H87" s="6">
        <f t="shared" si="6"/>
        <v>72</v>
      </c>
      <c r="I87" s="6" t="str">
        <f t="shared" si="7"/>
        <v>PASS</v>
      </c>
      <c r="J87" s="6" t="str">
        <f t="shared" si="8"/>
        <v>1</v>
      </c>
    </row>
    <row r="88" spans="4:10" x14ac:dyDescent="0.35">
      <c r="D88" s="6">
        <f>'SUB-1'!D87</f>
        <v>73</v>
      </c>
      <c r="E88" s="6" t="str">
        <f>'SUB-1'!E87</f>
        <v>BTMC24O1073</v>
      </c>
      <c r="F88" s="6">
        <v>67</v>
      </c>
      <c r="G88" s="6">
        <v>11</v>
      </c>
      <c r="H88" s="6">
        <f t="shared" si="6"/>
        <v>78</v>
      </c>
      <c r="I88" s="6" t="str">
        <f t="shared" si="7"/>
        <v>PASS</v>
      </c>
      <c r="J88" s="6" t="str">
        <f t="shared" si="8"/>
        <v>1</v>
      </c>
    </row>
    <row r="89" spans="4:10" x14ac:dyDescent="0.35">
      <c r="D89" s="6">
        <f>'SUB-1'!D88</f>
        <v>74</v>
      </c>
      <c r="E89" s="6" t="str">
        <f>'SUB-1'!E88</f>
        <v>BTMC24O1074</v>
      </c>
      <c r="F89" s="6">
        <v>5</v>
      </c>
      <c r="G89" s="6">
        <v>2</v>
      </c>
      <c r="H89" s="6">
        <f t="shared" si="6"/>
        <v>7</v>
      </c>
      <c r="I89" s="6" t="str">
        <f t="shared" si="7"/>
        <v>FAIL</v>
      </c>
      <c r="J89" s="6" t="str">
        <f t="shared" si="8"/>
        <v>0</v>
      </c>
    </row>
    <row r="90" spans="4:10" x14ac:dyDescent="0.35">
      <c r="D90" s="6">
        <f>'SUB-1'!D89</f>
        <v>75</v>
      </c>
      <c r="E90" s="6" t="str">
        <f>'SUB-1'!E89</f>
        <v>BTMC24O1075</v>
      </c>
      <c r="F90" s="6">
        <v>50</v>
      </c>
      <c r="G90" s="6">
        <v>25</v>
      </c>
      <c r="H90" s="6">
        <f t="shared" si="6"/>
        <v>75</v>
      </c>
      <c r="I90" s="6" t="str">
        <f t="shared" si="7"/>
        <v>PASS</v>
      </c>
      <c r="J90" s="6" t="str">
        <f t="shared" si="8"/>
        <v>1</v>
      </c>
    </row>
    <row r="91" spans="4:10" x14ac:dyDescent="0.35">
      <c r="D91" s="6">
        <f>'SUB-1'!D90</f>
        <v>76</v>
      </c>
      <c r="E91" s="6" t="str">
        <f>'SUB-1'!E90</f>
        <v>BTMC24O1076</v>
      </c>
      <c r="F91" s="6">
        <v>30</v>
      </c>
      <c r="G91" s="6">
        <v>8</v>
      </c>
      <c r="H91" s="6">
        <f t="shared" si="6"/>
        <v>38</v>
      </c>
      <c r="I91" s="6" t="str">
        <f t="shared" si="7"/>
        <v>PASS</v>
      </c>
      <c r="J91" s="6" t="str">
        <f t="shared" si="8"/>
        <v>1</v>
      </c>
    </row>
    <row r="92" spans="4:10" x14ac:dyDescent="0.35">
      <c r="D92" s="6">
        <f>'SUB-1'!D91</f>
        <v>77</v>
      </c>
      <c r="E92" s="6" t="str">
        <f>'SUB-1'!E91</f>
        <v>BTMC24O1077</v>
      </c>
      <c r="F92" s="6">
        <v>38</v>
      </c>
      <c r="G92" s="6">
        <v>12</v>
      </c>
      <c r="H92" s="6">
        <f t="shared" si="6"/>
        <v>50</v>
      </c>
      <c r="I92" s="6" t="str">
        <f t="shared" si="7"/>
        <v>PASS</v>
      </c>
      <c r="J92" s="6" t="str">
        <f t="shared" si="8"/>
        <v>1</v>
      </c>
    </row>
    <row r="93" spans="4:10" x14ac:dyDescent="0.35">
      <c r="D93" s="6">
        <f>'SUB-1'!D92</f>
        <v>78</v>
      </c>
      <c r="E93" s="6" t="str">
        <f>'SUB-1'!E92</f>
        <v>BTMC24O1078</v>
      </c>
      <c r="F93" s="6">
        <v>65</v>
      </c>
      <c r="G93" s="6">
        <v>15</v>
      </c>
      <c r="H93" s="6">
        <f t="shared" si="6"/>
        <v>80</v>
      </c>
      <c r="I93" s="6" t="str">
        <f t="shared" si="7"/>
        <v>PASS</v>
      </c>
      <c r="J93" s="6" t="str">
        <f t="shared" si="8"/>
        <v>1</v>
      </c>
    </row>
    <row r="94" spans="4:10" x14ac:dyDescent="0.35">
      <c r="D94" s="6">
        <f>'SUB-1'!D93</f>
        <v>79</v>
      </c>
      <c r="E94" s="6" t="str">
        <f>'SUB-1'!E93</f>
        <v>BTMC24O1079</v>
      </c>
      <c r="F94" s="6">
        <v>40</v>
      </c>
      <c r="G94" s="6">
        <v>15</v>
      </c>
      <c r="H94" s="6">
        <f t="shared" si="6"/>
        <v>55</v>
      </c>
      <c r="I94" s="6" t="str">
        <f t="shared" si="7"/>
        <v>PASS</v>
      </c>
      <c r="J94" s="6" t="str">
        <f t="shared" si="8"/>
        <v>1</v>
      </c>
    </row>
    <row r="95" spans="4:10" x14ac:dyDescent="0.35">
      <c r="D95" s="6">
        <f>'SUB-1'!D94</f>
        <v>80</v>
      </c>
      <c r="E95" s="6" t="str">
        <f>'SUB-1'!E94</f>
        <v>BTMC24O1080</v>
      </c>
      <c r="F95" s="6">
        <v>62</v>
      </c>
      <c r="G95" s="6">
        <v>4</v>
      </c>
      <c r="H95" s="6">
        <f t="shared" si="6"/>
        <v>66</v>
      </c>
      <c r="I95" s="6" t="str">
        <f t="shared" si="7"/>
        <v>PASS</v>
      </c>
      <c r="J95" s="6" t="str">
        <f t="shared" si="8"/>
        <v>1</v>
      </c>
    </row>
    <row r="96" spans="4:10" x14ac:dyDescent="0.35">
      <c r="D96" s="6">
        <f>'SUB-1'!D95</f>
        <v>81</v>
      </c>
      <c r="E96" s="6" t="str">
        <f>'SUB-1'!E95</f>
        <v>BTMC24O1081</v>
      </c>
      <c r="F96" s="6">
        <v>56</v>
      </c>
      <c r="G96" s="6">
        <v>9</v>
      </c>
      <c r="H96" s="6">
        <f t="shared" si="6"/>
        <v>65</v>
      </c>
      <c r="I96" s="6" t="str">
        <f t="shared" si="7"/>
        <v>PASS</v>
      </c>
      <c r="J96" s="6" t="str">
        <f t="shared" si="8"/>
        <v>1</v>
      </c>
    </row>
    <row r="97" spans="4:10" x14ac:dyDescent="0.35">
      <c r="D97" s="6">
        <f>'SUB-1'!D96</f>
        <v>82</v>
      </c>
      <c r="E97" s="6" t="str">
        <f>'SUB-1'!E96</f>
        <v>BTMC24O1082</v>
      </c>
      <c r="F97" s="6">
        <v>60</v>
      </c>
      <c r="G97" s="6">
        <v>4</v>
      </c>
      <c r="H97" s="6">
        <f t="shared" si="6"/>
        <v>64</v>
      </c>
      <c r="I97" s="6" t="str">
        <f t="shared" si="7"/>
        <v>PASS</v>
      </c>
      <c r="J97" s="6" t="str">
        <f t="shared" si="8"/>
        <v>1</v>
      </c>
    </row>
    <row r="98" spans="4:10" x14ac:dyDescent="0.35">
      <c r="D98" s="6">
        <f>'SUB-1'!D97</f>
        <v>83</v>
      </c>
      <c r="E98" s="6" t="str">
        <f>'SUB-1'!E97</f>
        <v>BTMC24O1083</v>
      </c>
      <c r="F98" s="6">
        <v>5</v>
      </c>
      <c r="G98" s="6">
        <v>21</v>
      </c>
      <c r="H98" s="6">
        <f t="shared" si="6"/>
        <v>26</v>
      </c>
      <c r="I98" s="6" t="str">
        <f t="shared" si="7"/>
        <v>FAIL</v>
      </c>
      <c r="J98" s="6" t="str">
        <f t="shared" si="8"/>
        <v>0</v>
      </c>
    </row>
    <row r="99" spans="4:10" x14ac:dyDescent="0.35">
      <c r="D99" s="6">
        <f>'SUB-1'!D98</f>
        <v>84</v>
      </c>
      <c r="E99" s="6" t="str">
        <f>'SUB-1'!E98</f>
        <v>BTMC24O1084</v>
      </c>
      <c r="F99" s="6">
        <v>8</v>
      </c>
      <c r="G99" s="6">
        <v>15</v>
      </c>
      <c r="H99" s="6">
        <f t="shared" si="6"/>
        <v>23</v>
      </c>
      <c r="I99" s="6" t="str">
        <f t="shared" si="7"/>
        <v>FAIL</v>
      </c>
      <c r="J99" s="6" t="str">
        <f t="shared" si="8"/>
        <v>0</v>
      </c>
    </row>
    <row r="100" spans="4:10" x14ac:dyDescent="0.35">
      <c r="D100" s="6">
        <f>'SUB-1'!D99</f>
        <v>85</v>
      </c>
      <c r="E100" s="6" t="str">
        <f>'SUB-1'!E99</f>
        <v>BTMC24O1085</v>
      </c>
      <c r="F100" s="6">
        <v>28</v>
      </c>
      <c r="G100" s="6">
        <v>15</v>
      </c>
      <c r="H100" s="6">
        <f t="shared" si="6"/>
        <v>43</v>
      </c>
      <c r="I100" s="6" t="str">
        <f t="shared" si="7"/>
        <v>PASS</v>
      </c>
      <c r="J100" s="6" t="str">
        <f t="shared" si="8"/>
        <v>1</v>
      </c>
    </row>
    <row r="101" spans="4:10" x14ac:dyDescent="0.35">
      <c r="D101" s="6">
        <f>'SUB-1'!D100</f>
        <v>86</v>
      </c>
      <c r="E101" s="6" t="str">
        <f>'SUB-1'!E100</f>
        <v>BTMC24O1086</v>
      </c>
      <c r="F101" s="6">
        <v>10</v>
      </c>
      <c r="G101" s="6">
        <v>27</v>
      </c>
      <c r="H101" s="6">
        <f t="shared" ref="H101:H115" si="9">F101+G101</f>
        <v>37</v>
      </c>
      <c r="I101" s="6" t="str">
        <f t="shared" ref="I101:I115" si="10">IF(H101&lt;35,"FAIL","PASS")</f>
        <v>PASS</v>
      </c>
      <c r="J101" s="6" t="str">
        <f t="shared" ref="J101:J115" si="11">IF(H101&lt;35,"0","1")</f>
        <v>1</v>
      </c>
    </row>
    <row r="102" spans="4:10" x14ac:dyDescent="0.35">
      <c r="D102" s="6">
        <f>'SUB-1'!D101</f>
        <v>87</v>
      </c>
      <c r="E102" s="6" t="str">
        <f>'SUB-1'!E101</f>
        <v>BTMC24O1087</v>
      </c>
      <c r="F102" s="6">
        <v>70</v>
      </c>
      <c r="G102" s="6">
        <v>30</v>
      </c>
      <c r="H102" s="6">
        <f t="shared" si="9"/>
        <v>100</v>
      </c>
      <c r="I102" s="6" t="str">
        <f t="shared" si="10"/>
        <v>PASS</v>
      </c>
      <c r="J102" s="6" t="str">
        <f t="shared" si="11"/>
        <v>1</v>
      </c>
    </row>
    <row r="103" spans="4:10" x14ac:dyDescent="0.35">
      <c r="D103" s="6">
        <f>'SUB-1'!D102</f>
        <v>88</v>
      </c>
      <c r="E103" s="6" t="str">
        <f>'SUB-1'!E102</f>
        <v>BTMC24O1088</v>
      </c>
      <c r="F103" s="6">
        <v>50</v>
      </c>
      <c r="G103" s="6">
        <v>27</v>
      </c>
      <c r="H103" s="6">
        <f t="shared" si="9"/>
        <v>77</v>
      </c>
      <c r="I103" s="6" t="str">
        <f t="shared" si="10"/>
        <v>PASS</v>
      </c>
      <c r="J103" s="6" t="str">
        <f t="shared" si="11"/>
        <v>1</v>
      </c>
    </row>
    <row r="104" spans="4:10" x14ac:dyDescent="0.35">
      <c r="D104" s="6">
        <f>'SUB-1'!D103</f>
        <v>89</v>
      </c>
      <c r="E104" s="6" t="str">
        <f>'SUB-1'!E103</f>
        <v>BTMC24O1089</v>
      </c>
      <c r="F104" s="6">
        <v>3</v>
      </c>
      <c r="G104" s="6">
        <v>13</v>
      </c>
      <c r="H104" s="6">
        <f t="shared" si="9"/>
        <v>16</v>
      </c>
      <c r="I104" s="6" t="str">
        <f t="shared" si="10"/>
        <v>FAIL</v>
      </c>
      <c r="J104" s="6" t="str">
        <f t="shared" si="11"/>
        <v>0</v>
      </c>
    </row>
    <row r="105" spans="4:10" x14ac:dyDescent="0.35">
      <c r="D105" s="6">
        <f>'SUB-1'!D104</f>
        <v>90</v>
      </c>
      <c r="E105" s="6" t="str">
        <f>'SUB-1'!E104</f>
        <v>BTMC24O1090</v>
      </c>
      <c r="F105" s="6">
        <v>51</v>
      </c>
      <c r="G105" s="6">
        <v>14</v>
      </c>
      <c r="H105" s="6">
        <f t="shared" si="9"/>
        <v>65</v>
      </c>
      <c r="I105" s="6" t="str">
        <f t="shared" si="10"/>
        <v>PASS</v>
      </c>
      <c r="J105" s="6" t="str">
        <f t="shared" si="11"/>
        <v>1</v>
      </c>
    </row>
    <row r="106" spans="4:10" x14ac:dyDescent="0.35">
      <c r="D106" s="6">
        <f>'SUB-1'!D105</f>
        <v>91</v>
      </c>
      <c r="E106" s="6" t="str">
        <f>'SUB-1'!E105</f>
        <v>BTMC24O1091</v>
      </c>
      <c r="F106" s="6">
        <v>9</v>
      </c>
      <c r="G106" s="6">
        <v>16</v>
      </c>
      <c r="H106" s="6">
        <f t="shared" si="9"/>
        <v>25</v>
      </c>
      <c r="I106" s="6" t="str">
        <f t="shared" si="10"/>
        <v>FAIL</v>
      </c>
      <c r="J106" s="6" t="str">
        <f t="shared" si="11"/>
        <v>0</v>
      </c>
    </row>
    <row r="107" spans="4:10" x14ac:dyDescent="0.35">
      <c r="D107" s="6">
        <f>'SUB-1'!D106</f>
        <v>92</v>
      </c>
      <c r="E107" s="6" t="str">
        <f>'SUB-1'!E106</f>
        <v>BTMC24O1092</v>
      </c>
      <c r="F107" s="6">
        <v>15</v>
      </c>
      <c r="G107" s="6">
        <v>8</v>
      </c>
      <c r="H107" s="6">
        <f t="shared" si="9"/>
        <v>23</v>
      </c>
      <c r="I107" s="6" t="str">
        <f t="shared" si="10"/>
        <v>FAIL</v>
      </c>
      <c r="J107" s="6" t="str">
        <f t="shared" si="11"/>
        <v>0</v>
      </c>
    </row>
    <row r="108" spans="4:10" x14ac:dyDescent="0.35">
      <c r="D108" s="6">
        <f>'SUB-1'!D107</f>
        <v>93</v>
      </c>
      <c r="E108" s="6" t="str">
        <f>'SUB-1'!E107</f>
        <v>BTMC24O1093</v>
      </c>
      <c r="F108" s="6">
        <v>8</v>
      </c>
      <c r="G108" s="6">
        <v>16</v>
      </c>
      <c r="H108" s="6">
        <f t="shared" si="9"/>
        <v>24</v>
      </c>
      <c r="I108" s="6" t="str">
        <f t="shared" si="10"/>
        <v>FAIL</v>
      </c>
      <c r="J108" s="6" t="str">
        <f t="shared" si="11"/>
        <v>0</v>
      </c>
    </row>
    <row r="109" spans="4:10" x14ac:dyDescent="0.35">
      <c r="D109" s="6">
        <f>'SUB-1'!D108</f>
        <v>94</v>
      </c>
      <c r="E109" s="6" t="str">
        <f>'SUB-1'!E108</f>
        <v>BTMC24O1094</v>
      </c>
      <c r="F109" s="6">
        <v>56</v>
      </c>
      <c r="G109" s="6">
        <v>6</v>
      </c>
      <c r="H109" s="6">
        <f t="shared" si="9"/>
        <v>62</v>
      </c>
      <c r="I109" s="6" t="str">
        <f t="shared" si="10"/>
        <v>PASS</v>
      </c>
      <c r="J109" s="6" t="str">
        <f t="shared" si="11"/>
        <v>1</v>
      </c>
    </row>
    <row r="110" spans="4:10" x14ac:dyDescent="0.35">
      <c r="D110" s="6">
        <f>'SUB-1'!D109</f>
        <v>95</v>
      </c>
      <c r="E110" s="6" t="str">
        <f>'SUB-1'!E109</f>
        <v>BTMC24O1095</v>
      </c>
      <c r="F110" s="6">
        <v>68</v>
      </c>
      <c r="G110" s="6">
        <v>19</v>
      </c>
      <c r="H110" s="6">
        <f t="shared" si="9"/>
        <v>87</v>
      </c>
      <c r="I110" s="6" t="str">
        <f t="shared" si="10"/>
        <v>PASS</v>
      </c>
      <c r="J110" s="6" t="str">
        <f t="shared" si="11"/>
        <v>1</v>
      </c>
    </row>
    <row r="111" spans="4:10" x14ac:dyDescent="0.35">
      <c r="D111" s="6">
        <f>'SUB-1'!D110</f>
        <v>96</v>
      </c>
      <c r="E111" s="6" t="str">
        <f>'SUB-1'!E110</f>
        <v>BTMC24O1096</v>
      </c>
      <c r="F111" s="6">
        <v>63</v>
      </c>
      <c r="G111" s="6">
        <v>19</v>
      </c>
      <c r="H111" s="6">
        <f t="shared" si="9"/>
        <v>82</v>
      </c>
      <c r="I111" s="6" t="str">
        <f t="shared" si="10"/>
        <v>PASS</v>
      </c>
      <c r="J111" s="6" t="str">
        <f t="shared" si="11"/>
        <v>1</v>
      </c>
    </row>
    <row r="112" spans="4:10" x14ac:dyDescent="0.35">
      <c r="D112" s="6">
        <f>'SUB-1'!D111</f>
        <v>97</v>
      </c>
      <c r="E112" s="6" t="str">
        <f>'SUB-1'!E111</f>
        <v>BTMC24O1097</v>
      </c>
      <c r="F112" s="6">
        <v>67</v>
      </c>
      <c r="G112" s="6">
        <v>9</v>
      </c>
      <c r="H112" s="6">
        <f t="shared" si="9"/>
        <v>76</v>
      </c>
      <c r="I112" s="6" t="str">
        <f t="shared" si="10"/>
        <v>PASS</v>
      </c>
      <c r="J112" s="6" t="str">
        <f t="shared" si="11"/>
        <v>1</v>
      </c>
    </row>
    <row r="113" spans="4:10" x14ac:dyDescent="0.35">
      <c r="D113" s="6">
        <f>'SUB-1'!D112</f>
        <v>98</v>
      </c>
      <c r="E113" s="6" t="str">
        <f>'SUB-1'!E112</f>
        <v>BTMC24O1098</v>
      </c>
      <c r="F113" s="6">
        <v>22</v>
      </c>
      <c r="G113" s="6">
        <v>19</v>
      </c>
      <c r="H113" s="6">
        <f t="shared" si="9"/>
        <v>41</v>
      </c>
      <c r="I113" s="6" t="str">
        <f t="shared" si="10"/>
        <v>PASS</v>
      </c>
      <c r="J113" s="6" t="str">
        <f t="shared" si="11"/>
        <v>1</v>
      </c>
    </row>
    <row r="114" spans="4:10" x14ac:dyDescent="0.35">
      <c r="D114" s="6">
        <f>'SUB-1'!D113</f>
        <v>99</v>
      </c>
      <c r="E114" s="6" t="str">
        <f>'SUB-1'!E113</f>
        <v>BTMC24O1099</v>
      </c>
      <c r="F114" s="6">
        <v>0</v>
      </c>
      <c r="G114" s="6">
        <v>12</v>
      </c>
      <c r="H114" s="6">
        <f t="shared" si="9"/>
        <v>12</v>
      </c>
      <c r="I114" s="6" t="str">
        <f t="shared" si="10"/>
        <v>FAIL</v>
      </c>
      <c r="J114" s="6" t="str">
        <f t="shared" si="11"/>
        <v>0</v>
      </c>
    </row>
    <row r="115" spans="4:10" x14ac:dyDescent="0.35">
      <c r="D115" s="6">
        <f>'SUB-1'!D114</f>
        <v>100</v>
      </c>
      <c r="E115" s="6" t="str">
        <f>'SUB-1'!E114</f>
        <v>BTMC24O1100</v>
      </c>
      <c r="F115" s="6">
        <v>51</v>
      </c>
      <c r="G115" s="6">
        <v>28</v>
      </c>
      <c r="H115" s="6">
        <f t="shared" si="9"/>
        <v>79</v>
      </c>
      <c r="I115" s="6" t="str">
        <f t="shared" si="10"/>
        <v>PASS</v>
      </c>
      <c r="J115" s="6" t="str">
        <f t="shared" si="11"/>
        <v>1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5:M15"/>
  </mergeCells>
  <conditionalFormatting sqref="I16:I115">
    <cfRule type="containsText" dxfId="2" priority="1" operator="containsText" text="FAIL">
      <formula>NOT(ISERROR(SEARCH("FAIL",I16)))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030D-18B3-4EBB-B87D-357672BA702B}">
  <sheetPr codeName="Sheet12"/>
  <dimension ref="C1:Q115"/>
  <sheetViews>
    <sheetView topLeftCell="A8" zoomScale="60" zoomScaleNormal="60" workbookViewId="0">
      <selection activeCell="L41" sqref="L41"/>
    </sheetView>
  </sheetViews>
  <sheetFormatPr defaultRowHeight="14.5" x14ac:dyDescent="0.35"/>
  <cols>
    <col min="4" max="4" width="6.54296875" customWidth="1"/>
    <col min="5" max="5" width="16.7265625" customWidth="1"/>
    <col min="6" max="6" width="19.26953125" customWidth="1"/>
    <col min="7" max="7" width="28" customWidth="1"/>
    <col min="8" max="8" width="11.453125" customWidth="1"/>
    <col min="9" max="9" width="10.81640625" customWidth="1"/>
    <col min="10" max="10" width="14.453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7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7" x14ac:dyDescent="0.35">
      <c r="C2" s="35"/>
      <c r="D2" s="161" t="s">
        <v>0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7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7" ht="22" x14ac:dyDescent="0.6">
      <c r="C4" s="35"/>
      <c r="D4" s="162" t="s">
        <v>1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7" ht="23" x14ac:dyDescent="0.6">
      <c r="C5" s="35"/>
      <c r="D5" s="164" t="s">
        <v>2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7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7" ht="22" x14ac:dyDescent="0.6">
      <c r="C7" s="35"/>
      <c r="D7" s="35"/>
      <c r="E7" s="35"/>
      <c r="F7" s="35"/>
      <c r="G7" s="164" t="s">
        <v>4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17" ht="21" x14ac:dyDescent="0.5">
      <c r="C8" s="35"/>
      <c r="D8" s="160" t="s">
        <v>5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 ht="21" x14ac:dyDescent="0.5">
      <c r="C9" s="7"/>
      <c r="D9" s="160" t="s">
        <v>6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7" ht="18.5" x14ac:dyDescent="0.45">
      <c r="E11" s="32" t="s">
        <v>68</v>
      </c>
      <c r="F11" s="32" t="s">
        <v>69</v>
      </c>
      <c r="G11" s="32" t="s">
        <v>70</v>
      </c>
      <c r="L11" s="7"/>
      <c r="M11" s="7"/>
      <c r="N11" s="7"/>
    </row>
    <row r="12" spans="3:17" x14ac:dyDescent="0.35">
      <c r="D12" s="29" t="s">
        <v>42</v>
      </c>
      <c r="E12" s="29" t="s">
        <v>43</v>
      </c>
      <c r="F12" s="29" t="s">
        <v>60</v>
      </c>
      <c r="G12" s="29" t="s">
        <v>49</v>
      </c>
      <c r="H12" s="29" t="s">
        <v>50</v>
      </c>
      <c r="I12" s="29" t="s">
        <v>52</v>
      </c>
      <c r="J12" s="29" t="s">
        <v>51</v>
      </c>
      <c r="L12" s="7"/>
      <c r="M12" s="7"/>
      <c r="N12" s="7"/>
    </row>
    <row r="13" spans="3:17" x14ac:dyDescent="0.35">
      <c r="D13" s="6"/>
      <c r="E13" s="6"/>
      <c r="F13" s="29" t="s">
        <v>61</v>
      </c>
      <c r="G13" s="6"/>
      <c r="H13" s="6"/>
      <c r="I13" s="6"/>
      <c r="J13" s="6"/>
      <c r="L13" s="7"/>
      <c r="M13" s="7"/>
      <c r="N13" s="7"/>
    </row>
    <row r="14" spans="3:17" x14ac:dyDescent="0.35">
      <c r="D14" s="6"/>
      <c r="E14" s="6"/>
      <c r="F14" s="33" t="s">
        <v>25</v>
      </c>
      <c r="G14" s="33">
        <v>50</v>
      </c>
      <c r="H14" s="33">
        <v>50</v>
      </c>
      <c r="I14" s="33" t="s">
        <v>53</v>
      </c>
      <c r="J14" s="33">
        <v>1</v>
      </c>
      <c r="L14" s="107" t="s">
        <v>660</v>
      </c>
      <c r="M14" s="107"/>
    </row>
    <row r="15" spans="3:17" x14ac:dyDescent="0.35">
      <c r="D15" s="6"/>
      <c r="E15" s="6"/>
      <c r="F15" s="6"/>
      <c r="G15" s="6"/>
      <c r="H15" s="6"/>
      <c r="I15" s="6"/>
      <c r="J15" s="6"/>
      <c r="L15" s="215" t="s">
        <v>665</v>
      </c>
      <c r="M15" s="212">
        <f>COUNTIF(I16:I115,I16)</f>
        <v>66</v>
      </c>
      <c r="N15" s="215"/>
      <c r="O15" s="215"/>
    </row>
    <row r="16" spans="3:17" x14ac:dyDescent="0.35">
      <c r="D16" s="6">
        <v>1</v>
      </c>
      <c r="E16" s="6" t="s">
        <v>140</v>
      </c>
      <c r="F16" s="6" t="s">
        <v>25</v>
      </c>
      <c r="G16" s="6">
        <v>30</v>
      </c>
      <c r="H16" s="6">
        <f>G16</f>
        <v>30</v>
      </c>
      <c r="I16" s="6" t="str">
        <f>IF(H16&lt;16,"FAIL","PASS")</f>
        <v>PASS</v>
      </c>
      <c r="J16" s="6" t="str">
        <f>IF(H16&lt;16,"0","1")</f>
        <v>1</v>
      </c>
      <c r="L16" s="215" t="s">
        <v>666</v>
      </c>
      <c r="M16" s="212">
        <f>COUNTIF(I16:I115,I17)</f>
        <v>34</v>
      </c>
      <c r="N16" s="212"/>
      <c r="O16" s="212"/>
    </row>
    <row r="17" spans="4:15" x14ac:dyDescent="0.35">
      <c r="D17" s="6">
        <v>2</v>
      </c>
      <c r="E17" s="6" t="s">
        <v>147</v>
      </c>
      <c r="F17" s="6" t="s">
        <v>25</v>
      </c>
      <c r="G17" s="6">
        <v>14</v>
      </c>
      <c r="H17" s="6">
        <f t="shared" ref="H17:H35" si="0">G17</f>
        <v>14</v>
      </c>
      <c r="I17" s="6" t="str">
        <f t="shared" ref="I17:I35" si="1">IF(H17&lt;16,"FAIL","PASS")</f>
        <v>FAIL</v>
      </c>
      <c r="J17" s="6" t="str">
        <f t="shared" ref="J17:J35" si="2">IF(H17&lt;16,"0","1")</f>
        <v>0</v>
      </c>
      <c r="L17" s="212"/>
      <c r="M17" s="212"/>
      <c r="N17" s="212"/>
      <c r="O17" s="212"/>
    </row>
    <row r="18" spans="4:15" x14ac:dyDescent="0.35">
      <c r="D18" s="6">
        <v>3</v>
      </c>
      <c r="E18" s="6" t="s">
        <v>152</v>
      </c>
      <c r="F18" s="6" t="s">
        <v>25</v>
      </c>
      <c r="G18" s="6">
        <v>37</v>
      </c>
      <c r="H18" s="6">
        <f t="shared" si="0"/>
        <v>37</v>
      </c>
      <c r="I18" s="6" t="str">
        <f t="shared" si="1"/>
        <v>PASS</v>
      </c>
      <c r="J18" s="6" t="str">
        <f t="shared" si="2"/>
        <v>1</v>
      </c>
      <c r="M18" s="215"/>
      <c r="N18" s="215"/>
      <c r="O18" s="215"/>
    </row>
    <row r="19" spans="4:15" x14ac:dyDescent="0.35">
      <c r="D19" s="6">
        <v>4</v>
      </c>
      <c r="E19" s="6" t="s">
        <v>157</v>
      </c>
      <c r="F19" s="6" t="s">
        <v>25</v>
      </c>
      <c r="G19" s="6">
        <v>48</v>
      </c>
      <c r="H19" s="6">
        <f t="shared" si="0"/>
        <v>48</v>
      </c>
      <c r="I19" s="6" t="str">
        <f t="shared" si="1"/>
        <v>PASS</v>
      </c>
      <c r="J19" s="6" t="str">
        <f t="shared" si="2"/>
        <v>1</v>
      </c>
      <c r="M19" s="212"/>
      <c r="N19" s="212"/>
      <c r="O19" s="212"/>
    </row>
    <row r="20" spans="4:15" x14ac:dyDescent="0.35">
      <c r="D20" s="6">
        <v>5</v>
      </c>
      <c r="E20" s="6" t="s">
        <v>162</v>
      </c>
      <c r="F20" s="6" t="s">
        <v>25</v>
      </c>
      <c r="G20" s="6">
        <v>3</v>
      </c>
      <c r="H20" s="6">
        <f t="shared" si="0"/>
        <v>3</v>
      </c>
      <c r="I20" s="6" t="str">
        <f t="shared" si="1"/>
        <v>FAIL</v>
      </c>
      <c r="J20" s="6" t="str">
        <f t="shared" si="2"/>
        <v>0</v>
      </c>
      <c r="L20" s="7"/>
      <c r="M20" s="7"/>
      <c r="N20" s="7"/>
    </row>
    <row r="21" spans="4:15" x14ac:dyDescent="0.35">
      <c r="D21" s="6">
        <v>6</v>
      </c>
      <c r="E21" s="6" t="s">
        <v>167</v>
      </c>
      <c r="F21" s="6" t="s">
        <v>25</v>
      </c>
      <c r="G21" s="6">
        <v>49</v>
      </c>
      <c r="H21" s="6">
        <f t="shared" si="0"/>
        <v>49</v>
      </c>
      <c r="I21" s="6" t="str">
        <f t="shared" si="1"/>
        <v>PASS</v>
      </c>
      <c r="J21" s="6" t="str">
        <f t="shared" si="2"/>
        <v>1</v>
      </c>
      <c r="L21" s="7"/>
      <c r="M21" s="7"/>
      <c r="N21" s="7"/>
    </row>
    <row r="22" spans="4:15" x14ac:dyDescent="0.35">
      <c r="D22" s="6">
        <v>7</v>
      </c>
      <c r="E22" s="6" t="s">
        <v>565</v>
      </c>
      <c r="F22" s="6" t="s">
        <v>25</v>
      </c>
      <c r="G22" s="6">
        <v>40</v>
      </c>
      <c r="H22" s="6">
        <f t="shared" si="0"/>
        <v>40</v>
      </c>
      <c r="I22" s="6" t="str">
        <f t="shared" si="1"/>
        <v>PASS</v>
      </c>
      <c r="J22" s="6" t="str">
        <f t="shared" si="2"/>
        <v>1</v>
      </c>
      <c r="L22" s="7"/>
      <c r="M22" s="7"/>
      <c r="N22" s="7"/>
    </row>
    <row r="23" spans="4:15" x14ac:dyDescent="0.35">
      <c r="D23" s="6">
        <v>8</v>
      </c>
      <c r="E23" s="6" t="s">
        <v>566</v>
      </c>
      <c r="F23" s="6" t="s">
        <v>25</v>
      </c>
      <c r="G23" s="6">
        <v>1</v>
      </c>
      <c r="H23" s="6">
        <f t="shared" si="0"/>
        <v>1</v>
      </c>
      <c r="I23" s="6" t="str">
        <f t="shared" si="1"/>
        <v>FAIL</v>
      </c>
      <c r="J23" s="6" t="str">
        <f t="shared" si="2"/>
        <v>0</v>
      </c>
      <c r="L23" s="7"/>
      <c r="M23" s="7"/>
      <c r="N23" s="7"/>
    </row>
    <row r="24" spans="4:15" x14ac:dyDescent="0.35">
      <c r="D24" s="6">
        <v>9</v>
      </c>
      <c r="E24" s="6" t="s">
        <v>176</v>
      </c>
      <c r="F24" s="6" t="s">
        <v>25</v>
      </c>
      <c r="G24" s="6">
        <v>7</v>
      </c>
      <c r="H24" s="6">
        <f t="shared" si="0"/>
        <v>7</v>
      </c>
      <c r="I24" s="6" t="str">
        <f t="shared" si="1"/>
        <v>FAIL</v>
      </c>
      <c r="J24" s="6" t="str">
        <f t="shared" si="2"/>
        <v>0</v>
      </c>
      <c r="L24" s="7"/>
      <c r="M24" s="7"/>
      <c r="N24" s="7"/>
    </row>
    <row r="25" spans="4:15" x14ac:dyDescent="0.35">
      <c r="D25" s="6">
        <v>10</v>
      </c>
      <c r="E25" s="6" t="s">
        <v>181</v>
      </c>
      <c r="F25" s="6" t="s">
        <v>25</v>
      </c>
      <c r="G25" s="6">
        <v>7</v>
      </c>
      <c r="H25" s="6">
        <f t="shared" si="0"/>
        <v>7</v>
      </c>
      <c r="I25" s="6" t="str">
        <f t="shared" si="1"/>
        <v>FAIL</v>
      </c>
      <c r="J25" s="6" t="str">
        <f t="shared" si="2"/>
        <v>0</v>
      </c>
      <c r="L25" s="7"/>
      <c r="M25" s="7"/>
      <c r="N25" s="7"/>
    </row>
    <row r="26" spans="4:15" x14ac:dyDescent="0.35">
      <c r="D26" s="6">
        <v>11</v>
      </c>
      <c r="E26" s="6" t="s">
        <v>186</v>
      </c>
      <c r="F26" s="6" t="s">
        <v>25</v>
      </c>
      <c r="G26" s="6">
        <v>46</v>
      </c>
      <c r="H26" s="6">
        <f t="shared" si="0"/>
        <v>46</v>
      </c>
      <c r="I26" s="6" t="str">
        <f t="shared" si="1"/>
        <v>PASS</v>
      </c>
      <c r="J26" s="6" t="str">
        <f t="shared" si="2"/>
        <v>1</v>
      </c>
      <c r="L26" s="7"/>
      <c r="M26" s="7"/>
      <c r="N26" s="7"/>
    </row>
    <row r="27" spans="4:15" x14ac:dyDescent="0.35">
      <c r="D27" s="6">
        <v>12</v>
      </c>
      <c r="E27" s="6" t="s">
        <v>191</v>
      </c>
      <c r="F27" s="6" t="s">
        <v>25</v>
      </c>
      <c r="G27" s="6">
        <v>19</v>
      </c>
      <c r="H27" s="6">
        <f t="shared" si="0"/>
        <v>19</v>
      </c>
      <c r="I27" s="6" t="str">
        <f t="shared" si="1"/>
        <v>PASS</v>
      </c>
      <c r="J27" s="6" t="str">
        <f t="shared" si="2"/>
        <v>1</v>
      </c>
      <c r="L27" s="7"/>
      <c r="M27" s="7"/>
      <c r="N27" s="7"/>
    </row>
    <row r="28" spans="4:15" x14ac:dyDescent="0.35">
      <c r="D28" s="6">
        <v>13</v>
      </c>
      <c r="E28" s="6" t="s">
        <v>196</v>
      </c>
      <c r="F28" s="6" t="s">
        <v>25</v>
      </c>
      <c r="G28" s="6">
        <v>6</v>
      </c>
      <c r="H28" s="6">
        <f t="shared" si="0"/>
        <v>6</v>
      </c>
      <c r="I28" s="6" t="str">
        <f t="shared" si="1"/>
        <v>FAIL</v>
      </c>
      <c r="J28" s="6" t="str">
        <f t="shared" si="2"/>
        <v>0</v>
      </c>
      <c r="L28" s="7"/>
      <c r="M28" s="7"/>
      <c r="N28" s="7"/>
    </row>
    <row r="29" spans="4:15" x14ac:dyDescent="0.35">
      <c r="D29" s="6">
        <v>14</v>
      </c>
      <c r="E29" s="6" t="s">
        <v>567</v>
      </c>
      <c r="F29" s="6" t="s">
        <v>25</v>
      </c>
      <c r="G29" s="6">
        <v>10</v>
      </c>
      <c r="H29" s="6">
        <f t="shared" si="0"/>
        <v>10</v>
      </c>
      <c r="I29" s="6" t="str">
        <f t="shared" si="1"/>
        <v>FAIL</v>
      </c>
      <c r="J29" s="6" t="str">
        <f t="shared" si="2"/>
        <v>0</v>
      </c>
      <c r="L29" s="7"/>
      <c r="M29" s="7"/>
      <c r="N29" s="7"/>
    </row>
    <row r="30" spans="4:15" x14ac:dyDescent="0.35">
      <c r="D30" s="6">
        <v>15</v>
      </c>
      <c r="E30" s="6" t="s">
        <v>568</v>
      </c>
      <c r="F30" s="6" t="s">
        <v>25</v>
      </c>
      <c r="G30" s="6">
        <v>47</v>
      </c>
      <c r="H30" s="6">
        <f t="shared" si="0"/>
        <v>47</v>
      </c>
      <c r="I30" s="6" t="str">
        <f t="shared" si="1"/>
        <v>PASS</v>
      </c>
      <c r="J30" s="6" t="str">
        <f t="shared" si="2"/>
        <v>1</v>
      </c>
      <c r="L30" s="7"/>
      <c r="M30" s="7"/>
      <c r="N30" s="7"/>
    </row>
    <row r="31" spans="4:15" x14ac:dyDescent="0.35">
      <c r="D31" s="6">
        <v>16</v>
      </c>
      <c r="E31" s="6" t="s">
        <v>204</v>
      </c>
      <c r="F31" s="6" t="s">
        <v>25</v>
      </c>
      <c r="G31" s="6">
        <v>38</v>
      </c>
      <c r="H31" s="6">
        <f t="shared" si="0"/>
        <v>38</v>
      </c>
      <c r="I31" s="6" t="str">
        <f t="shared" si="1"/>
        <v>PASS</v>
      </c>
      <c r="J31" s="6" t="str">
        <f t="shared" si="2"/>
        <v>1</v>
      </c>
      <c r="L31" s="7"/>
      <c r="N31" s="7"/>
    </row>
    <row r="32" spans="4:15" x14ac:dyDescent="0.35">
      <c r="D32" s="6">
        <v>17</v>
      </c>
      <c r="E32" s="6" t="s">
        <v>209</v>
      </c>
      <c r="F32" s="6" t="s">
        <v>25</v>
      </c>
      <c r="G32" s="6">
        <v>14</v>
      </c>
      <c r="H32" s="6">
        <f t="shared" si="0"/>
        <v>14</v>
      </c>
      <c r="I32" s="6" t="str">
        <f t="shared" si="1"/>
        <v>FAIL</v>
      </c>
      <c r="J32" s="6" t="str">
        <f t="shared" si="2"/>
        <v>0</v>
      </c>
      <c r="L32" s="7"/>
      <c r="M32" s="7"/>
      <c r="N32" s="7"/>
    </row>
    <row r="33" spans="4:14" x14ac:dyDescent="0.35">
      <c r="D33" s="6">
        <v>18</v>
      </c>
      <c r="E33" s="6" t="s">
        <v>214</v>
      </c>
      <c r="F33" s="6" t="s">
        <v>25</v>
      </c>
      <c r="G33" s="6">
        <v>30</v>
      </c>
      <c r="H33" s="6">
        <f t="shared" si="0"/>
        <v>30</v>
      </c>
      <c r="I33" s="6" t="str">
        <f t="shared" si="1"/>
        <v>PASS</v>
      </c>
      <c r="J33" s="6" t="str">
        <f t="shared" si="2"/>
        <v>1</v>
      </c>
      <c r="L33" s="7"/>
      <c r="M33" s="7"/>
      <c r="N33" s="7"/>
    </row>
    <row r="34" spans="4:14" x14ac:dyDescent="0.35">
      <c r="D34" s="6">
        <v>19</v>
      </c>
      <c r="E34" s="6" t="s">
        <v>219</v>
      </c>
      <c r="F34" s="6" t="s">
        <v>25</v>
      </c>
      <c r="G34" s="6">
        <v>37</v>
      </c>
      <c r="H34" s="6">
        <f t="shared" si="0"/>
        <v>37</v>
      </c>
      <c r="I34" s="6" t="str">
        <f t="shared" si="1"/>
        <v>PASS</v>
      </c>
      <c r="J34" s="6" t="str">
        <f t="shared" si="2"/>
        <v>1</v>
      </c>
      <c r="L34" s="7"/>
      <c r="M34" s="7"/>
      <c r="N34" s="7"/>
    </row>
    <row r="35" spans="4:14" x14ac:dyDescent="0.35">
      <c r="D35" s="6">
        <v>20</v>
      </c>
      <c r="E35" s="6" t="s">
        <v>224</v>
      </c>
      <c r="F35" s="6" t="s">
        <v>25</v>
      </c>
      <c r="G35" s="6">
        <v>36</v>
      </c>
      <c r="H35" s="6">
        <f t="shared" si="0"/>
        <v>36</v>
      </c>
      <c r="I35" s="6" t="str">
        <f t="shared" si="1"/>
        <v>PASS</v>
      </c>
      <c r="J35" s="6" t="str">
        <f t="shared" si="2"/>
        <v>1</v>
      </c>
      <c r="L35" s="7"/>
      <c r="M35" s="7"/>
      <c r="N35" s="7"/>
    </row>
    <row r="36" spans="4:14" x14ac:dyDescent="0.35">
      <c r="D36" s="6">
        <f>'SUB-4'!D35</f>
        <v>21</v>
      </c>
      <c r="E36" s="6" t="str">
        <f>'SUB-4'!E35</f>
        <v>BTMC24O1021</v>
      </c>
      <c r="F36" s="6" t="s">
        <v>25</v>
      </c>
      <c r="G36" s="6">
        <v>46</v>
      </c>
      <c r="H36" s="6">
        <f t="shared" ref="H36" si="3">G36</f>
        <v>46</v>
      </c>
      <c r="I36" s="6" t="str">
        <f t="shared" ref="I36" si="4">IF(H36&lt;16,"FAIL","PASS")</f>
        <v>PASS</v>
      </c>
      <c r="J36" s="6" t="str">
        <f t="shared" ref="J36" si="5">IF(H36&lt;16,"0","1")</f>
        <v>1</v>
      </c>
    </row>
    <row r="37" spans="4:14" x14ac:dyDescent="0.35">
      <c r="D37" s="6">
        <f>'SUB-4'!D36</f>
        <v>22</v>
      </c>
      <c r="E37" s="6" t="str">
        <f>'SUB-4'!E36</f>
        <v>BTMC24O1022</v>
      </c>
      <c r="F37" s="6" t="s">
        <v>25</v>
      </c>
      <c r="G37" s="6">
        <v>19</v>
      </c>
      <c r="H37" s="6">
        <f t="shared" ref="H37:H100" si="6">G37</f>
        <v>19</v>
      </c>
      <c r="I37" s="6" t="str">
        <f t="shared" ref="I37:I100" si="7">IF(H37&lt;16,"FAIL","PASS")</f>
        <v>PASS</v>
      </c>
      <c r="J37" s="6" t="str">
        <f t="shared" ref="J37:J100" si="8">IF(H37&lt;16,"0","1")</f>
        <v>1</v>
      </c>
    </row>
    <row r="38" spans="4:14" x14ac:dyDescent="0.35">
      <c r="D38" s="6">
        <f>'SUB-4'!D37</f>
        <v>23</v>
      </c>
      <c r="E38" s="6" t="str">
        <f>'SUB-4'!E37</f>
        <v>BTMC24O1023</v>
      </c>
      <c r="F38" s="6" t="s">
        <v>25</v>
      </c>
      <c r="G38" s="6">
        <v>13</v>
      </c>
      <c r="H38" s="6">
        <f t="shared" si="6"/>
        <v>13</v>
      </c>
      <c r="I38" s="6" t="str">
        <f t="shared" si="7"/>
        <v>FAIL</v>
      </c>
      <c r="J38" s="6" t="str">
        <f t="shared" si="8"/>
        <v>0</v>
      </c>
    </row>
    <row r="39" spans="4:14" x14ac:dyDescent="0.35">
      <c r="D39" s="6">
        <f>'SUB-4'!D38</f>
        <v>24</v>
      </c>
      <c r="E39" s="6" t="str">
        <f>'SUB-4'!E38</f>
        <v>BTMC24O1024</v>
      </c>
      <c r="F39" s="6" t="s">
        <v>25</v>
      </c>
      <c r="G39" s="6">
        <v>9</v>
      </c>
      <c r="H39" s="6">
        <f t="shared" si="6"/>
        <v>9</v>
      </c>
      <c r="I39" s="6" t="str">
        <f t="shared" si="7"/>
        <v>FAIL</v>
      </c>
      <c r="J39" s="6" t="str">
        <f t="shared" si="8"/>
        <v>0</v>
      </c>
    </row>
    <row r="40" spans="4:14" x14ac:dyDescent="0.35">
      <c r="D40" s="6">
        <f>'SUB-4'!D39</f>
        <v>25</v>
      </c>
      <c r="E40" s="6" t="str">
        <f>'SUB-4'!E39</f>
        <v>BTMC24O1025</v>
      </c>
      <c r="F40" s="6" t="s">
        <v>25</v>
      </c>
      <c r="G40" s="6">
        <v>37</v>
      </c>
      <c r="H40" s="6">
        <f t="shared" si="6"/>
        <v>37</v>
      </c>
      <c r="I40" s="6" t="str">
        <f t="shared" si="7"/>
        <v>PASS</v>
      </c>
      <c r="J40" s="6" t="str">
        <f t="shared" si="8"/>
        <v>1</v>
      </c>
    </row>
    <row r="41" spans="4:14" x14ac:dyDescent="0.35">
      <c r="D41" s="6">
        <f>'SUB-4'!D40</f>
        <v>26</v>
      </c>
      <c r="E41" s="6" t="str">
        <f>'SUB-4'!E40</f>
        <v>BTMC24O1026</v>
      </c>
      <c r="F41" s="6" t="s">
        <v>25</v>
      </c>
      <c r="G41" s="6">
        <v>40</v>
      </c>
      <c r="H41" s="6">
        <f t="shared" si="6"/>
        <v>40</v>
      </c>
      <c r="I41" s="6" t="str">
        <f t="shared" si="7"/>
        <v>PASS</v>
      </c>
      <c r="J41" s="6" t="str">
        <f t="shared" si="8"/>
        <v>1</v>
      </c>
    </row>
    <row r="42" spans="4:14" x14ac:dyDescent="0.35">
      <c r="D42" s="6">
        <f>'SUB-4'!D41</f>
        <v>27</v>
      </c>
      <c r="E42" s="6" t="str">
        <f>'SUB-4'!E41</f>
        <v>BTMC24O1027</v>
      </c>
      <c r="F42" s="6" t="s">
        <v>25</v>
      </c>
      <c r="G42" s="6">
        <v>39</v>
      </c>
      <c r="H42" s="6">
        <f t="shared" si="6"/>
        <v>39</v>
      </c>
      <c r="I42" s="6" t="str">
        <f t="shared" si="7"/>
        <v>PASS</v>
      </c>
      <c r="J42" s="6" t="str">
        <f t="shared" si="8"/>
        <v>1</v>
      </c>
    </row>
    <row r="43" spans="4:14" x14ac:dyDescent="0.35">
      <c r="D43" s="6">
        <f>'SUB-4'!D42</f>
        <v>28</v>
      </c>
      <c r="E43" s="6" t="str">
        <f>'SUB-4'!E42</f>
        <v>BTMC24O1028</v>
      </c>
      <c r="F43" s="6" t="s">
        <v>25</v>
      </c>
      <c r="G43" s="6">
        <v>19</v>
      </c>
      <c r="H43" s="6">
        <f t="shared" si="6"/>
        <v>19</v>
      </c>
      <c r="I43" s="6" t="str">
        <f t="shared" si="7"/>
        <v>PASS</v>
      </c>
      <c r="J43" s="6" t="str">
        <f t="shared" si="8"/>
        <v>1</v>
      </c>
    </row>
    <row r="44" spans="4:14" x14ac:dyDescent="0.35">
      <c r="D44" s="6">
        <f>'SUB-4'!D43</f>
        <v>29</v>
      </c>
      <c r="E44" s="6" t="str">
        <f>'SUB-4'!E43</f>
        <v>BTMC24O1029</v>
      </c>
      <c r="F44" s="6" t="s">
        <v>25</v>
      </c>
      <c r="G44" s="6">
        <v>4</v>
      </c>
      <c r="H44" s="6">
        <f t="shared" si="6"/>
        <v>4</v>
      </c>
      <c r="I44" s="6" t="str">
        <f t="shared" si="7"/>
        <v>FAIL</v>
      </c>
      <c r="J44" s="6" t="str">
        <f t="shared" si="8"/>
        <v>0</v>
      </c>
    </row>
    <row r="45" spans="4:14" x14ac:dyDescent="0.35">
      <c r="D45" s="6">
        <f>'SUB-4'!D44</f>
        <v>30</v>
      </c>
      <c r="E45" s="6" t="str">
        <f>'SUB-4'!E44</f>
        <v>BTMC24O1030</v>
      </c>
      <c r="F45" s="6" t="s">
        <v>25</v>
      </c>
      <c r="G45" s="6">
        <v>6</v>
      </c>
      <c r="H45" s="6">
        <f t="shared" si="6"/>
        <v>6</v>
      </c>
      <c r="I45" s="6" t="str">
        <f t="shared" si="7"/>
        <v>FAIL</v>
      </c>
      <c r="J45" s="6" t="str">
        <f t="shared" si="8"/>
        <v>0</v>
      </c>
    </row>
    <row r="46" spans="4:14" x14ac:dyDescent="0.35">
      <c r="D46" s="6">
        <f>'SUB-4'!D45</f>
        <v>31</v>
      </c>
      <c r="E46" s="6" t="str">
        <f>'SUB-4'!E45</f>
        <v>BTMC24O1031</v>
      </c>
      <c r="F46" s="6" t="s">
        <v>25</v>
      </c>
      <c r="G46" s="6">
        <v>33</v>
      </c>
      <c r="H46" s="6">
        <f t="shared" si="6"/>
        <v>33</v>
      </c>
      <c r="I46" s="6" t="str">
        <f t="shared" si="7"/>
        <v>PASS</v>
      </c>
      <c r="J46" s="6" t="str">
        <f t="shared" si="8"/>
        <v>1</v>
      </c>
    </row>
    <row r="47" spans="4:14" x14ac:dyDescent="0.35">
      <c r="D47" s="6">
        <f>'SUB-4'!D46</f>
        <v>32</v>
      </c>
      <c r="E47" s="6" t="str">
        <f>'SUB-4'!E46</f>
        <v>BTMC24O1032</v>
      </c>
      <c r="F47" s="6" t="s">
        <v>25</v>
      </c>
      <c r="G47" s="6">
        <v>34</v>
      </c>
      <c r="H47" s="6">
        <f t="shared" si="6"/>
        <v>34</v>
      </c>
      <c r="I47" s="6" t="str">
        <f t="shared" si="7"/>
        <v>PASS</v>
      </c>
      <c r="J47" s="6" t="str">
        <f t="shared" si="8"/>
        <v>1</v>
      </c>
    </row>
    <row r="48" spans="4:14" x14ac:dyDescent="0.35">
      <c r="D48" s="6">
        <f>'SUB-4'!D47</f>
        <v>33</v>
      </c>
      <c r="E48" s="6" t="str">
        <f>'SUB-4'!E47</f>
        <v>BTMC24O1033</v>
      </c>
      <c r="F48" s="6" t="s">
        <v>25</v>
      </c>
      <c r="G48" s="6">
        <v>49</v>
      </c>
      <c r="H48" s="6">
        <f t="shared" si="6"/>
        <v>49</v>
      </c>
      <c r="I48" s="6" t="str">
        <f t="shared" si="7"/>
        <v>PASS</v>
      </c>
      <c r="J48" s="6" t="str">
        <f t="shared" si="8"/>
        <v>1</v>
      </c>
    </row>
    <row r="49" spans="4:10" x14ac:dyDescent="0.35">
      <c r="D49" s="6">
        <f>'SUB-4'!D48</f>
        <v>34</v>
      </c>
      <c r="E49" s="6" t="str">
        <f>'SUB-4'!E48</f>
        <v>BTMC24O1034</v>
      </c>
      <c r="F49" s="6" t="s">
        <v>25</v>
      </c>
      <c r="G49" s="6">
        <v>39</v>
      </c>
      <c r="H49" s="6">
        <f t="shared" si="6"/>
        <v>39</v>
      </c>
      <c r="I49" s="6" t="str">
        <f t="shared" si="7"/>
        <v>PASS</v>
      </c>
      <c r="J49" s="6" t="str">
        <f t="shared" si="8"/>
        <v>1</v>
      </c>
    </row>
    <row r="50" spans="4:10" x14ac:dyDescent="0.35">
      <c r="D50" s="6">
        <f>'SUB-4'!D49</f>
        <v>35</v>
      </c>
      <c r="E50" s="6" t="str">
        <f>'SUB-4'!E49</f>
        <v>BTMC24O1035</v>
      </c>
      <c r="F50" s="6" t="s">
        <v>25</v>
      </c>
      <c r="G50" s="6">
        <v>7</v>
      </c>
      <c r="H50" s="6">
        <f t="shared" si="6"/>
        <v>7</v>
      </c>
      <c r="I50" s="6" t="str">
        <f t="shared" si="7"/>
        <v>FAIL</v>
      </c>
      <c r="J50" s="6" t="str">
        <f t="shared" si="8"/>
        <v>0</v>
      </c>
    </row>
    <row r="51" spans="4:10" x14ac:dyDescent="0.35">
      <c r="D51" s="6">
        <f>'SUB-4'!D50</f>
        <v>36</v>
      </c>
      <c r="E51" s="6" t="str">
        <f>'SUB-4'!E50</f>
        <v>BTMC24O1036</v>
      </c>
      <c r="F51" s="6" t="s">
        <v>25</v>
      </c>
      <c r="G51" s="6">
        <v>0</v>
      </c>
      <c r="H51" s="6">
        <f t="shared" si="6"/>
        <v>0</v>
      </c>
      <c r="I51" s="6" t="str">
        <f t="shared" si="7"/>
        <v>FAIL</v>
      </c>
      <c r="J51" s="6" t="str">
        <f t="shared" si="8"/>
        <v>0</v>
      </c>
    </row>
    <row r="52" spans="4:10" x14ac:dyDescent="0.35">
      <c r="D52" s="6">
        <f>'SUB-4'!D51</f>
        <v>37</v>
      </c>
      <c r="E52" s="6" t="str">
        <f>'SUB-4'!E51</f>
        <v>BTMC24O1037</v>
      </c>
      <c r="F52" s="6" t="s">
        <v>25</v>
      </c>
      <c r="G52" s="6">
        <v>49</v>
      </c>
      <c r="H52" s="6">
        <f t="shared" si="6"/>
        <v>49</v>
      </c>
      <c r="I52" s="6" t="str">
        <f t="shared" si="7"/>
        <v>PASS</v>
      </c>
      <c r="J52" s="6" t="str">
        <f t="shared" si="8"/>
        <v>1</v>
      </c>
    </row>
    <row r="53" spans="4:10" x14ac:dyDescent="0.35">
      <c r="D53" s="6">
        <f>'SUB-4'!D52</f>
        <v>38</v>
      </c>
      <c r="E53" s="6" t="str">
        <f>'SUB-4'!E52</f>
        <v>BTMC24O1038</v>
      </c>
      <c r="F53" s="6" t="s">
        <v>25</v>
      </c>
      <c r="G53" s="6">
        <v>20</v>
      </c>
      <c r="H53" s="6">
        <f t="shared" si="6"/>
        <v>20</v>
      </c>
      <c r="I53" s="6" t="str">
        <f t="shared" si="7"/>
        <v>PASS</v>
      </c>
      <c r="J53" s="6" t="str">
        <f t="shared" si="8"/>
        <v>1</v>
      </c>
    </row>
    <row r="54" spans="4:10" x14ac:dyDescent="0.35">
      <c r="D54" s="6">
        <f>'SUB-4'!D53</f>
        <v>39</v>
      </c>
      <c r="E54" s="6" t="str">
        <f>'SUB-4'!E53</f>
        <v>BTMC24O1039</v>
      </c>
      <c r="F54" s="6" t="s">
        <v>25</v>
      </c>
      <c r="G54" s="6">
        <v>41</v>
      </c>
      <c r="H54" s="6">
        <f t="shared" si="6"/>
        <v>41</v>
      </c>
      <c r="I54" s="6" t="str">
        <f t="shared" si="7"/>
        <v>PASS</v>
      </c>
      <c r="J54" s="6" t="str">
        <f t="shared" si="8"/>
        <v>1</v>
      </c>
    </row>
    <row r="55" spans="4:10" x14ac:dyDescent="0.35">
      <c r="D55" s="6">
        <f>'SUB-4'!D54</f>
        <v>40</v>
      </c>
      <c r="E55" s="6" t="str">
        <f>'SUB-4'!E54</f>
        <v>BTMC24O1040</v>
      </c>
      <c r="F55" s="6" t="s">
        <v>25</v>
      </c>
      <c r="G55" s="6">
        <v>39</v>
      </c>
      <c r="H55" s="6">
        <f t="shared" si="6"/>
        <v>39</v>
      </c>
      <c r="I55" s="6" t="str">
        <f t="shared" si="7"/>
        <v>PASS</v>
      </c>
      <c r="J55" s="6" t="str">
        <f t="shared" si="8"/>
        <v>1</v>
      </c>
    </row>
    <row r="56" spans="4:10" x14ac:dyDescent="0.35">
      <c r="D56" s="6">
        <f>'SUB-4'!D55</f>
        <v>41</v>
      </c>
      <c r="E56" s="6" t="str">
        <f>'SUB-4'!E55</f>
        <v>BTMC24O1041</v>
      </c>
      <c r="F56" s="6" t="s">
        <v>25</v>
      </c>
      <c r="G56" s="6">
        <v>2</v>
      </c>
      <c r="H56" s="6">
        <f t="shared" si="6"/>
        <v>2</v>
      </c>
      <c r="I56" s="6" t="str">
        <f t="shared" si="7"/>
        <v>FAIL</v>
      </c>
      <c r="J56" s="6" t="str">
        <f t="shared" si="8"/>
        <v>0</v>
      </c>
    </row>
    <row r="57" spans="4:10" x14ac:dyDescent="0.35">
      <c r="D57" s="6">
        <f>'SUB-4'!D56</f>
        <v>42</v>
      </c>
      <c r="E57" s="6" t="str">
        <f>'SUB-4'!E56</f>
        <v>BTMC24O1042</v>
      </c>
      <c r="F57" s="6" t="s">
        <v>25</v>
      </c>
      <c r="G57" s="6">
        <v>27</v>
      </c>
      <c r="H57" s="6">
        <f t="shared" si="6"/>
        <v>27</v>
      </c>
      <c r="I57" s="6" t="str">
        <f t="shared" si="7"/>
        <v>PASS</v>
      </c>
      <c r="J57" s="6" t="str">
        <f t="shared" si="8"/>
        <v>1</v>
      </c>
    </row>
    <row r="58" spans="4:10" x14ac:dyDescent="0.35">
      <c r="D58" s="6">
        <f>'SUB-4'!D57</f>
        <v>43</v>
      </c>
      <c r="E58" s="6" t="str">
        <f>'SUB-4'!E57</f>
        <v>BTMC24O1043</v>
      </c>
      <c r="F58" s="6" t="s">
        <v>25</v>
      </c>
      <c r="G58" s="6">
        <v>14</v>
      </c>
      <c r="H58" s="6">
        <f t="shared" si="6"/>
        <v>14</v>
      </c>
      <c r="I58" s="6" t="str">
        <f t="shared" si="7"/>
        <v>FAIL</v>
      </c>
      <c r="J58" s="6" t="str">
        <f t="shared" si="8"/>
        <v>0</v>
      </c>
    </row>
    <row r="59" spans="4:10" x14ac:dyDescent="0.35">
      <c r="D59" s="6">
        <f>'SUB-4'!D58</f>
        <v>44</v>
      </c>
      <c r="E59" s="6" t="str">
        <f>'SUB-4'!E58</f>
        <v>BTMC24O1044</v>
      </c>
      <c r="F59" s="6" t="s">
        <v>25</v>
      </c>
      <c r="G59" s="6">
        <v>4</v>
      </c>
      <c r="H59" s="6">
        <f t="shared" si="6"/>
        <v>4</v>
      </c>
      <c r="I59" s="6" t="str">
        <f t="shared" si="7"/>
        <v>FAIL</v>
      </c>
      <c r="J59" s="6" t="str">
        <f t="shared" si="8"/>
        <v>0</v>
      </c>
    </row>
    <row r="60" spans="4:10" x14ac:dyDescent="0.35">
      <c r="D60" s="6">
        <f>'SUB-4'!D59</f>
        <v>45</v>
      </c>
      <c r="E60" s="6" t="str">
        <f>'SUB-4'!E59</f>
        <v>BTMC24O1045</v>
      </c>
      <c r="F60" s="6" t="s">
        <v>25</v>
      </c>
      <c r="G60" s="6">
        <v>7</v>
      </c>
      <c r="H60" s="6">
        <f t="shared" si="6"/>
        <v>7</v>
      </c>
      <c r="I60" s="6" t="str">
        <f t="shared" si="7"/>
        <v>FAIL</v>
      </c>
      <c r="J60" s="6" t="str">
        <f t="shared" si="8"/>
        <v>0</v>
      </c>
    </row>
    <row r="61" spans="4:10" x14ac:dyDescent="0.35">
      <c r="D61" s="6">
        <f>'SUB-4'!D60</f>
        <v>46</v>
      </c>
      <c r="E61" s="6" t="str">
        <f>'SUB-4'!E60</f>
        <v>BTMC24O1046</v>
      </c>
      <c r="F61" s="6" t="s">
        <v>25</v>
      </c>
      <c r="G61" s="6">
        <v>37</v>
      </c>
      <c r="H61" s="6">
        <f t="shared" si="6"/>
        <v>37</v>
      </c>
      <c r="I61" s="6" t="str">
        <f t="shared" si="7"/>
        <v>PASS</v>
      </c>
      <c r="J61" s="6" t="str">
        <f t="shared" si="8"/>
        <v>1</v>
      </c>
    </row>
    <row r="62" spans="4:10" x14ac:dyDescent="0.35">
      <c r="D62" s="6">
        <f>'SUB-4'!D61</f>
        <v>47</v>
      </c>
      <c r="E62" s="6" t="str">
        <f>'SUB-4'!E61</f>
        <v>BTMC24O1047</v>
      </c>
      <c r="F62" s="6" t="s">
        <v>25</v>
      </c>
      <c r="G62" s="6">
        <v>18</v>
      </c>
      <c r="H62" s="6">
        <f t="shared" si="6"/>
        <v>18</v>
      </c>
      <c r="I62" s="6" t="str">
        <f t="shared" si="7"/>
        <v>PASS</v>
      </c>
      <c r="J62" s="6" t="str">
        <f t="shared" si="8"/>
        <v>1</v>
      </c>
    </row>
    <row r="63" spans="4:10" x14ac:dyDescent="0.35">
      <c r="D63" s="6">
        <f>'SUB-4'!D62</f>
        <v>48</v>
      </c>
      <c r="E63" s="6" t="str">
        <f>'SUB-4'!E62</f>
        <v>BTMC24O1048</v>
      </c>
      <c r="F63" s="6" t="s">
        <v>25</v>
      </c>
      <c r="G63" s="6">
        <v>48</v>
      </c>
      <c r="H63" s="6">
        <f t="shared" si="6"/>
        <v>48</v>
      </c>
      <c r="I63" s="6" t="str">
        <f t="shared" si="7"/>
        <v>PASS</v>
      </c>
      <c r="J63" s="6" t="str">
        <f t="shared" si="8"/>
        <v>1</v>
      </c>
    </row>
    <row r="64" spans="4:10" x14ac:dyDescent="0.35">
      <c r="D64" s="6">
        <f>'SUB-4'!D63</f>
        <v>49</v>
      </c>
      <c r="E64" s="6" t="str">
        <f>'SUB-4'!E63</f>
        <v>BTMC24O1049</v>
      </c>
      <c r="F64" s="6" t="s">
        <v>25</v>
      </c>
      <c r="G64" s="6">
        <v>28</v>
      </c>
      <c r="H64" s="6">
        <f t="shared" si="6"/>
        <v>28</v>
      </c>
      <c r="I64" s="6" t="str">
        <f t="shared" si="7"/>
        <v>PASS</v>
      </c>
      <c r="J64" s="6" t="str">
        <f t="shared" si="8"/>
        <v>1</v>
      </c>
    </row>
    <row r="65" spans="4:10" x14ac:dyDescent="0.35">
      <c r="D65" s="6">
        <f>'SUB-4'!D64</f>
        <v>50</v>
      </c>
      <c r="E65" s="6" t="str">
        <f>'SUB-4'!E64</f>
        <v>BTMC24O1050</v>
      </c>
      <c r="F65" s="6" t="s">
        <v>25</v>
      </c>
      <c r="G65" s="6">
        <v>26</v>
      </c>
      <c r="H65" s="6">
        <f t="shared" si="6"/>
        <v>26</v>
      </c>
      <c r="I65" s="6" t="str">
        <f t="shared" si="7"/>
        <v>PASS</v>
      </c>
      <c r="J65" s="6" t="str">
        <f t="shared" si="8"/>
        <v>1</v>
      </c>
    </row>
    <row r="66" spans="4:10" x14ac:dyDescent="0.35">
      <c r="D66" s="6">
        <f>'SUB-4'!D65</f>
        <v>51</v>
      </c>
      <c r="E66" s="6" t="str">
        <f>'SUB-4'!E65</f>
        <v>BTMC24O1051</v>
      </c>
      <c r="F66" s="6" t="s">
        <v>25</v>
      </c>
      <c r="G66" s="6">
        <v>20</v>
      </c>
      <c r="H66" s="6">
        <f t="shared" si="6"/>
        <v>20</v>
      </c>
      <c r="I66" s="6" t="str">
        <f t="shared" si="7"/>
        <v>PASS</v>
      </c>
      <c r="J66" s="6" t="str">
        <f t="shared" si="8"/>
        <v>1</v>
      </c>
    </row>
    <row r="67" spans="4:10" x14ac:dyDescent="0.35">
      <c r="D67" s="6">
        <f>'SUB-4'!D66</f>
        <v>52</v>
      </c>
      <c r="E67" s="6" t="str">
        <f>'SUB-4'!E66</f>
        <v>BTMC24O1052</v>
      </c>
      <c r="F67" s="6" t="s">
        <v>25</v>
      </c>
      <c r="G67" s="6">
        <v>30</v>
      </c>
      <c r="H67" s="6">
        <f t="shared" si="6"/>
        <v>30</v>
      </c>
      <c r="I67" s="6" t="str">
        <f t="shared" si="7"/>
        <v>PASS</v>
      </c>
      <c r="J67" s="6" t="str">
        <f t="shared" si="8"/>
        <v>1</v>
      </c>
    </row>
    <row r="68" spans="4:10" x14ac:dyDescent="0.35">
      <c r="D68" s="6">
        <f>'SUB-4'!D67</f>
        <v>53</v>
      </c>
      <c r="E68" s="6" t="str">
        <f>'SUB-4'!E67</f>
        <v>BTMC24O1053</v>
      </c>
      <c r="F68" s="6" t="s">
        <v>25</v>
      </c>
      <c r="G68" s="6">
        <v>19</v>
      </c>
      <c r="H68" s="6">
        <f t="shared" si="6"/>
        <v>19</v>
      </c>
      <c r="I68" s="6" t="str">
        <f t="shared" si="7"/>
        <v>PASS</v>
      </c>
      <c r="J68" s="6" t="str">
        <f t="shared" si="8"/>
        <v>1</v>
      </c>
    </row>
    <row r="69" spans="4:10" x14ac:dyDescent="0.35">
      <c r="D69" s="6">
        <f>'SUB-4'!D68</f>
        <v>54</v>
      </c>
      <c r="E69" s="6" t="str">
        <f>'SUB-4'!E68</f>
        <v>BTMC24O1054</v>
      </c>
      <c r="F69" s="6" t="s">
        <v>25</v>
      </c>
      <c r="G69" s="6">
        <v>33</v>
      </c>
      <c r="H69" s="6">
        <f t="shared" si="6"/>
        <v>33</v>
      </c>
      <c r="I69" s="6" t="str">
        <f t="shared" si="7"/>
        <v>PASS</v>
      </c>
      <c r="J69" s="6" t="str">
        <f t="shared" si="8"/>
        <v>1</v>
      </c>
    </row>
    <row r="70" spans="4:10" x14ac:dyDescent="0.35">
      <c r="D70" s="6">
        <f>'SUB-4'!D69</f>
        <v>55</v>
      </c>
      <c r="E70" s="6" t="str">
        <f>'SUB-4'!E69</f>
        <v>BTMC24O1055</v>
      </c>
      <c r="F70" s="6" t="s">
        <v>25</v>
      </c>
      <c r="G70" s="6">
        <v>2</v>
      </c>
      <c r="H70" s="6">
        <f t="shared" si="6"/>
        <v>2</v>
      </c>
      <c r="I70" s="6" t="str">
        <f t="shared" si="7"/>
        <v>FAIL</v>
      </c>
      <c r="J70" s="6" t="str">
        <f t="shared" si="8"/>
        <v>0</v>
      </c>
    </row>
    <row r="71" spans="4:10" x14ac:dyDescent="0.35">
      <c r="D71" s="6">
        <f>'SUB-4'!D70</f>
        <v>56</v>
      </c>
      <c r="E71" s="6" t="str">
        <f>'SUB-4'!E70</f>
        <v>BTMC24O1056</v>
      </c>
      <c r="F71" s="6" t="s">
        <v>25</v>
      </c>
      <c r="G71" s="6">
        <v>47</v>
      </c>
      <c r="H71" s="6">
        <f t="shared" si="6"/>
        <v>47</v>
      </c>
      <c r="I71" s="6" t="str">
        <f t="shared" si="7"/>
        <v>PASS</v>
      </c>
      <c r="J71" s="6" t="str">
        <f t="shared" si="8"/>
        <v>1</v>
      </c>
    </row>
    <row r="72" spans="4:10" x14ac:dyDescent="0.35">
      <c r="D72" s="6">
        <f>'SUB-4'!D71</f>
        <v>57</v>
      </c>
      <c r="E72" s="6" t="str">
        <f>'SUB-4'!E71</f>
        <v>BTMC24O1057</v>
      </c>
      <c r="F72" s="6" t="s">
        <v>25</v>
      </c>
      <c r="G72" s="6">
        <v>23</v>
      </c>
      <c r="H72" s="6">
        <f t="shared" si="6"/>
        <v>23</v>
      </c>
      <c r="I72" s="6" t="str">
        <f t="shared" si="7"/>
        <v>PASS</v>
      </c>
      <c r="J72" s="6" t="str">
        <f t="shared" si="8"/>
        <v>1</v>
      </c>
    </row>
    <row r="73" spans="4:10" x14ac:dyDescent="0.35">
      <c r="D73" s="6">
        <f>'SUB-4'!D72</f>
        <v>58</v>
      </c>
      <c r="E73" s="6" t="str">
        <f>'SUB-4'!E72</f>
        <v>BTMC24O1058</v>
      </c>
      <c r="F73" s="6" t="s">
        <v>25</v>
      </c>
      <c r="G73" s="6">
        <v>4</v>
      </c>
      <c r="H73" s="6">
        <f t="shared" si="6"/>
        <v>4</v>
      </c>
      <c r="I73" s="6" t="str">
        <f t="shared" si="7"/>
        <v>FAIL</v>
      </c>
      <c r="J73" s="6" t="str">
        <f t="shared" si="8"/>
        <v>0</v>
      </c>
    </row>
    <row r="74" spans="4:10" x14ac:dyDescent="0.35">
      <c r="D74" s="6">
        <f>'SUB-4'!D73</f>
        <v>59</v>
      </c>
      <c r="E74" s="6" t="str">
        <f>'SUB-4'!E73</f>
        <v>BTMC24O1059</v>
      </c>
      <c r="F74" s="6" t="s">
        <v>25</v>
      </c>
      <c r="G74" s="6">
        <v>15</v>
      </c>
      <c r="H74" s="6">
        <f t="shared" si="6"/>
        <v>15</v>
      </c>
      <c r="I74" s="6" t="str">
        <f t="shared" si="7"/>
        <v>FAIL</v>
      </c>
      <c r="J74" s="6" t="str">
        <f t="shared" si="8"/>
        <v>0</v>
      </c>
    </row>
    <row r="75" spans="4:10" x14ac:dyDescent="0.35">
      <c r="D75" s="6">
        <f>'SUB-4'!D74</f>
        <v>60</v>
      </c>
      <c r="E75" s="6" t="str">
        <f>'SUB-4'!E74</f>
        <v>BTMC24O1060</v>
      </c>
      <c r="F75" s="6" t="s">
        <v>25</v>
      </c>
      <c r="G75" s="6">
        <v>40</v>
      </c>
      <c r="H75" s="6">
        <f t="shared" si="6"/>
        <v>40</v>
      </c>
      <c r="I75" s="6" t="str">
        <f t="shared" si="7"/>
        <v>PASS</v>
      </c>
      <c r="J75" s="6" t="str">
        <f t="shared" si="8"/>
        <v>1</v>
      </c>
    </row>
    <row r="76" spans="4:10" x14ac:dyDescent="0.35">
      <c r="D76" s="6">
        <f>'SUB-4'!D75</f>
        <v>61</v>
      </c>
      <c r="E76" s="6" t="str">
        <f>'SUB-4'!E75</f>
        <v>BTMC24O1061</v>
      </c>
      <c r="F76" s="6" t="s">
        <v>25</v>
      </c>
      <c r="G76" s="6">
        <v>43</v>
      </c>
      <c r="H76" s="6">
        <f t="shared" si="6"/>
        <v>43</v>
      </c>
      <c r="I76" s="6" t="str">
        <f t="shared" si="7"/>
        <v>PASS</v>
      </c>
      <c r="J76" s="6" t="str">
        <f t="shared" si="8"/>
        <v>1</v>
      </c>
    </row>
    <row r="77" spans="4:10" x14ac:dyDescent="0.35">
      <c r="D77" s="6">
        <f>'SUB-4'!D76</f>
        <v>62</v>
      </c>
      <c r="E77" s="6" t="str">
        <f>'SUB-4'!E76</f>
        <v>BTMC24O1062</v>
      </c>
      <c r="F77" s="6" t="s">
        <v>25</v>
      </c>
      <c r="G77" s="6">
        <v>3</v>
      </c>
      <c r="H77" s="6">
        <f t="shared" si="6"/>
        <v>3</v>
      </c>
      <c r="I77" s="6" t="str">
        <f t="shared" si="7"/>
        <v>FAIL</v>
      </c>
      <c r="J77" s="6" t="str">
        <f t="shared" si="8"/>
        <v>0</v>
      </c>
    </row>
    <row r="78" spans="4:10" x14ac:dyDescent="0.35">
      <c r="D78" s="6">
        <f>'SUB-4'!D77</f>
        <v>63</v>
      </c>
      <c r="E78" s="6" t="str">
        <f>'SUB-4'!E77</f>
        <v>BTMC24O1063</v>
      </c>
      <c r="F78" s="6" t="s">
        <v>25</v>
      </c>
      <c r="G78" s="6">
        <v>19</v>
      </c>
      <c r="H78" s="6">
        <f t="shared" si="6"/>
        <v>19</v>
      </c>
      <c r="I78" s="6" t="str">
        <f t="shared" si="7"/>
        <v>PASS</v>
      </c>
      <c r="J78" s="6" t="str">
        <f t="shared" si="8"/>
        <v>1</v>
      </c>
    </row>
    <row r="79" spans="4:10" x14ac:dyDescent="0.35">
      <c r="D79" s="6">
        <f>'SUB-4'!D78</f>
        <v>64</v>
      </c>
      <c r="E79" s="6" t="str">
        <f>'SUB-4'!E78</f>
        <v>BTMC24O1064</v>
      </c>
      <c r="F79" s="6" t="s">
        <v>25</v>
      </c>
      <c r="G79" s="6">
        <v>14</v>
      </c>
      <c r="H79" s="6">
        <f t="shared" si="6"/>
        <v>14</v>
      </c>
      <c r="I79" s="6" t="str">
        <f t="shared" si="7"/>
        <v>FAIL</v>
      </c>
      <c r="J79" s="6" t="str">
        <f t="shared" si="8"/>
        <v>0</v>
      </c>
    </row>
    <row r="80" spans="4:10" x14ac:dyDescent="0.35">
      <c r="D80" s="6">
        <f>'SUB-4'!D79</f>
        <v>65</v>
      </c>
      <c r="E80" s="6" t="str">
        <f>'SUB-4'!E79</f>
        <v>BTMC24O1065</v>
      </c>
      <c r="F80" s="6" t="s">
        <v>25</v>
      </c>
      <c r="G80" s="6">
        <v>0</v>
      </c>
      <c r="H80" s="6">
        <f t="shared" si="6"/>
        <v>0</v>
      </c>
      <c r="I80" s="6" t="str">
        <f t="shared" si="7"/>
        <v>FAIL</v>
      </c>
      <c r="J80" s="6" t="str">
        <f t="shared" si="8"/>
        <v>0</v>
      </c>
    </row>
    <row r="81" spans="4:10" x14ac:dyDescent="0.35">
      <c r="D81" s="6">
        <f>'SUB-4'!D80</f>
        <v>66</v>
      </c>
      <c r="E81" s="6" t="str">
        <f>'SUB-4'!E80</f>
        <v>BTMC24O1066</v>
      </c>
      <c r="F81" s="6" t="s">
        <v>25</v>
      </c>
      <c r="G81" s="6">
        <v>31</v>
      </c>
      <c r="H81" s="6">
        <f t="shared" si="6"/>
        <v>31</v>
      </c>
      <c r="I81" s="6" t="str">
        <f t="shared" si="7"/>
        <v>PASS</v>
      </c>
      <c r="J81" s="6" t="str">
        <f t="shared" si="8"/>
        <v>1</v>
      </c>
    </row>
    <row r="82" spans="4:10" x14ac:dyDescent="0.35">
      <c r="D82" s="6">
        <f>'SUB-4'!D81</f>
        <v>67</v>
      </c>
      <c r="E82" s="6" t="str">
        <f>'SUB-4'!E81</f>
        <v>BTMC24O1067</v>
      </c>
      <c r="F82" s="6" t="s">
        <v>25</v>
      </c>
      <c r="G82" s="6">
        <v>20</v>
      </c>
      <c r="H82" s="6">
        <f t="shared" si="6"/>
        <v>20</v>
      </c>
      <c r="I82" s="6" t="str">
        <f t="shared" si="7"/>
        <v>PASS</v>
      </c>
      <c r="J82" s="6" t="str">
        <f t="shared" si="8"/>
        <v>1</v>
      </c>
    </row>
    <row r="83" spans="4:10" x14ac:dyDescent="0.35">
      <c r="D83" s="6">
        <f>'SUB-4'!D82</f>
        <v>68</v>
      </c>
      <c r="E83" s="6" t="str">
        <f>'SUB-4'!E82</f>
        <v>BTMC24O1068</v>
      </c>
      <c r="F83" s="6" t="s">
        <v>25</v>
      </c>
      <c r="G83" s="6">
        <v>24</v>
      </c>
      <c r="H83" s="6">
        <f t="shared" si="6"/>
        <v>24</v>
      </c>
      <c r="I83" s="6" t="str">
        <f t="shared" si="7"/>
        <v>PASS</v>
      </c>
      <c r="J83" s="6" t="str">
        <f t="shared" si="8"/>
        <v>1</v>
      </c>
    </row>
    <row r="84" spans="4:10" x14ac:dyDescent="0.35">
      <c r="D84" s="6">
        <f>'SUB-4'!D83</f>
        <v>69</v>
      </c>
      <c r="E84" s="6" t="str">
        <f>'SUB-4'!E83</f>
        <v>BTMC24O1069</v>
      </c>
      <c r="F84" s="6" t="s">
        <v>25</v>
      </c>
      <c r="G84" s="6">
        <v>1</v>
      </c>
      <c r="H84" s="6">
        <f t="shared" si="6"/>
        <v>1</v>
      </c>
      <c r="I84" s="6" t="str">
        <f t="shared" si="7"/>
        <v>FAIL</v>
      </c>
      <c r="J84" s="6" t="str">
        <f t="shared" si="8"/>
        <v>0</v>
      </c>
    </row>
    <row r="85" spans="4:10" x14ac:dyDescent="0.35">
      <c r="D85" s="6">
        <f>'SUB-4'!D84</f>
        <v>70</v>
      </c>
      <c r="E85" s="6" t="str">
        <f>'SUB-4'!E84</f>
        <v>BTMC24O1070</v>
      </c>
      <c r="F85" s="6" t="s">
        <v>25</v>
      </c>
      <c r="G85" s="6">
        <v>13</v>
      </c>
      <c r="H85" s="6">
        <f t="shared" si="6"/>
        <v>13</v>
      </c>
      <c r="I85" s="6" t="str">
        <f t="shared" si="7"/>
        <v>FAIL</v>
      </c>
      <c r="J85" s="6" t="str">
        <f t="shared" si="8"/>
        <v>0</v>
      </c>
    </row>
    <row r="86" spans="4:10" x14ac:dyDescent="0.35">
      <c r="D86" s="6">
        <f>'SUB-4'!D85</f>
        <v>71</v>
      </c>
      <c r="E86" s="6" t="str">
        <f>'SUB-4'!E85</f>
        <v>BTMC24O1071</v>
      </c>
      <c r="F86" s="6" t="s">
        <v>25</v>
      </c>
      <c r="G86" s="6">
        <v>18</v>
      </c>
      <c r="H86" s="6">
        <f t="shared" si="6"/>
        <v>18</v>
      </c>
      <c r="I86" s="6" t="str">
        <f t="shared" si="7"/>
        <v>PASS</v>
      </c>
      <c r="J86" s="6" t="str">
        <f t="shared" si="8"/>
        <v>1</v>
      </c>
    </row>
    <row r="87" spans="4:10" x14ac:dyDescent="0.35">
      <c r="D87" s="6">
        <f>'SUB-4'!D86</f>
        <v>72</v>
      </c>
      <c r="E87" s="6" t="str">
        <f>'SUB-4'!E86</f>
        <v>BTMC24O1072</v>
      </c>
      <c r="F87" s="6" t="s">
        <v>25</v>
      </c>
      <c r="G87" s="6">
        <v>44</v>
      </c>
      <c r="H87" s="6">
        <f t="shared" si="6"/>
        <v>44</v>
      </c>
      <c r="I87" s="6" t="str">
        <f t="shared" si="7"/>
        <v>PASS</v>
      </c>
      <c r="J87" s="6" t="str">
        <f t="shared" si="8"/>
        <v>1</v>
      </c>
    </row>
    <row r="88" spans="4:10" x14ac:dyDescent="0.35">
      <c r="D88" s="6">
        <f>'SUB-4'!D87</f>
        <v>73</v>
      </c>
      <c r="E88" s="6" t="str">
        <f>'SUB-4'!E87</f>
        <v>BTMC24O1073</v>
      </c>
      <c r="F88" s="6" t="s">
        <v>25</v>
      </c>
      <c r="G88" s="6">
        <v>32</v>
      </c>
      <c r="H88" s="6">
        <f t="shared" si="6"/>
        <v>32</v>
      </c>
      <c r="I88" s="6" t="str">
        <f t="shared" si="7"/>
        <v>PASS</v>
      </c>
      <c r="J88" s="6" t="str">
        <f t="shared" si="8"/>
        <v>1</v>
      </c>
    </row>
    <row r="89" spans="4:10" x14ac:dyDescent="0.35">
      <c r="D89" s="6">
        <f>'SUB-4'!D88</f>
        <v>74</v>
      </c>
      <c r="E89" s="6" t="str">
        <f>'SUB-4'!E88</f>
        <v>BTMC24O1074</v>
      </c>
      <c r="F89" s="6" t="s">
        <v>25</v>
      </c>
      <c r="G89" s="6">
        <v>14</v>
      </c>
      <c r="H89" s="6">
        <f t="shared" si="6"/>
        <v>14</v>
      </c>
      <c r="I89" s="6" t="str">
        <f t="shared" si="7"/>
        <v>FAIL</v>
      </c>
      <c r="J89" s="6" t="str">
        <f t="shared" si="8"/>
        <v>0</v>
      </c>
    </row>
    <row r="90" spans="4:10" x14ac:dyDescent="0.35">
      <c r="D90" s="6">
        <f>'SUB-4'!D89</f>
        <v>75</v>
      </c>
      <c r="E90" s="6" t="str">
        <f>'SUB-4'!E89</f>
        <v>BTMC24O1075</v>
      </c>
      <c r="F90" s="6" t="s">
        <v>25</v>
      </c>
      <c r="G90" s="6">
        <v>44</v>
      </c>
      <c r="H90" s="6">
        <f t="shared" si="6"/>
        <v>44</v>
      </c>
      <c r="I90" s="6" t="str">
        <f t="shared" si="7"/>
        <v>PASS</v>
      </c>
      <c r="J90" s="6" t="str">
        <f t="shared" si="8"/>
        <v>1</v>
      </c>
    </row>
    <row r="91" spans="4:10" x14ac:dyDescent="0.35">
      <c r="D91" s="6">
        <f>'SUB-4'!D90</f>
        <v>76</v>
      </c>
      <c r="E91" s="6" t="str">
        <f>'SUB-4'!E90</f>
        <v>BTMC24O1076</v>
      </c>
      <c r="F91" s="6" t="s">
        <v>25</v>
      </c>
      <c r="G91" s="6">
        <v>39</v>
      </c>
      <c r="H91" s="6">
        <f t="shared" si="6"/>
        <v>39</v>
      </c>
      <c r="I91" s="6" t="str">
        <f t="shared" si="7"/>
        <v>PASS</v>
      </c>
      <c r="J91" s="6" t="str">
        <f t="shared" si="8"/>
        <v>1</v>
      </c>
    </row>
    <row r="92" spans="4:10" x14ac:dyDescent="0.35">
      <c r="D92" s="6">
        <f>'SUB-4'!D91</f>
        <v>77</v>
      </c>
      <c r="E92" s="6" t="str">
        <f>'SUB-4'!E91</f>
        <v>BTMC24O1077</v>
      </c>
      <c r="F92" s="6" t="s">
        <v>25</v>
      </c>
      <c r="G92" s="6">
        <v>38</v>
      </c>
      <c r="H92" s="6">
        <f t="shared" si="6"/>
        <v>38</v>
      </c>
      <c r="I92" s="6" t="str">
        <f t="shared" si="7"/>
        <v>PASS</v>
      </c>
      <c r="J92" s="6" t="str">
        <f t="shared" si="8"/>
        <v>1</v>
      </c>
    </row>
    <row r="93" spans="4:10" x14ac:dyDescent="0.35">
      <c r="D93" s="6">
        <f>'SUB-4'!D92</f>
        <v>78</v>
      </c>
      <c r="E93" s="6" t="str">
        <f>'SUB-4'!E92</f>
        <v>BTMC24O1078</v>
      </c>
      <c r="F93" s="6" t="s">
        <v>25</v>
      </c>
      <c r="G93" s="6">
        <v>19</v>
      </c>
      <c r="H93" s="6">
        <f t="shared" si="6"/>
        <v>19</v>
      </c>
      <c r="I93" s="6" t="str">
        <f t="shared" si="7"/>
        <v>PASS</v>
      </c>
      <c r="J93" s="6" t="str">
        <f t="shared" si="8"/>
        <v>1</v>
      </c>
    </row>
    <row r="94" spans="4:10" x14ac:dyDescent="0.35">
      <c r="D94" s="6">
        <f>'SUB-4'!D93</f>
        <v>79</v>
      </c>
      <c r="E94" s="6" t="str">
        <f>'SUB-4'!E93</f>
        <v>BTMC24O1079</v>
      </c>
      <c r="F94" s="6" t="s">
        <v>25</v>
      </c>
      <c r="G94" s="6">
        <v>25</v>
      </c>
      <c r="H94" s="6">
        <f t="shared" si="6"/>
        <v>25</v>
      </c>
      <c r="I94" s="6" t="str">
        <f t="shared" si="7"/>
        <v>PASS</v>
      </c>
      <c r="J94" s="6" t="str">
        <f t="shared" si="8"/>
        <v>1</v>
      </c>
    </row>
    <row r="95" spans="4:10" x14ac:dyDescent="0.35">
      <c r="D95" s="6">
        <f>'SUB-4'!D94</f>
        <v>80</v>
      </c>
      <c r="E95" s="6" t="str">
        <f>'SUB-4'!E94</f>
        <v>BTMC24O1080</v>
      </c>
      <c r="F95" s="6" t="s">
        <v>25</v>
      </c>
      <c r="G95" s="6">
        <v>17</v>
      </c>
      <c r="H95" s="6">
        <f t="shared" si="6"/>
        <v>17</v>
      </c>
      <c r="I95" s="6" t="str">
        <f t="shared" si="7"/>
        <v>PASS</v>
      </c>
      <c r="J95" s="6" t="str">
        <f t="shared" si="8"/>
        <v>1</v>
      </c>
    </row>
    <row r="96" spans="4:10" x14ac:dyDescent="0.35">
      <c r="D96" s="6">
        <f>'SUB-4'!D95</f>
        <v>81</v>
      </c>
      <c r="E96" s="6" t="str">
        <f>'SUB-4'!E95</f>
        <v>BTMC24O1081</v>
      </c>
      <c r="F96" s="6" t="s">
        <v>25</v>
      </c>
      <c r="G96" s="6">
        <v>9</v>
      </c>
      <c r="H96" s="6">
        <f t="shared" si="6"/>
        <v>9</v>
      </c>
      <c r="I96" s="6" t="str">
        <f t="shared" si="7"/>
        <v>FAIL</v>
      </c>
      <c r="J96" s="6" t="str">
        <f t="shared" si="8"/>
        <v>0</v>
      </c>
    </row>
    <row r="97" spans="4:10" x14ac:dyDescent="0.35">
      <c r="D97" s="6">
        <f>'SUB-4'!D96</f>
        <v>82</v>
      </c>
      <c r="E97" s="6" t="str">
        <f>'SUB-4'!E96</f>
        <v>BTMC24O1082</v>
      </c>
      <c r="F97" s="6" t="s">
        <v>25</v>
      </c>
      <c r="G97" s="6">
        <v>50</v>
      </c>
      <c r="H97" s="6">
        <f t="shared" si="6"/>
        <v>50</v>
      </c>
      <c r="I97" s="6" t="str">
        <f t="shared" si="7"/>
        <v>PASS</v>
      </c>
      <c r="J97" s="6" t="str">
        <f t="shared" si="8"/>
        <v>1</v>
      </c>
    </row>
    <row r="98" spans="4:10" x14ac:dyDescent="0.35">
      <c r="D98" s="6">
        <f>'SUB-4'!D97</f>
        <v>83</v>
      </c>
      <c r="E98" s="6" t="str">
        <f>'SUB-4'!E97</f>
        <v>BTMC24O1083</v>
      </c>
      <c r="F98" s="6" t="s">
        <v>25</v>
      </c>
      <c r="G98" s="6">
        <v>10</v>
      </c>
      <c r="H98" s="6">
        <f t="shared" si="6"/>
        <v>10</v>
      </c>
      <c r="I98" s="6" t="str">
        <f t="shared" si="7"/>
        <v>FAIL</v>
      </c>
      <c r="J98" s="6" t="str">
        <f t="shared" si="8"/>
        <v>0</v>
      </c>
    </row>
    <row r="99" spans="4:10" x14ac:dyDescent="0.35">
      <c r="D99" s="6">
        <f>'SUB-4'!D98</f>
        <v>84</v>
      </c>
      <c r="E99" s="6" t="str">
        <f>'SUB-4'!E98</f>
        <v>BTMC24O1084</v>
      </c>
      <c r="F99" s="6" t="s">
        <v>25</v>
      </c>
      <c r="G99" s="6">
        <v>45</v>
      </c>
      <c r="H99" s="6">
        <f t="shared" si="6"/>
        <v>45</v>
      </c>
      <c r="I99" s="6" t="str">
        <f t="shared" si="7"/>
        <v>PASS</v>
      </c>
      <c r="J99" s="6" t="str">
        <f t="shared" si="8"/>
        <v>1</v>
      </c>
    </row>
    <row r="100" spans="4:10" x14ac:dyDescent="0.35">
      <c r="D100" s="6">
        <f>'SUB-4'!D99</f>
        <v>85</v>
      </c>
      <c r="E100" s="6" t="str">
        <f>'SUB-4'!E99</f>
        <v>BTMC24O1085</v>
      </c>
      <c r="F100" s="6" t="s">
        <v>25</v>
      </c>
      <c r="G100" s="6">
        <v>33</v>
      </c>
      <c r="H100" s="6">
        <f t="shared" si="6"/>
        <v>33</v>
      </c>
      <c r="I100" s="6" t="str">
        <f t="shared" si="7"/>
        <v>PASS</v>
      </c>
      <c r="J100" s="6" t="str">
        <f t="shared" si="8"/>
        <v>1</v>
      </c>
    </row>
    <row r="101" spans="4:10" x14ac:dyDescent="0.35">
      <c r="D101" s="6">
        <f>'SUB-4'!D100</f>
        <v>86</v>
      </c>
      <c r="E101" s="6" t="str">
        <f>'SUB-4'!E100</f>
        <v>BTMC24O1086</v>
      </c>
      <c r="F101" s="6" t="s">
        <v>25</v>
      </c>
      <c r="G101" s="6">
        <v>4</v>
      </c>
      <c r="H101" s="6">
        <f t="shared" ref="H101:H115" si="9">G101</f>
        <v>4</v>
      </c>
      <c r="I101" s="6" t="str">
        <f t="shared" ref="I101:I115" si="10">IF(H101&lt;16,"FAIL","PASS")</f>
        <v>FAIL</v>
      </c>
      <c r="J101" s="6" t="str">
        <f t="shared" ref="J101:J115" si="11">IF(H101&lt;16,"0","1")</f>
        <v>0</v>
      </c>
    </row>
    <row r="102" spans="4:10" x14ac:dyDescent="0.35">
      <c r="D102" s="6">
        <f>'SUB-4'!D101</f>
        <v>87</v>
      </c>
      <c r="E102" s="6" t="str">
        <f>'SUB-4'!E101</f>
        <v>BTMC24O1087</v>
      </c>
      <c r="F102" s="6" t="s">
        <v>25</v>
      </c>
      <c r="G102" s="6">
        <v>32</v>
      </c>
      <c r="H102" s="6">
        <f t="shared" si="9"/>
        <v>32</v>
      </c>
      <c r="I102" s="6" t="str">
        <f t="shared" si="10"/>
        <v>PASS</v>
      </c>
      <c r="J102" s="6" t="str">
        <f t="shared" si="11"/>
        <v>1</v>
      </c>
    </row>
    <row r="103" spans="4:10" x14ac:dyDescent="0.35">
      <c r="D103" s="6">
        <f>'SUB-4'!D102</f>
        <v>88</v>
      </c>
      <c r="E103" s="6" t="str">
        <f>'SUB-4'!E102</f>
        <v>BTMC24O1088</v>
      </c>
      <c r="F103" s="6" t="s">
        <v>25</v>
      </c>
      <c r="G103" s="6">
        <v>36</v>
      </c>
      <c r="H103" s="6">
        <f t="shared" si="9"/>
        <v>36</v>
      </c>
      <c r="I103" s="6" t="str">
        <f t="shared" si="10"/>
        <v>PASS</v>
      </c>
      <c r="J103" s="6" t="str">
        <f t="shared" si="11"/>
        <v>1</v>
      </c>
    </row>
    <row r="104" spans="4:10" x14ac:dyDescent="0.35">
      <c r="D104" s="6">
        <f>'SUB-4'!D103</f>
        <v>89</v>
      </c>
      <c r="E104" s="6" t="str">
        <f>'SUB-4'!E103</f>
        <v>BTMC24O1089</v>
      </c>
      <c r="F104" s="6" t="s">
        <v>25</v>
      </c>
      <c r="G104" s="6">
        <v>30</v>
      </c>
      <c r="H104" s="6">
        <f t="shared" si="9"/>
        <v>30</v>
      </c>
      <c r="I104" s="6" t="str">
        <f t="shared" si="10"/>
        <v>PASS</v>
      </c>
      <c r="J104" s="6" t="str">
        <f t="shared" si="11"/>
        <v>1</v>
      </c>
    </row>
    <row r="105" spans="4:10" x14ac:dyDescent="0.35">
      <c r="D105" s="6">
        <f>'SUB-4'!D104</f>
        <v>90</v>
      </c>
      <c r="E105" s="6" t="str">
        <f>'SUB-4'!E104</f>
        <v>BTMC24O1090</v>
      </c>
      <c r="F105" s="6" t="s">
        <v>25</v>
      </c>
      <c r="G105" s="6">
        <v>31</v>
      </c>
      <c r="H105" s="6">
        <f t="shared" si="9"/>
        <v>31</v>
      </c>
      <c r="I105" s="6" t="str">
        <f t="shared" si="10"/>
        <v>PASS</v>
      </c>
      <c r="J105" s="6" t="str">
        <f t="shared" si="11"/>
        <v>1</v>
      </c>
    </row>
    <row r="106" spans="4:10" x14ac:dyDescent="0.35">
      <c r="D106" s="6">
        <f>'SUB-4'!D105</f>
        <v>91</v>
      </c>
      <c r="E106" s="6" t="str">
        <f>'SUB-4'!E105</f>
        <v>BTMC24O1091</v>
      </c>
      <c r="F106" s="6" t="s">
        <v>25</v>
      </c>
      <c r="G106" s="6">
        <v>3</v>
      </c>
      <c r="H106" s="6">
        <f t="shared" si="9"/>
        <v>3</v>
      </c>
      <c r="I106" s="6" t="str">
        <f t="shared" si="10"/>
        <v>FAIL</v>
      </c>
      <c r="J106" s="6" t="str">
        <f t="shared" si="11"/>
        <v>0</v>
      </c>
    </row>
    <row r="107" spans="4:10" x14ac:dyDescent="0.35">
      <c r="D107" s="6">
        <f>'SUB-4'!D106</f>
        <v>92</v>
      </c>
      <c r="E107" s="6" t="str">
        <f>'SUB-4'!E106</f>
        <v>BTMC24O1092</v>
      </c>
      <c r="F107" s="6" t="s">
        <v>25</v>
      </c>
      <c r="G107" s="6">
        <v>13</v>
      </c>
      <c r="H107" s="6">
        <f t="shared" si="9"/>
        <v>13</v>
      </c>
      <c r="I107" s="6" t="str">
        <f t="shared" si="10"/>
        <v>FAIL</v>
      </c>
      <c r="J107" s="6" t="str">
        <f t="shared" si="11"/>
        <v>0</v>
      </c>
    </row>
    <row r="108" spans="4:10" x14ac:dyDescent="0.35">
      <c r="D108" s="6">
        <f>'SUB-4'!D107</f>
        <v>93</v>
      </c>
      <c r="E108" s="6" t="str">
        <f>'SUB-4'!E107</f>
        <v>BTMC24O1093</v>
      </c>
      <c r="F108" s="6" t="s">
        <v>25</v>
      </c>
      <c r="G108" s="6">
        <v>49</v>
      </c>
      <c r="H108" s="6">
        <f t="shared" si="9"/>
        <v>49</v>
      </c>
      <c r="I108" s="6" t="str">
        <f t="shared" si="10"/>
        <v>PASS</v>
      </c>
      <c r="J108" s="6" t="str">
        <f t="shared" si="11"/>
        <v>1</v>
      </c>
    </row>
    <row r="109" spans="4:10" x14ac:dyDescent="0.35">
      <c r="D109" s="6">
        <f>'SUB-4'!D108</f>
        <v>94</v>
      </c>
      <c r="E109" s="6" t="str">
        <f>'SUB-4'!E108</f>
        <v>BTMC24O1094</v>
      </c>
      <c r="F109" s="6" t="s">
        <v>25</v>
      </c>
      <c r="G109" s="6">
        <v>38</v>
      </c>
      <c r="H109" s="6">
        <f t="shared" si="9"/>
        <v>38</v>
      </c>
      <c r="I109" s="6" t="str">
        <f t="shared" si="10"/>
        <v>PASS</v>
      </c>
      <c r="J109" s="6" t="str">
        <f t="shared" si="11"/>
        <v>1</v>
      </c>
    </row>
    <row r="110" spans="4:10" x14ac:dyDescent="0.35">
      <c r="D110" s="6">
        <f>'SUB-4'!D109</f>
        <v>95</v>
      </c>
      <c r="E110" s="6" t="str">
        <f>'SUB-4'!E109</f>
        <v>BTMC24O1095</v>
      </c>
      <c r="F110" s="6" t="s">
        <v>25</v>
      </c>
      <c r="G110" s="6">
        <v>31</v>
      </c>
      <c r="H110" s="6">
        <f t="shared" si="9"/>
        <v>31</v>
      </c>
      <c r="I110" s="6" t="str">
        <f t="shared" si="10"/>
        <v>PASS</v>
      </c>
      <c r="J110" s="6" t="str">
        <f t="shared" si="11"/>
        <v>1</v>
      </c>
    </row>
    <row r="111" spans="4:10" x14ac:dyDescent="0.35">
      <c r="D111" s="6">
        <f>'SUB-4'!D110</f>
        <v>96</v>
      </c>
      <c r="E111" s="6" t="str">
        <f>'SUB-4'!E110</f>
        <v>BTMC24O1096</v>
      </c>
      <c r="F111" s="6" t="s">
        <v>25</v>
      </c>
      <c r="G111" s="6">
        <v>3</v>
      </c>
      <c r="H111" s="6">
        <f t="shared" si="9"/>
        <v>3</v>
      </c>
      <c r="I111" s="6" t="str">
        <f t="shared" si="10"/>
        <v>FAIL</v>
      </c>
      <c r="J111" s="6" t="str">
        <f t="shared" si="11"/>
        <v>0</v>
      </c>
    </row>
    <row r="112" spans="4:10" x14ac:dyDescent="0.35">
      <c r="D112" s="6">
        <f>'SUB-4'!D111</f>
        <v>97</v>
      </c>
      <c r="E112" s="6" t="str">
        <f>'SUB-4'!E111</f>
        <v>BTMC24O1097</v>
      </c>
      <c r="F112" s="6" t="s">
        <v>25</v>
      </c>
      <c r="G112" s="6">
        <v>34</v>
      </c>
      <c r="H112" s="6">
        <f t="shared" si="9"/>
        <v>34</v>
      </c>
      <c r="I112" s="6" t="str">
        <f t="shared" si="10"/>
        <v>PASS</v>
      </c>
      <c r="J112" s="6" t="str">
        <f t="shared" si="11"/>
        <v>1</v>
      </c>
    </row>
    <row r="113" spans="4:10" x14ac:dyDescent="0.35">
      <c r="D113" s="6">
        <f>'SUB-4'!D112</f>
        <v>98</v>
      </c>
      <c r="E113" s="6" t="str">
        <f>'SUB-4'!E112</f>
        <v>BTMC24O1098</v>
      </c>
      <c r="F113" s="6" t="s">
        <v>25</v>
      </c>
      <c r="G113" s="6">
        <v>49</v>
      </c>
      <c r="H113" s="6">
        <f t="shared" si="9"/>
        <v>49</v>
      </c>
      <c r="I113" s="6" t="str">
        <f t="shared" si="10"/>
        <v>PASS</v>
      </c>
      <c r="J113" s="6" t="str">
        <f t="shared" si="11"/>
        <v>1</v>
      </c>
    </row>
    <row r="114" spans="4:10" x14ac:dyDescent="0.35">
      <c r="D114" s="6">
        <f>'SUB-4'!D113</f>
        <v>99</v>
      </c>
      <c r="E114" s="6" t="str">
        <f>'SUB-4'!E113</f>
        <v>BTMC24O1099</v>
      </c>
      <c r="F114" s="6" t="s">
        <v>25</v>
      </c>
      <c r="G114" s="6">
        <v>8</v>
      </c>
      <c r="H114" s="6">
        <f t="shared" si="9"/>
        <v>8</v>
      </c>
      <c r="I114" s="6" t="str">
        <f t="shared" si="10"/>
        <v>FAIL</v>
      </c>
      <c r="J114" s="6" t="str">
        <f t="shared" si="11"/>
        <v>0</v>
      </c>
    </row>
    <row r="115" spans="4:10" x14ac:dyDescent="0.35">
      <c r="D115" s="6">
        <f>'SUB-4'!D114</f>
        <v>100</v>
      </c>
      <c r="E115" s="6" t="str">
        <f>'SUB-4'!E114</f>
        <v>BTMC24O1100</v>
      </c>
      <c r="F115" s="6" t="s">
        <v>25</v>
      </c>
      <c r="G115" s="6">
        <v>27</v>
      </c>
      <c r="H115" s="6">
        <f t="shared" si="9"/>
        <v>27</v>
      </c>
      <c r="I115" s="6" t="str">
        <f t="shared" si="10"/>
        <v>PASS</v>
      </c>
      <c r="J115" s="6" t="str">
        <f t="shared" si="11"/>
        <v>1</v>
      </c>
    </row>
  </sheetData>
  <mergeCells count="8">
    <mergeCell ref="D9:Q9"/>
    <mergeCell ref="D2:Q3"/>
    <mergeCell ref="D4:Q4"/>
    <mergeCell ref="D5:Q5"/>
    <mergeCell ref="D6:Q6"/>
    <mergeCell ref="D8:Q8"/>
    <mergeCell ref="G7:L7"/>
    <mergeCell ref="L14:M14"/>
  </mergeCells>
  <conditionalFormatting sqref="I16:I115">
    <cfRule type="containsText" dxfId="1" priority="1" operator="containsText" text="FAIL">
      <formula>NOT(ISERROR(SEARCH("FAIL",I16)))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974C9-ECFB-4AB4-B96B-33B50A2A974C}">
  <sheetPr codeName="Sheet14"/>
  <dimension ref="C1:S114"/>
  <sheetViews>
    <sheetView zoomScale="90" zoomScaleNormal="90" workbookViewId="0">
      <selection activeCell="H12" sqref="H12"/>
    </sheetView>
  </sheetViews>
  <sheetFormatPr defaultRowHeight="14.5" x14ac:dyDescent="0.35"/>
  <cols>
    <col min="4" max="4" width="6.54296875" customWidth="1"/>
    <col min="5" max="5" width="16.7265625" customWidth="1"/>
    <col min="6" max="6" width="10.453125" customWidth="1"/>
    <col min="7" max="7" width="10.7265625" customWidth="1"/>
    <col min="8" max="8" width="11.453125" customWidth="1"/>
    <col min="9" max="9" width="10.81640625" customWidth="1"/>
    <col min="10" max="10" width="16.6328125" customWidth="1"/>
    <col min="11" max="11" width="10.453125" customWidth="1"/>
    <col min="12" max="12" width="9.81640625" customWidth="1"/>
    <col min="14" max="14" width="13.81640625" customWidth="1"/>
    <col min="15" max="15" width="13.1796875" customWidth="1"/>
  </cols>
  <sheetData>
    <row r="1" spans="3:19" x14ac:dyDescent="0.35"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7"/>
      <c r="Q1" s="7"/>
    </row>
    <row r="2" spans="3:19" x14ac:dyDescent="0.35">
      <c r="C2" s="35"/>
      <c r="D2" s="161" t="s">
        <v>0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</row>
    <row r="3" spans="3:19" x14ac:dyDescent="0.35">
      <c r="C3" s="35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</row>
    <row r="4" spans="3:19" ht="22" x14ac:dyDescent="0.6">
      <c r="C4" s="35"/>
      <c r="D4" s="162" t="s">
        <v>1</v>
      </c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</row>
    <row r="5" spans="3:19" ht="23" x14ac:dyDescent="0.6">
      <c r="C5" s="35"/>
      <c r="D5" s="164" t="s">
        <v>2</v>
      </c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</row>
    <row r="6" spans="3:19" ht="22" x14ac:dyDescent="0.6">
      <c r="C6" s="35"/>
      <c r="D6" s="165" t="s">
        <v>3</v>
      </c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</row>
    <row r="7" spans="3:19" ht="22" x14ac:dyDescent="0.6">
      <c r="C7" s="35"/>
      <c r="D7" s="34"/>
      <c r="E7" s="35"/>
      <c r="F7" s="35"/>
      <c r="G7" s="164" t="s">
        <v>4</v>
      </c>
      <c r="H7" s="166"/>
      <c r="I7" s="166"/>
      <c r="J7" s="166"/>
      <c r="K7" s="166"/>
      <c r="L7" s="166"/>
      <c r="M7" s="35"/>
      <c r="N7" s="35"/>
      <c r="O7" s="35"/>
      <c r="P7" s="35"/>
      <c r="Q7" s="7"/>
    </row>
    <row r="8" spans="3:19" ht="21" x14ac:dyDescent="0.5">
      <c r="C8" s="35"/>
      <c r="D8" s="160" t="s">
        <v>5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9" ht="21" x14ac:dyDescent="0.5">
      <c r="C9" s="7"/>
      <c r="D9" s="160" t="s">
        <v>6</v>
      </c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1" spans="3:19" ht="18.5" x14ac:dyDescent="0.45">
      <c r="E11" s="32">
        <v>25241112</v>
      </c>
      <c r="H11" s="32" t="s">
        <v>672</v>
      </c>
    </row>
    <row r="12" spans="3:19" x14ac:dyDescent="0.35">
      <c r="D12" s="29" t="s">
        <v>42</v>
      </c>
      <c r="E12" s="29" t="s">
        <v>43</v>
      </c>
      <c r="F12" s="29" t="s">
        <v>44</v>
      </c>
      <c r="G12" s="29" t="s">
        <v>45</v>
      </c>
      <c r="H12" s="29" t="s">
        <v>46</v>
      </c>
      <c r="I12" s="29" t="s">
        <v>47</v>
      </c>
      <c r="J12" s="29" t="s">
        <v>48</v>
      </c>
      <c r="K12" s="29" t="s">
        <v>49</v>
      </c>
      <c r="L12" s="29" t="s">
        <v>50</v>
      </c>
      <c r="M12" s="29" t="s">
        <v>51</v>
      </c>
      <c r="N12" s="29" t="s">
        <v>52</v>
      </c>
    </row>
    <row r="13" spans="3:19" x14ac:dyDescent="0.35">
      <c r="D13" s="6"/>
      <c r="E13" s="6"/>
      <c r="F13" s="33">
        <v>20</v>
      </c>
      <c r="G13" s="33">
        <v>20</v>
      </c>
      <c r="H13" s="33">
        <v>10</v>
      </c>
      <c r="I13" s="33">
        <v>20</v>
      </c>
      <c r="J13" s="33">
        <v>30</v>
      </c>
      <c r="K13" s="33">
        <v>30</v>
      </c>
      <c r="L13" s="33">
        <v>100</v>
      </c>
      <c r="M13" s="33">
        <v>3</v>
      </c>
      <c r="N13" s="33" t="s">
        <v>53</v>
      </c>
      <c r="P13" t="s">
        <v>660</v>
      </c>
    </row>
    <row r="14" spans="3:19" x14ac:dyDescent="0.35">
      <c r="D14" s="6"/>
      <c r="E14" s="6"/>
      <c r="F14" s="6"/>
      <c r="G14" s="6"/>
      <c r="H14" s="6"/>
      <c r="I14" s="6"/>
      <c r="J14" s="6"/>
      <c r="K14" s="6"/>
      <c r="L14" s="38"/>
      <c r="M14" s="38"/>
      <c r="N14" s="6"/>
      <c r="P14" s="215" t="s">
        <v>668</v>
      </c>
      <c r="Q14" s="212">
        <f>COUNTIF(N15:N114,N15)</f>
        <v>89</v>
      </c>
      <c r="R14" s="215"/>
      <c r="S14" s="215"/>
    </row>
    <row r="15" spans="3:19" x14ac:dyDescent="0.35">
      <c r="D15" s="6">
        <v>1</v>
      </c>
      <c r="E15" s="6" t="s">
        <v>140</v>
      </c>
      <c r="F15" s="6">
        <v>10</v>
      </c>
      <c r="G15" s="6">
        <v>10</v>
      </c>
      <c r="H15" s="6">
        <v>8</v>
      </c>
      <c r="I15" s="6">
        <v>13</v>
      </c>
      <c r="J15" s="6">
        <f t="shared" ref="J15:J35" si="0">H15+I15</f>
        <v>21</v>
      </c>
      <c r="K15" s="36">
        <v>18</v>
      </c>
      <c r="L15" s="39">
        <f t="shared" ref="L15:L35" si="1">K15+J15+G15+F15</f>
        <v>59</v>
      </c>
      <c r="M15" s="39">
        <f>IF(L15&gt;75,3,IF(L15&gt;50,2,IF(L15&gt;35,1,0)))</f>
        <v>2</v>
      </c>
      <c r="N15" s="37" t="str">
        <f>IF(L15&lt;35,"FAIL","PASS")</f>
        <v>PASS</v>
      </c>
      <c r="P15" s="215" t="s">
        <v>667</v>
      </c>
      <c r="Q15" s="212">
        <f>COUNTIF(N15:N114,N16)</f>
        <v>11</v>
      </c>
      <c r="R15" s="212"/>
      <c r="S15" s="212"/>
    </row>
    <row r="16" spans="3:19" x14ac:dyDescent="0.35">
      <c r="D16" s="6">
        <v>2</v>
      </c>
      <c r="E16" s="6" t="s">
        <v>147</v>
      </c>
      <c r="F16" s="6">
        <v>0</v>
      </c>
      <c r="G16" s="6">
        <v>11</v>
      </c>
      <c r="H16" s="6">
        <v>4</v>
      </c>
      <c r="I16" s="6">
        <v>15</v>
      </c>
      <c r="J16" s="6">
        <f t="shared" si="0"/>
        <v>19</v>
      </c>
      <c r="K16" s="36">
        <v>2</v>
      </c>
      <c r="L16" s="39">
        <f t="shared" si="1"/>
        <v>32</v>
      </c>
      <c r="M16" s="39">
        <f t="shared" ref="M16:M34" si="2">IF(L16&gt;75,3,IF(L16&gt;50,2,IF(L16&gt;35,1,0)))</f>
        <v>0</v>
      </c>
      <c r="N16" s="37" t="str">
        <f t="shared" ref="N16:N34" si="3">IF(L16&lt;35,"FAIL","PASS")</f>
        <v>FAIL</v>
      </c>
      <c r="P16" s="212"/>
      <c r="Q16" s="212"/>
      <c r="R16" s="212"/>
      <c r="S16" s="212"/>
    </row>
    <row r="17" spans="4:19" x14ac:dyDescent="0.35">
      <c r="D17" s="6">
        <v>3</v>
      </c>
      <c r="E17" s="6" t="s">
        <v>152</v>
      </c>
      <c r="F17" s="6">
        <v>9</v>
      </c>
      <c r="G17" s="6">
        <v>15</v>
      </c>
      <c r="H17" s="6">
        <v>0</v>
      </c>
      <c r="I17" s="6">
        <v>10</v>
      </c>
      <c r="J17" s="6">
        <f t="shared" si="0"/>
        <v>10</v>
      </c>
      <c r="K17" s="36">
        <v>28</v>
      </c>
      <c r="L17" s="39">
        <f t="shared" si="1"/>
        <v>62</v>
      </c>
      <c r="M17" s="39">
        <f t="shared" si="2"/>
        <v>2</v>
      </c>
      <c r="N17" s="37" t="str">
        <f t="shared" si="3"/>
        <v>PASS</v>
      </c>
      <c r="Q17" s="215"/>
      <c r="R17" s="215"/>
      <c r="S17" s="215"/>
    </row>
    <row r="18" spans="4:19" x14ac:dyDescent="0.35">
      <c r="D18" s="6">
        <v>4</v>
      </c>
      <c r="E18" s="6" t="s">
        <v>157</v>
      </c>
      <c r="F18" s="6">
        <v>7</v>
      </c>
      <c r="G18" s="6">
        <v>12</v>
      </c>
      <c r="H18" s="6">
        <v>5</v>
      </c>
      <c r="I18" s="6">
        <v>15</v>
      </c>
      <c r="J18" s="6">
        <f t="shared" si="0"/>
        <v>20</v>
      </c>
      <c r="K18" s="36">
        <v>4</v>
      </c>
      <c r="L18" s="39">
        <f t="shared" si="1"/>
        <v>43</v>
      </c>
      <c r="M18" s="39">
        <f t="shared" si="2"/>
        <v>1</v>
      </c>
      <c r="N18" s="37" t="str">
        <f t="shared" si="3"/>
        <v>PASS</v>
      </c>
      <c r="Q18" s="212"/>
      <c r="R18" s="212"/>
      <c r="S18" s="212"/>
    </row>
    <row r="19" spans="4:19" x14ac:dyDescent="0.35">
      <c r="D19" s="6">
        <v>5</v>
      </c>
      <c r="E19" s="6" t="s">
        <v>162</v>
      </c>
      <c r="F19" s="6">
        <v>8</v>
      </c>
      <c r="G19" s="6">
        <v>11</v>
      </c>
      <c r="H19" s="6">
        <v>9</v>
      </c>
      <c r="I19" s="6">
        <v>4</v>
      </c>
      <c r="J19" s="6">
        <f t="shared" si="0"/>
        <v>13</v>
      </c>
      <c r="K19" s="36">
        <v>25</v>
      </c>
      <c r="L19" s="39">
        <f t="shared" si="1"/>
        <v>57</v>
      </c>
      <c r="M19" s="39">
        <f t="shared" si="2"/>
        <v>2</v>
      </c>
      <c r="N19" s="37" t="str">
        <f t="shared" si="3"/>
        <v>PASS</v>
      </c>
    </row>
    <row r="20" spans="4:19" x14ac:dyDescent="0.35">
      <c r="D20" s="6">
        <v>6</v>
      </c>
      <c r="E20" s="6" t="s">
        <v>167</v>
      </c>
      <c r="F20" s="6">
        <v>8</v>
      </c>
      <c r="G20" s="6">
        <v>10</v>
      </c>
      <c r="H20" s="6">
        <v>5</v>
      </c>
      <c r="I20" s="6">
        <v>11</v>
      </c>
      <c r="J20" s="6">
        <f t="shared" si="0"/>
        <v>16</v>
      </c>
      <c r="K20" s="36">
        <v>9</v>
      </c>
      <c r="L20" s="39">
        <f t="shared" si="1"/>
        <v>43</v>
      </c>
      <c r="M20" s="39">
        <f t="shared" si="2"/>
        <v>1</v>
      </c>
      <c r="N20" s="37" t="str">
        <f t="shared" si="3"/>
        <v>PASS</v>
      </c>
    </row>
    <row r="21" spans="4:19" x14ac:dyDescent="0.35">
      <c r="D21" s="6">
        <v>7</v>
      </c>
      <c r="E21" s="6" t="s">
        <v>565</v>
      </c>
      <c r="F21" s="6">
        <v>2</v>
      </c>
      <c r="G21" s="6">
        <v>6</v>
      </c>
      <c r="H21" s="6">
        <v>9</v>
      </c>
      <c r="I21" s="6">
        <v>10</v>
      </c>
      <c r="J21" s="6">
        <f t="shared" si="0"/>
        <v>19</v>
      </c>
      <c r="K21" s="36">
        <v>15</v>
      </c>
      <c r="L21" s="39">
        <f t="shared" si="1"/>
        <v>42</v>
      </c>
      <c r="M21" s="39">
        <f t="shared" si="2"/>
        <v>1</v>
      </c>
      <c r="N21" s="37" t="str">
        <f t="shared" si="3"/>
        <v>PASS</v>
      </c>
    </row>
    <row r="22" spans="4:19" x14ac:dyDescent="0.35">
      <c r="D22" s="6">
        <v>8</v>
      </c>
      <c r="E22" s="6" t="s">
        <v>566</v>
      </c>
      <c r="F22" s="6">
        <v>15</v>
      </c>
      <c r="G22" s="6">
        <v>3</v>
      </c>
      <c r="H22" s="6">
        <v>0</v>
      </c>
      <c r="I22" s="6">
        <v>6</v>
      </c>
      <c r="J22" s="6">
        <f t="shared" si="0"/>
        <v>6</v>
      </c>
      <c r="K22" s="36">
        <v>9</v>
      </c>
      <c r="L22" s="39">
        <f t="shared" si="1"/>
        <v>33</v>
      </c>
      <c r="M22" s="39">
        <f t="shared" si="2"/>
        <v>0</v>
      </c>
      <c r="N22" s="37" t="str">
        <f t="shared" si="3"/>
        <v>FAIL</v>
      </c>
    </row>
    <row r="23" spans="4:19" x14ac:dyDescent="0.35">
      <c r="D23" s="6">
        <v>9</v>
      </c>
      <c r="E23" s="6" t="s">
        <v>176</v>
      </c>
      <c r="F23" s="6">
        <v>10</v>
      </c>
      <c r="G23" s="6">
        <v>14</v>
      </c>
      <c r="H23" s="6">
        <v>8</v>
      </c>
      <c r="I23" s="6">
        <v>19</v>
      </c>
      <c r="J23" s="6">
        <f t="shared" si="0"/>
        <v>27</v>
      </c>
      <c r="K23" s="36">
        <v>23</v>
      </c>
      <c r="L23" s="39">
        <f t="shared" si="1"/>
        <v>74</v>
      </c>
      <c r="M23" s="39">
        <f t="shared" si="2"/>
        <v>2</v>
      </c>
      <c r="N23" s="37" t="str">
        <f t="shared" si="3"/>
        <v>PASS</v>
      </c>
    </row>
    <row r="24" spans="4:19" x14ac:dyDescent="0.35">
      <c r="D24" s="6">
        <v>10</v>
      </c>
      <c r="E24" s="6" t="s">
        <v>181</v>
      </c>
      <c r="F24" s="6">
        <v>4</v>
      </c>
      <c r="G24" s="6">
        <v>2</v>
      </c>
      <c r="H24" s="6">
        <v>1</v>
      </c>
      <c r="I24" s="6">
        <v>0</v>
      </c>
      <c r="J24" s="6">
        <f t="shared" si="0"/>
        <v>1</v>
      </c>
      <c r="K24" s="36">
        <v>14</v>
      </c>
      <c r="L24" s="39">
        <f t="shared" si="1"/>
        <v>21</v>
      </c>
      <c r="M24" s="39">
        <f t="shared" si="2"/>
        <v>0</v>
      </c>
      <c r="N24" s="37" t="str">
        <f t="shared" si="3"/>
        <v>FAIL</v>
      </c>
    </row>
    <row r="25" spans="4:19" x14ac:dyDescent="0.35">
      <c r="D25" s="6">
        <v>11</v>
      </c>
      <c r="E25" s="6" t="s">
        <v>186</v>
      </c>
      <c r="F25" s="6">
        <v>1</v>
      </c>
      <c r="G25" s="6">
        <v>9</v>
      </c>
      <c r="H25" s="6">
        <v>1</v>
      </c>
      <c r="I25" s="6">
        <v>11</v>
      </c>
      <c r="J25" s="6">
        <f t="shared" si="0"/>
        <v>12</v>
      </c>
      <c r="K25" s="36">
        <v>28</v>
      </c>
      <c r="L25" s="39">
        <f t="shared" si="1"/>
        <v>50</v>
      </c>
      <c r="M25" s="39">
        <f t="shared" si="2"/>
        <v>1</v>
      </c>
      <c r="N25" s="37" t="str">
        <f t="shared" si="3"/>
        <v>PASS</v>
      </c>
    </row>
    <row r="26" spans="4:19" x14ac:dyDescent="0.35">
      <c r="D26" s="6">
        <v>12</v>
      </c>
      <c r="E26" s="6" t="s">
        <v>191</v>
      </c>
      <c r="F26" s="6">
        <v>15</v>
      </c>
      <c r="G26" s="6">
        <v>12</v>
      </c>
      <c r="H26" s="6">
        <v>6</v>
      </c>
      <c r="I26" s="6">
        <v>19</v>
      </c>
      <c r="J26" s="6">
        <f t="shared" si="0"/>
        <v>25</v>
      </c>
      <c r="K26" s="36">
        <v>25</v>
      </c>
      <c r="L26" s="39">
        <f t="shared" si="1"/>
        <v>77</v>
      </c>
      <c r="M26" s="39">
        <f t="shared" si="2"/>
        <v>3</v>
      </c>
      <c r="N26" s="37" t="str">
        <f t="shared" si="3"/>
        <v>PASS</v>
      </c>
    </row>
    <row r="27" spans="4:19" x14ac:dyDescent="0.35">
      <c r="D27" s="6">
        <v>13</v>
      </c>
      <c r="E27" s="6" t="s">
        <v>196</v>
      </c>
      <c r="F27" s="6">
        <v>9</v>
      </c>
      <c r="G27" s="6">
        <v>11</v>
      </c>
      <c r="H27" s="6">
        <v>10</v>
      </c>
      <c r="I27" s="6">
        <v>18</v>
      </c>
      <c r="J27" s="6">
        <f t="shared" si="0"/>
        <v>28</v>
      </c>
      <c r="K27" s="36">
        <v>14</v>
      </c>
      <c r="L27" s="39">
        <f t="shared" si="1"/>
        <v>62</v>
      </c>
      <c r="M27" s="39">
        <f t="shared" si="2"/>
        <v>2</v>
      </c>
      <c r="N27" s="37" t="str">
        <f t="shared" si="3"/>
        <v>PASS</v>
      </c>
    </row>
    <row r="28" spans="4:19" x14ac:dyDescent="0.35">
      <c r="D28" s="6">
        <v>14</v>
      </c>
      <c r="E28" s="6" t="s">
        <v>567</v>
      </c>
      <c r="F28" s="6">
        <v>14</v>
      </c>
      <c r="G28" s="6">
        <v>18</v>
      </c>
      <c r="H28" s="6">
        <v>9</v>
      </c>
      <c r="I28" s="6">
        <v>1</v>
      </c>
      <c r="J28" s="6">
        <f t="shared" si="0"/>
        <v>10</v>
      </c>
      <c r="K28" s="36">
        <v>2</v>
      </c>
      <c r="L28" s="39">
        <f t="shared" si="1"/>
        <v>44</v>
      </c>
      <c r="M28" s="39">
        <f t="shared" si="2"/>
        <v>1</v>
      </c>
      <c r="N28" s="37" t="str">
        <f t="shared" si="3"/>
        <v>PASS</v>
      </c>
    </row>
    <row r="29" spans="4:19" x14ac:dyDescent="0.35">
      <c r="D29" s="6">
        <v>15</v>
      </c>
      <c r="E29" s="6" t="s">
        <v>568</v>
      </c>
      <c r="F29" s="6">
        <v>9</v>
      </c>
      <c r="G29" s="6">
        <v>3</v>
      </c>
      <c r="H29" s="6">
        <v>9</v>
      </c>
      <c r="I29" s="6">
        <v>16</v>
      </c>
      <c r="J29" s="6">
        <f t="shared" si="0"/>
        <v>25</v>
      </c>
      <c r="K29" s="36">
        <v>10</v>
      </c>
      <c r="L29" s="39">
        <f t="shared" si="1"/>
        <v>47</v>
      </c>
      <c r="M29" s="39">
        <f t="shared" si="2"/>
        <v>1</v>
      </c>
      <c r="N29" s="37" t="str">
        <f t="shared" si="3"/>
        <v>PASS</v>
      </c>
    </row>
    <row r="30" spans="4:19" x14ac:dyDescent="0.35">
      <c r="D30" s="6">
        <v>16</v>
      </c>
      <c r="E30" s="6" t="s">
        <v>204</v>
      </c>
      <c r="F30" s="6">
        <v>11</v>
      </c>
      <c r="G30" s="6">
        <v>9</v>
      </c>
      <c r="H30" s="6">
        <v>0</v>
      </c>
      <c r="I30" s="6">
        <v>5</v>
      </c>
      <c r="J30" s="6">
        <f t="shared" si="0"/>
        <v>5</v>
      </c>
      <c r="K30" s="36">
        <v>8</v>
      </c>
      <c r="L30" s="39">
        <f t="shared" si="1"/>
        <v>33</v>
      </c>
      <c r="M30" s="39">
        <f t="shared" si="2"/>
        <v>0</v>
      </c>
      <c r="N30" s="37" t="str">
        <f t="shared" si="3"/>
        <v>FAIL</v>
      </c>
    </row>
    <row r="31" spans="4:19" x14ac:dyDescent="0.35">
      <c r="D31" s="6">
        <v>17</v>
      </c>
      <c r="E31" s="6" t="s">
        <v>209</v>
      </c>
      <c r="F31" s="6">
        <v>18</v>
      </c>
      <c r="G31" s="6">
        <v>6</v>
      </c>
      <c r="H31" s="6">
        <v>8</v>
      </c>
      <c r="I31" s="6">
        <v>15</v>
      </c>
      <c r="J31" s="6">
        <f t="shared" si="0"/>
        <v>23</v>
      </c>
      <c r="K31" s="36">
        <v>25</v>
      </c>
      <c r="L31" s="39">
        <f t="shared" si="1"/>
        <v>72</v>
      </c>
      <c r="M31" s="39">
        <f t="shared" si="2"/>
        <v>2</v>
      </c>
      <c r="N31" s="37" t="str">
        <f t="shared" si="3"/>
        <v>PASS</v>
      </c>
    </row>
    <row r="32" spans="4:19" x14ac:dyDescent="0.35">
      <c r="D32" s="6">
        <v>18</v>
      </c>
      <c r="E32" s="6" t="s">
        <v>214</v>
      </c>
      <c r="F32" s="6">
        <v>15</v>
      </c>
      <c r="G32" s="6">
        <v>3</v>
      </c>
      <c r="H32" s="6">
        <v>7</v>
      </c>
      <c r="I32" s="6">
        <v>1</v>
      </c>
      <c r="J32" s="6">
        <f t="shared" si="0"/>
        <v>8</v>
      </c>
      <c r="K32" s="36">
        <v>29</v>
      </c>
      <c r="L32" s="39">
        <f t="shared" si="1"/>
        <v>55</v>
      </c>
      <c r="M32" s="39">
        <f t="shared" si="2"/>
        <v>2</v>
      </c>
      <c r="N32" s="37" t="str">
        <f t="shared" si="3"/>
        <v>PASS</v>
      </c>
    </row>
    <row r="33" spans="4:14" x14ac:dyDescent="0.35">
      <c r="D33" s="6">
        <v>19</v>
      </c>
      <c r="E33" s="6" t="s">
        <v>219</v>
      </c>
      <c r="F33" s="6">
        <v>5</v>
      </c>
      <c r="G33" s="6">
        <v>3</v>
      </c>
      <c r="H33" s="6">
        <v>8</v>
      </c>
      <c r="I33" s="6">
        <v>10</v>
      </c>
      <c r="J33" s="6">
        <f t="shared" si="0"/>
        <v>18</v>
      </c>
      <c r="K33" s="36">
        <v>20</v>
      </c>
      <c r="L33" s="39">
        <f t="shared" si="1"/>
        <v>46</v>
      </c>
      <c r="M33" s="39">
        <f t="shared" si="2"/>
        <v>1</v>
      </c>
      <c r="N33" s="37" t="str">
        <f t="shared" si="3"/>
        <v>PASS</v>
      </c>
    </row>
    <row r="34" spans="4:14" x14ac:dyDescent="0.35">
      <c r="D34" s="6">
        <v>20</v>
      </c>
      <c r="E34" s="6" t="s">
        <v>224</v>
      </c>
      <c r="F34" s="6">
        <v>8</v>
      </c>
      <c r="G34" s="6">
        <v>15</v>
      </c>
      <c r="H34" s="6">
        <v>1</v>
      </c>
      <c r="I34" s="6">
        <v>5</v>
      </c>
      <c r="J34" s="6">
        <f t="shared" si="0"/>
        <v>6</v>
      </c>
      <c r="K34" s="36">
        <v>24</v>
      </c>
      <c r="L34" s="39">
        <f t="shared" si="1"/>
        <v>53</v>
      </c>
      <c r="M34" s="39">
        <f t="shared" si="2"/>
        <v>2</v>
      </c>
      <c r="N34" s="37" t="str">
        <f t="shared" si="3"/>
        <v>PASS</v>
      </c>
    </row>
    <row r="35" spans="4:14" x14ac:dyDescent="0.35">
      <c r="D35" s="6">
        <f>'SUB-3'!D35</f>
        <v>21</v>
      </c>
      <c r="E35" s="6" t="str">
        <f>'SUB-3'!E35</f>
        <v>BTMC24O1021</v>
      </c>
      <c r="F35" s="6">
        <v>19</v>
      </c>
      <c r="G35" s="6">
        <v>19</v>
      </c>
      <c r="H35" s="6">
        <v>9</v>
      </c>
      <c r="I35" s="6">
        <v>19</v>
      </c>
      <c r="J35" s="6">
        <f t="shared" si="0"/>
        <v>28</v>
      </c>
      <c r="K35" s="36">
        <v>30</v>
      </c>
      <c r="L35" s="39">
        <f t="shared" si="1"/>
        <v>96</v>
      </c>
      <c r="M35" s="39">
        <f t="shared" ref="M35" si="4">IF(L35&gt;75,3,IF(L35&gt;50,2,IF(L35&gt;35,1,0)))</f>
        <v>3</v>
      </c>
      <c r="N35" s="37" t="str">
        <f t="shared" ref="N35" si="5">IF(L35&lt;35,"FAIL","PASS")</f>
        <v>PASS</v>
      </c>
    </row>
    <row r="36" spans="4:14" x14ac:dyDescent="0.35">
      <c r="D36" s="6">
        <f>'SUB-3'!D36</f>
        <v>22</v>
      </c>
      <c r="E36" s="6" t="str">
        <f>'SUB-3'!E36</f>
        <v>BTMC24O1022</v>
      </c>
      <c r="F36" s="6">
        <v>11</v>
      </c>
      <c r="G36" s="6">
        <v>6</v>
      </c>
      <c r="H36" s="6">
        <v>0</v>
      </c>
      <c r="I36" s="6">
        <v>7</v>
      </c>
      <c r="J36" s="6">
        <f t="shared" ref="J36:J99" si="6">H36+I36</f>
        <v>7</v>
      </c>
      <c r="K36" s="36">
        <v>30</v>
      </c>
      <c r="L36" s="39">
        <f t="shared" ref="L36:L99" si="7">K36+J36+G36+F36</f>
        <v>54</v>
      </c>
      <c r="M36" s="39">
        <f t="shared" ref="M36:M99" si="8">IF(L36&gt;75,3,IF(L36&gt;50,2,IF(L36&gt;35,1,0)))</f>
        <v>2</v>
      </c>
      <c r="N36" s="37" t="str">
        <f t="shared" ref="N36:N99" si="9">IF(L36&lt;35,"FAIL","PASS")</f>
        <v>PASS</v>
      </c>
    </row>
    <row r="37" spans="4:14" x14ac:dyDescent="0.35">
      <c r="D37" s="6">
        <f>'SUB-3'!D37</f>
        <v>23</v>
      </c>
      <c r="E37" s="6" t="str">
        <f>'SUB-3'!E37</f>
        <v>BTMC24O1023</v>
      </c>
      <c r="F37" s="6">
        <v>19</v>
      </c>
      <c r="G37" s="6">
        <v>5</v>
      </c>
      <c r="H37" s="6">
        <v>10</v>
      </c>
      <c r="I37" s="6">
        <v>11</v>
      </c>
      <c r="J37" s="6">
        <f t="shared" si="6"/>
        <v>21</v>
      </c>
      <c r="K37" s="36">
        <v>0</v>
      </c>
      <c r="L37" s="39">
        <f t="shared" si="7"/>
        <v>45</v>
      </c>
      <c r="M37" s="39">
        <f t="shared" si="8"/>
        <v>1</v>
      </c>
      <c r="N37" s="37" t="str">
        <f t="shared" si="9"/>
        <v>PASS</v>
      </c>
    </row>
    <row r="38" spans="4:14" x14ac:dyDescent="0.35">
      <c r="D38" s="6">
        <f>'SUB-3'!D38</f>
        <v>24</v>
      </c>
      <c r="E38" s="6" t="str">
        <f>'SUB-3'!E38</f>
        <v>BTMC24O1024</v>
      </c>
      <c r="F38" s="6">
        <v>20</v>
      </c>
      <c r="G38" s="6">
        <v>14</v>
      </c>
      <c r="H38" s="6">
        <v>7</v>
      </c>
      <c r="I38" s="6">
        <v>12</v>
      </c>
      <c r="J38" s="6">
        <f t="shared" si="6"/>
        <v>19</v>
      </c>
      <c r="K38" s="36">
        <v>4</v>
      </c>
      <c r="L38" s="39">
        <f t="shared" si="7"/>
        <v>57</v>
      </c>
      <c r="M38" s="39">
        <f t="shared" si="8"/>
        <v>2</v>
      </c>
      <c r="N38" s="37" t="str">
        <f t="shared" si="9"/>
        <v>PASS</v>
      </c>
    </row>
    <row r="39" spans="4:14" x14ac:dyDescent="0.35">
      <c r="D39" s="6">
        <f>'SUB-3'!D39</f>
        <v>25</v>
      </c>
      <c r="E39" s="6" t="str">
        <f>'SUB-3'!E39</f>
        <v>BTMC24O1025</v>
      </c>
      <c r="F39" s="6">
        <v>15</v>
      </c>
      <c r="G39" s="6">
        <v>1</v>
      </c>
      <c r="H39" s="6">
        <v>4</v>
      </c>
      <c r="I39" s="6">
        <v>4</v>
      </c>
      <c r="J39" s="6">
        <f t="shared" si="6"/>
        <v>8</v>
      </c>
      <c r="K39" s="36">
        <v>7</v>
      </c>
      <c r="L39" s="39">
        <f t="shared" si="7"/>
        <v>31</v>
      </c>
      <c r="M39" s="39">
        <f t="shared" si="8"/>
        <v>0</v>
      </c>
      <c r="N39" s="37" t="str">
        <f t="shared" si="9"/>
        <v>FAIL</v>
      </c>
    </row>
    <row r="40" spans="4:14" x14ac:dyDescent="0.35">
      <c r="D40" s="6">
        <f>'SUB-3'!D40</f>
        <v>26</v>
      </c>
      <c r="E40" s="6" t="str">
        <f>'SUB-3'!E40</f>
        <v>BTMC24O1026</v>
      </c>
      <c r="F40" s="6">
        <v>20</v>
      </c>
      <c r="G40" s="6">
        <v>12</v>
      </c>
      <c r="H40" s="6">
        <v>10</v>
      </c>
      <c r="I40" s="6">
        <v>3</v>
      </c>
      <c r="J40" s="6">
        <f t="shared" si="6"/>
        <v>13</v>
      </c>
      <c r="K40" s="36">
        <v>29</v>
      </c>
      <c r="L40" s="39">
        <f t="shared" si="7"/>
        <v>74</v>
      </c>
      <c r="M40" s="39">
        <f t="shared" si="8"/>
        <v>2</v>
      </c>
      <c r="N40" s="37" t="str">
        <f t="shared" si="9"/>
        <v>PASS</v>
      </c>
    </row>
    <row r="41" spans="4:14" x14ac:dyDescent="0.35">
      <c r="D41" s="6">
        <f>'SUB-3'!D41</f>
        <v>27</v>
      </c>
      <c r="E41" s="6" t="str">
        <f>'SUB-3'!E41</f>
        <v>BTMC24O1027</v>
      </c>
      <c r="F41" s="6">
        <v>14</v>
      </c>
      <c r="G41" s="6">
        <v>10</v>
      </c>
      <c r="H41" s="6">
        <v>5</v>
      </c>
      <c r="I41" s="6">
        <v>8</v>
      </c>
      <c r="J41" s="6">
        <f t="shared" si="6"/>
        <v>13</v>
      </c>
      <c r="K41" s="36">
        <v>24</v>
      </c>
      <c r="L41" s="39">
        <f t="shared" si="7"/>
        <v>61</v>
      </c>
      <c r="M41" s="39">
        <f t="shared" si="8"/>
        <v>2</v>
      </c>
      <c r="N41" s="37" t="str">
        <f t="shared" si="9"/>
        <v>PASS</v>
      </c>
    </row>
    <row r="42" spans="4:14" x14ac:dyDescent="0.35">
      <c r="D42" s="6">
        <f>'SUB-3'!D42</f>
        <v>28</v>
      </c>
      <c r="E42" s="6" t="str">
        <f>'SUB-3'!E42</f>
        <v>BTMC24O1028</v>
      </c>
      <c r="F42" s="6">
        <v>16</v>
      </c>
      <c r="G42" s="6">
        <v>12</v>
      </c>
      <c r="H42" s="6">
        <v>2</v>
      </c>
      <c r="I42" s="6">
        <v>8</v>
      </c>
      <c r="J42" s="6">
        <f t="shared" si="6"/>
        <v>10</v>
      </c>
      <c r="K42" s="36">
        <v>27</v>
      </c>
      <c r="L42" s="39">
        <f t="shared" si="7"/>
        <v>65</v>
      </c>
      <c r="M42" s="39">
        <f t="shared" si="8"/>
        <v>2</v>
      </c>
      <c r="N42" s="37" t="str">
        <f t="shared" si="9"/>
        <v>PASS</v>
      </c>
    </row>
    <row r="43" spans="4:14" x14ac:dyDescent="0.35">
      <c r="D43" s="6">
        <f>'SUB-3'!D43</f>
        <v>29</v>
      </c>
      <c r="E43" s="6" t="str">
        <f>'SUB-3'!E43</f>
        <v>BTMC24O1029</v>
      </c>
      <c r="F43" s="6">
        <v>16</v>
      </c>
      <c r="G43" s="6">
        <v>11</v>
      </c>
      <c r="H43" s="6">
        <v>3</v>
      </c>
      <c r="I43" s="6">
        <v>18</v>
      </c>
      <c r="J43" s="6">
        <f t="shared" si="6"/>
        <v>21</v>
      </c>
      <c r="K43" s="36">
        <v>11</v>
      </c>
      <c r="L43" s="39">
        <f t="shared" si="7"/>
        <v>59</v>
      </c>
      <c r="M43" s="39">
        <f t="shared" si="8"/>
        <v>2</v>
      </c>
      <c r="N43" s="37" t="str">
        <f t="shared" si="9"/>
        <v>PASS</v>
      </c>
    </row>
    <row r="44" spans="4:14" x14ac:dyDescent="0.35">
      <c r="D44" s="6">
        <f>'SUB-3'!D44</f>
        <v>30</v>
      </c>
      <c r="E44" s="6" t="str">
        <f>'SUB-3'!E44</f>
        <v>BTMC24O1030</v>
      </c>
      <c r="F44" s="6">
        <v>2</v>
      </c>
      <c r="G44" s="6">
        <v>8</v>
      </c>
      <c r="H44" s="6">
        <v>2</v>
      </c>
      <c r="I44" s="6">
        <v>14</v>
      </c>
      <c r="J44" s="6">
        <f t="shared" si="6"/>
        <v>16</v>
      </c>
      <c r="K44" s="36">
        <v>19</v>
      </c>
      <c r="L44" s="39">
        <f t="shared" si="7"/>
        <v>45</v>
      </c>
      <c r="M44" s="39">
        <f t="shared" si="8"/>
        <v>1</v>
      </c>
      <c r="N44" s="37" t="str">
        <f t="shared" si="9"/>
        <v>PASS</v>
      </c>
    </row>
    <row r="45" spans="4:14" x14ac:dyDescent="0.35">
      <c r="D45" s="6">
        <f>'SUB-3'!D45</f>
        <v>31</v>
      </c>
      <c r="E45" s="6" t="str">
        <f>'SUB-3'!E45</f>
        <v>BTMC24O1031</v>
      </c>
      <c r="F45" s="6">
        <v>19</v>
      </c>
      <c r="G45" s="6">
        <v>6</v>
      </c>
      <c r="H45" s="6">
        <v>5</v>
      </c>
      <c r="I45" s="6">
        <v>20</v>
      </c>
      <c r="J45" s="6">
        <f t="shared" si="6"/>
        <v>25</v>
      </c>
      <c r="K45" s="36">
        <v>9</v>
      </c>
      <c r="L45" s="39">
        <f t="shared" si="7"/>
        <v>59</v>
      </c>
      <c r="M45" s="39">
        <f t="shared" si="8"/>
        <v>2</v>
      </c>
      <c r="N45" s="37" t="str">
        <f t="shared" si="9"/>
        <v>PASS</v>
      </c>
    </row>
    <row r="46" spans="4:14" x14ac:dyDescent="0.35">
      <c r="D46" s="6">
        <f>'SUB-3'!D46</f>
        <v>32</v>
      </c>
      <c r="E46" s="6" t="str">
        <f>'SUB-3'!E46</f>
        <v>BTMC24O1032</v>
      </c>
      <c r="F46" s="6">
        <v>0</v>
      </c>
      <c r="G46" s="6">
        <v>20</v>
      </c>
      <c r="H46" s="6">
        <v>6</v>
      </c>
      <c r="I46" s="6">
        <v>2</v>
      </c>
      <c r="J46" s="6">
        <f t="shared" si="6"/>
        <v>8</v>
      </c>
      <c r="K46" s="36">
        <v>3</v>
      </c>
      <c r="L46" s="39">
        <f t="shared" si="7"/>
        <v>31</v>
      </c>
      <c r="M46" s="39">
        <f t="shared" si="8"/>
        <v>0</v>
      </c>
      <c r="N46" s="37" t="str">
        <f t="shared" si="9"/>
        <v>FAIL</v>
      </c>
    </row>
    <row r="47" spans="4:14" x14ac:dyDescent="0.35">
      <c r="D47" s="6">
        <f>'SUB-3'!D47</f>
        <v>33</v>
      </c>
      <c r="E47" s="6" t="str">
        <f>'SUB-3'!E47</f>
        <v>BTMC24O1033</v>
      </c>
      <c r="F47" s="6">
        <v>15</v>
      </c>
      <c r="G47" s="6">
        <v>17</v>
      </c>
      <c r="H47" s="6">
        <v>2</v>
      </c>
      <c r="I47" s="6">
        <v>15</v>
      </c>
      <c r="J47" s="6">
        <f t="shared" si="6"/>
        <v>17</v>
      </c>
      <c r="K47" s="36">
        <v>12</v>
      </c>
      <c r="L47" s="39">
        <f t="shared" si="7"/>
        <v>61</v>
      </c>
      <c r="M47" s="39">
        <f t="shared" si="8"/>
        <v>2</v>
      </c>
      <c r="N47" s="37" t="str">
        <f t="shared" si="9"/>
        <v>PASS</v>
      </c>
    </row>
    <row r="48" spans="4:14" x14ac:dyDescent="0.35">
      <c r="D48" s="6">
        <f>'SUB-3'!D48</f>
        <v>34</v>
      </c>
      <c r="E48" s="6" t="str">
        <f>'SUB-3'!E48</f>
        <v>BTMC24O1034</v>
      </c>
      <c r="F48" s="6">
        <v>11</v>
      </c>
      <c r="G48" s="6">
        <v>10</v>
      </c>
      <c r="H48" s="6">
        <v>6</v>
      </c>
      <c r="I48" s="6">
        <v>19</v>
      </c>
      <c r="J48" s="6">
        <f t="shared" si="6"/>
        <v>25</v>
      </c>
      <c r="K48" s="36">
        <v>20</v>
      </c>
      <c r="L48" s="39">
        <f t="shared" si="7"/>
        <v>66</v>
      </c>
      <c r="M48" s="39">
        <f t="shared" si="8"/>
        <v>2</v>
      </c>
      <c r="N48" s="37" t="str">
        <f t="shared" si="9"/>
        <v>PASS</v>
      </c>
    </row>
    <row r="49" spans="4:14" x14ac:dyDescent="0.35">
      <c r="D49" s="6">
        <f>'SUB-3'!D49</f>
        <v>35</v>
      </c>
      <c r="E49" s="6" t="str">
        <f>'SUB-3'!E49</f>
        <v>BTMC24O1035</v>
      </c>
      <c r="F49" s="6">
        <v>4</v>
      </c>
      <c r="G49" s="6">
        <v>0</v>
      </c>
      <c r="H49" s="6">
        <v>6</v>
      </c>
      <c r="I49" s="6">
        <v>20</v>
      </c>
      <c r="J49" s="6">
        <f t="shared" si="6"/>
        <v>26</v>
      </c>
      <c r="K49" s="36">
        <v>26</v>
      </c>
      <c r="L49" s="39">
        <f t="shared" si="7"/>
        <v>56</v>
      </c>
      <c r="M49" s="39">
        <f t="shared" si="8"/>
        <v>2</v>
      </c>
      <c r="N49" s="37" t="str">
        <f t="shared" si="9"/>
        <v>PASS</v>
      </c>
    </row>
    <row r="50" spans="4:14" x14ac:dyDescent="0.35">
      <c r="D50" s="6">
        <f>'SUB-3'!D50</f>
        <v>36</v>
      </c>
      <c r="E50" s="6" t="str">
        <f>'SUB-3'!E50</f>
        <v>BTMC24O1036</v>
      </c>
      <c r="F50" s="6">
        <v>15</v>
      </c>
      <c r="G50" s="6">
        <v>6</v>
      </c>
      <c r="H50" s="6">
        <v>0</v>
      </c>
      <c r="I50" s="6">
        <v>9</v>
      </c>
      <c r="J50" s="6">
        <f t="shared" si="6"/>
        <v>9</v>
      </c>
      <c r="K50" s="36">
        <v>28</v>
      </c>
      <c r="L50" s="39">
        <f t="shared" si="7"/>
        <v>58</v>
      </c>
      <c r="M50" s="39">
        <f t="shared" si="8"/>
        <v>2</v>
      </c>
      <c r="N50" s="37" t="str">
        <f t="shared" si="9"/>
        <v>PASS</v>
      </c>
    </row>
    <row r="51" spans="4:14" x14ac:dyDescent="0.35">
      <c r="D51" s="6">
        <f>'SUB-3'!D51</f>
        <v>37</v>
      </c>
      <c r="E51" s="6" t="str">
        <f>'SUB-3'!E51</f>
        <v>BTMC24O1037</v>
      </c>
      <c r="F51" s="6">
        <v>7</v>
      </c>
      <c r="G51" s="6">
        <v>17</v>
      </c>
      <c r="H51" s="6">
        <v>4</v>
      </c>
      <c r="I51" s="6">
        <v>1</v>
      </c>
      <c r="J51" s="6">
        <f t="shared" si="6"/>
        <v>5</v>
      </c>
      <c r="K51" s="36">
        <v>7</v>
      </c>
      <c r="L51" s="39">
        <f t="shared" si="7"/>
        <v>36</v>
      </c>
      <c r="M51" s="39">
        <f t="shared" si="8"/>
        <v>1</v>
      </c>
      <c r="N51" s="37" t="str">
        <f t="shared" si="9"/>
        <v>PASS</v>
      </c>
    </row>
    <row r="52" spans="4:14" x14ac:dyDescent="0.35">
      <c r="D52" s="6">
        <f>'SUB-3'!D52</f>
        <v>38</v>
      </c>
      <c r="E52" s="6" t="str">
        <f>'SUB-3'!E52</f>
        <v>BTMC24O1038</v>
      </c>
      <c r="F52" s="6">
        <v>12</v>
      </c>
      <c r="G52" s="6">
        <v>17</v>
      </c>
      <c r="H52" s="6">
        <v>7</v>
      </c>
      <c r="I52" s="6">
        <v>16</v>
      </c>
      <c r="J52" s="6">
        <f t="shared" si="6"/>
        <v>23</v>
      </c>
      <c r="K52" s="36">
        <v>13</v>
      </c>
      <c r="L52" s="39">
        <f t="shared" si="7"/>
        <v>65</v>
      </c>
      <c r="M52" s="39">
        <f t="shared" si="8"/>
        <v>2</v>
      </c>
      <c r="N52" s="37" t="str">
        <f t="shared" si="9"/>
        <v>PASS</v>
      </c>
    </row>
    <row r="53" spans="4:14" x14ac:dyDescent="0.35">
      <c r="D53" s="6">
        <f>'SUB-3'!D53</f>
        <v>39</v>
      </c>
      <c r="E53" s="6" t="str">
        <f>'SUB-3'!E53</f>
        <v>BTMC24O1039</v>
      </c>
      <c r="F53" s="6">
        <v>16</v>
      </c>
      <c r="G53" s="6">
        <v>3</v>
      </c>
      <c r="H53" s="6">
        <v>5</v>
      </c>
      <c r="I53" s="6">
        <v>14</v>
      </c>
      <c r="J53" s="6">
        <f t="shared" si="6"/>
        <v>19</v>
      </c>
      <c r="K53" s="36">
        <v>3</v>
      </c>
      <c r="L53" s="39">
        <f t="shared" si="7"/>
        <v>41</v>
      </c>
      <c r="M53" s="39">
        <f t="shared" si="8"/>
        <v>1</v>
      </c>
      <c r="N53" s="37" t="str">
        <f t="shared" si="9"/>
        <v>PASS</v>
      </c>
    </row>
    <row r="54" spans="4:14" x14ac:dyDescent="0.35">
      <c r="D54" s="6">
        <f>'SUB-3'!D54</f>
        <v>40</v>
      </c>
      <c r="E54" s="6" t="str">
        <f>'SUB-3'!E54</f>
        <v>BTMC24O1040</v>
      </c>
      <c r="F54" s="6">
        <v>0</v>
      </c>
      <c r="G54" s="6">
        <v>18</v>
      </c>
      <c r="H54" s="6">
        <v>5</v>
      </c>
      <c r="I54" s="6">
        <v>13</v>
      </c>
      <c r="J54" s="6">
        <f t="shared" si="6"/>
        <v>18</v>
      </c>
      <c r="K54" s="36">
        <v>19</v>
      </c>
      <c r="L54" s="39">
        <f t="shared" si="7"/>
        <v>55</v>
      </c>
      <c r="M54" s="39">
        <f t="shared" si="8"/>
        <v>2</v>
      </c>
      <c r="N54" s="37" t="str">
        <f t="shared" si="9"/>
        <v>PASS</v>
      </c>
    </row>
    <row r="55" spans="4:14" x14ac:dyDescent="0.35">
      <c r="D55" s="6">
        <f>'SUB-3'!D55</f>
        <v>41</v>
      </c>
      <c r="E55" s="6" t="str">
        <f>'SUB-3'!E55</f>
        <v>BTMC24O1041</v>
      </c>
      <c r="F55" s="6">
        <v>18</v>
      </c>
      <c r="G55" s="6">
        <v>14</v>
      </c>
      <c r="H55" s="6">
        <v>8</v>
      </c>
      <c r="I55" s="6">
        <v>19</v>
      </c>
      <c r="J55" s="6">
        <f t="shared" si="6"/>
        <v>27</v>
      </c>
      <c r="K55" s="36">
        <v>18</v>
      </c>
      <c r="L55" s="39">
        <f t="shared" si="7"/>
        <v>77</v>
      </c>
      <c r="M55" s="39">
        <f t="shared" si="8"/>
        <v>3</v>
      </c>
      <c r="N55" s="37" t="str">
        <f t="shared" si="9"/>
        <v>PASS</v>
      </c>
    </row>
    <row r="56" spans="4:14" x14ac:dyDescent="0.35">
      <c r="D56" s="6">
        <f>'SUB-3'!D56</f>
        <v>42</v>
      </c>
      <c r="E56" s="6" t="str">
        <f>'SUB-3'!E56</f>
        <v>BTMC24O1042</v>
      </c>
      <c r="F56" s="6">
        <v>20</v>
      </c>
      <c r="G56" s="6">
        <v>5</v>
      </c>
      <c r="H56" s="6">
        <v>6</v>
      </c>
      <c r="I56" s="6">
        <v>0</v>
      </c>
      <c r="J56" s="6">
        <f t="shared" si="6"/>
        <v>6</v>
      </c>
      <c r="K56" s="36">
        <v>22</v>
      </c>
      <c r="L56" s="39">
        <f t="shared" si="7"/>
        <v>53</v>
      </c>
      <c r="M56" s="39">
        <f t="shared" si="8"/>
        <v>2</v>
      </c>
      <c r="N56" s="37" t="str">
        <f t="shared" si="9"/>
        <v>PASS</v>
      </c>
    </row>
    <row r="57" spans="4:14" x14ac:dyDescent="0.35">
      <c r="D57" s="6">
        <f>'SUB-3'!D57</f>
        <v>43</v>
      </c>
      <c r="E57" s="6" t="str">
        <f>'SUB-3'!E57</f>
        <v>BTMC24O1043</v>
      </c>
      <c r="F57" s="6">
        <v>6</v>
      </c>
      <c r="G57" s="6">
        <v>7</v>
      </c>
      <c r="H57" s="6">
        <v>2</v>
      </c>
      <c r="I57" s="6">
        <v>12</v>
      </c>
      <c r="J57" s="6">
        <f t="shared" si="6"/>
        <v>14</v>
      </c>
      <c r="K57" s="36">
        <v>15</v>
      </c>
      <c r="L57" s="39">
        <f t="shared" si="7"/>
        <v>42</v>
      </c>
      <c r="M57" s="39">
        <f t="shared" si="8"/>
        <v>1</v>
      </c>
      <c r="N57" s="37" t="str">
        <f t="shared" si="9"/>
        <v>PASS</v>
      </c>
    </row>
    <row r="58" spans="4:14" x14ac:dyDescent="0.35">
      <c r="D58" s="6">
        <f>'SUB-3'!D58</f>
        <v>44</v>
      </c>
      <c r="E58" s="6" t="str">
        <f>'SUB-3'!E58</f>
        <v>BTMC24O1044</v>
      </c>
      <c r="F58" s="6">
        <v>3</v>
      </c>
      <c r="G58" s="6">
        <v>14</v>
      </c>
      <c r="H58" s="6">
        <v>9</v>
      </c>
      <c r="I58" s="6">
        <v>19</v>
      </c>
      <c r="J58" s="6">
        <f t="shared" si="6"/>
        <v>28</v>
      </c>
      <c r="K58" s="36">
        <v>12</v>
      </c>
      <c r="L58" s="39">
        <f t="shared" si="7"/>
        <v>57</v>
      </c>
      <c r="M58" s="39">
        <f t="shared" si="8"/>
        <v>2</v>
      </c>
      <c r="N58" s="37" t="str">
        <f t="shared" si="9"/>
        <v>PASS</v>
      </c>
    </row>
    <row r="59" spans="4:14" x14ac:dyDescent="0.35">
      <c r="D59" s="6">
        <f>'SUB-3'!D59</f>
        <v>45</v>
      </c>
      <c r="E59" s="6" t="str">
        <f>'SUB-3'!E59</f>
        <v>BTMC24O1045</v>
      </c>
      <c r="F59" s="6">
        <v>10</v>
      </c>
      <c r="G59" s="6">
        <v>19</v>
      </c>
      <c r="H59" s="6">
        <v>1</v>
      </c>
      <c r="I59" s="6">
        <v>7</v>
      </c>
      <c r="J59" s="6">
        <f t="shared" si="6"/>
        <v>8</v>
      </c>
      <c r="K59" s="36">
        <v>27</v>
      </c>
      <c r="L59" s="39">
        <f t="shared" si="7"/>
        <v>64</v>
      </c>
      <c r="M59" s="39">
        <f t="shared" si="8"/>
        <v>2</v>
      </c>
      <c r="N59" s="37" t="str">
        <f t="shared" si="9"/>
        <v>PASS</v>
      </c>
    </row>
    <row r="60" spans="4:14" x14ac:dyDescent="0.35">
      <c r="D60" s="6">
        <f>'SUB-3'!D60</f>
        <v>46</v>
      </c>
      <c r="E60" s="6" t="str">
        <f>'SUB-3'!E60</f>
        <v>BTMC24O1046</v>
      </c>
      <c r="F60" s="6">
        <v>19</v>
      </c>
      <c r="G60" s="6">
        <v>5</v>
      </c>
      <c r="H60" s="6">
        <v>4</v>
      </c>
      <c r="I60" s="6">
        <v>17</v>
      </c>
      <c r="J60" s="6">
        <f t="shared" si="6"/>
        <v>21</v>
      </c>
      <c r="K60" s="36">
        <v>22</v>
      </c>
      <c r="L60" s="39">
        <f t="shared" si="7"/>
        <v>67</v>
      </c>
      <c r="M60" s="39">
        <f t="shared" si="8"/>
        <v>2</v>
      </c>
      <c r="N60" s="37" t="str">
        <f t="shared" si="9"/>
        <v>PASS</v>
      </c>
    </row>
    <row r="61" spans="4:14" x14ac:dyDescent="0.35">
      <c r="D61" s="6">
        <f>'SUB-3'!D61</f>
        <v>47</v>
      </c>
      <c r="E61" s="6" t="str">
        <f>'SUB-3'!E61</f>
        <v>BTMC24O1047</v>
      </c>
      <c r="F61" s="6">
        <v>8</v>
      </c>
      <c r="G61" s="6">
        <v>13</v>
      </c>
      <c r="H61" s="6">
        <v>9</v>
      </c>
      <c r="I61" s="6">
        <v>4</v>
      </c>
      <c r="J61" s="6">
        <f t="shared" si="6"/>
        <v>13</v>
      </c>
      <c r="K61" s="36">
        <v>15</v>
      </c>
      <c r="L61" s="39">
        <f t="shared" si="7"/>
        <v>49</v>
      </c>
      <c r="M61" s="39">
        <f t="shared" si="8"/>
        <v>1</v>
      </c>
      <c r="N61" s="37" t="str">
        <f t="shared" si="9"/>
        <v>PASS</v>
      </c>
    </row>
    <row r="62" spans="4:14" x14ac:dyDescent="0.35">
      <c r="D62" s="6">
        <f>'SUB-3'!D62</f>
        <v>48</v>
      </c>
      <c r="E62" s="6" t="str">
        <f>'SUB-3'!E62</f>
        <v>BTMC24O1048</v>
      </c>
      <c r="F62" s="6">
        <v>19</v>
      </c>
      <c r="G62" s="6">
        <v>10</v>
      </c>
      <c r="H62" s="6">
        <v>2</v>
      </c>
      <c r="I62" s="6">
        <v>0</v>
      </c>
      <c r="J62" s="6">
        <f t="shared" si="6"/>
        <v>2</v>
      </c>
      <c r="K62" s="36">
        <v>30</v>
      </c>
      <c r="L62" s="39">
        <f t="shared" si="7"/>
        <v>61</v>
      </c>
      <c r="M62" s="39">
        <f t="shared" si="8"/>
        <v>2</v>
      </c>
      <c r="N62" s="37" t="str">
        <f t="shared" si="9"/>
        <v>PASS</v>
      </c>
    </row>
    <row r="63" spans="4:14" x14ac:dyDescent="0.35">
      <c r="D63" s="6">
        <f>'SUB-3'!D63</f>
        <v>49</v>
      </c>
      <c r="E63" s="6" t="str">
        <f>'SUB-3'!E63</f>
        <v>BTMC24O1049</v>
      </c>
      <c r="F63" s="6">
        <v>1</v>
      </c>
      <c r="G63" s="6">
        <v>12</v>
      </c>
      <c r="H63" s="6">
        <v>4</v>
      </c>
      <c r="I63" s="6">
        <v>15</v>
      </c>
      <c r="J63" s="6">
        <f t="shared" si="6"/>
        <v>19</v>
      </c>
      <c r="K63" s="36">
        <v>19</v>
      </c>
      <c r="L63" s="39">
        <f t="shared" si="7"/>
        <v>51</v>
      </c>
      <c r="M63" s="39">
        <f t="shared" si="8"/>
        <v>2</v>
      </c>
      <c r="N63" s="37" t="str">
        <f t="shared" si="9"/>
        <v>PASS</v>
      </c>
    </row>
    <row r="64" spans="4:14" x14ac:dyDescent="0.35">
      <c r="D64" s="6">
        <f>'SUB-3'!D64</f>
        <v>50</v>
      </c>
      <c r="E64" s="6" t="str">
        <f>'SUB-3'!E64</f>
        <v>BTMC24O1050</v>
      </c>
      <c r="F64" s="6">
        <v>16</v>
      </c>
      <c r="G64" s="6">
        <v>12</v>
      </c>
      <c r="H64" s="6">
        <v>4</v>
      </c>
      <c r="I64" s="6">
        <v>13</v>
      </c>
      <c r="J64" s="6">
        <f t="shared" si="6"/>
        <v>17</v>
      </c>
      <c r="K64" s="36">
        <v>19</v>
      </c>
      <c r="L64" s="39">
        <f t="shared" si="7"/>
        <v>64</v>
      </c>
      <c r="M64" s="39">
        <f t="shared" si="8"/>
        <v>2</v>
      </c>
      <c r="N64" s="37" t="str">
        <f t="shared" si="9"/>
        <v>PASS</v>
      </c>
    </row>
    <row r="65" spans="4:14" x14ac:dyDescent="0.35">
      <c r="D65" s="6">
        <f>'SUB-3'!D65</f>
        <v>51</v>
      </c>
      <c r="E65" s="6" t="str">
        <f>'SUB-3'!E65</f>
        <v>BTMC24O1051</v>
      </c>
      <c r="F65" s="6">
        <v>19</v>
      </c>
      <c r="G65" s="6">
        <v>5</v>
      </c>
      <c r="H65" s="6">
        <v>6</v>
      </c>
      <c r="I65" s="6">
        <v>20</v>
      </c>
      <c r="J65" s="6">
        <f t="shared" si="6"/>
        <v>26</v>
      </c>
      <c r="K65" s="36">
        <v>21</v>
      </c>
      <c r="L65" s="39">
        <f t="shared" si="7"/>
        <v>71</v>
      </c>
      <c r="M65" s="39">
        <f t="shared" si="8"/>
        <v>2</v>
      </c>
      <c r="N65" s="37" t="str">
        <f t="shared" si="9"/>
        <v>PASS</v>
      </c>
    </row>
    <row r="66" spans="4:14" x14ac:dyDescent="0.35">
      <c r="D66" s="6">
        <f>'SUB-3'!D66</f>
        <v>52</v>
      </c>
      <c r="E66" s="6" t="str">
        <f>'SUB-3'!E66</f>
        <v>BTMC24O1052</v>
      </c>
      <c r="F66" s="6">
        <v>20</v>
      </c>
      <c r="G66" s="6">
        <v>10</v>
      </c>
      <c r="H66" s="6">
        <v>0</v>
      </c>
      <c r="I66" s="6">
        <v>10</v>
      </c>
      <c r="J66" s="6">
        <f t="shared" si="6"/>
        <v>10</v>
      </c>
      <c r="K66" s="36">
        <v>18</v>
      </c>
      <c r="L66" s="39">
        <f t="shared" si="7"/>
        <v>58</v>
      </c>
      <c r="M66" s="39">
        <f t="shared" si="8"/>
        <v>2</v>
      </c>
      <c r="N66" s="37" t="str">
        <f t="shared" si="9"/>
        <v>PASS</v>
      </c>
    </row>
    <row r="67" spans="4:14" x14ac:dyDescent="0.35">
      <c r="D67" s="6">
        <f>'SUB-3'!D67</f>
        <v>53</v>
      </c>
      <c r="E67" s="6" t="str">
        <f>'SUB-3'!E67</f>
        <v>BTMC24O1053</v>
      </c>
      <c r="F67" s="6">
        <v>3</v>
      </c>
      <c r="G67" s="6">
        <v>15</v>
      </c>
      <c r="H67" s="6">
        <v>6</v>
      </c>
      <c r="I67" s="6">
        <v>11</v>
      </c>
      <c r="J67" s="6">
        <f t="shared" si="6"/>
        <v>17</v>
      </c>
      <c r="K67" s="36">
        <v>21</v>
      </c>
      <c r="L67" s="39">
        <f t="shared" si="7"/>
        <v>56</v>
      </c>
      <c r="M67" s="39">
        <f t="shared" si="8"/>
        <v>2</v>
      </c>
      <c r="N67" s="37" t="str">
        <f t="shared" si="9"/>
        <v>PASS</v>
      </c>
    </row>
    <row r="68" spans="4:14" x14ac:dyDescent="0.35">
      <c r="D68" s="6">
        <f>'SUB-3'!D68</f>
        <v>54</v>
      </c>
      <c r="E68" s="6" t="str">
        <f>'SUB-3'!E68</f>
        <v>BTMC24O1054</v>
      </c>
      <c r="F68" s="6">
        <v>8</v>
      </c>
      <c r="G68" s="6">
        <v>19</v>
      </c>
      <c r="H68" s="6">
        <v>5</v>
      </c>
      <c r="I68" s="6">
        <v>8</v>
      </c>
      <c r="J68" s="6">
        <f t="shared" si="6"/>
        <v>13</v>
      </c>
      <c r="K68" s="36">
        <v>22</v>
      </c>
      <c r="L68" s="39">
        <f t="shared" si="7"/>
        <v>62</v>
      </c>
      <c r="M68" s="39">
        <f t="shared" si="8"/>
        <v>2</v>
      </c>
      <c r="N68" s="37" t="str">
        <f t="shared" si="9"/>
        <v>PASS</v>
      </c>
    </row>
    <row r="69" spans="4:14" x14ac:dyDescent="0.35">
      <c r="D69" s="6">
        <f>'SUB-3'!D69</f>
        <v>55</v>
      </c>
      <c r="E69" s="6" t="str">
        <f>'SUB-3'!E69</f>
        <v>BTMC24O1055</v>
      </c>
      <c r="F69" s="6">
        <v>10</v>
      </c>
      <c r="G69" s="6">
        <v>0</v>
      </c>
      <c r="H69" s="6">
        <v>1</v>
      </c>
      <c r="I69" s="6">
        <v>19</v>
      </c>
      <c r="J69" s="6">
        <f t="shared" si="6"/>
        <v>20</v>
      </c>
      <c r="K69" s="36">
        <v>13</v>
      </c>
      <c r="L69" s="39">
        <f t="shared" si="7"/>
        <v>43</v>
      </c>
      <c r="M69" s="39">
        <f t="shared" si="8"/>
        <v>1</v>
      </c>
      <c r="N69" s="37" t="str">
        <f t="shared" si="9"/>
        <v>PASS</v>
      </c>
    </row>
    <row r="70" spans="4:14" x14ac:dyDescent="0.35">
      <c r="D70" s="6">
        <f>'SUB-3'!D70</f>
        <v>56</v>
      </c>
      <c r="E70" s="6" t="str">
        <f>'SUB-3'!E70</f>
        <v>BTMC24O1056</v>
      </c>
      <c r="F70" s="6">
        <v>4</v>
      </c>
      <c r="G70" s="6">
        <v>15</v>
      </c>
      <c r="H70" s="6">
        <v>9</v>
      </c>
      <c r="I70" s="6">
        <v>8</v>
      </c>
      <c r="J70" s="6">
        <f t="shared" si="6"/>
        <v>17</v>
      </c>
      <c r="K70" s="36">
        <v>9</v>
      </c>
      <c r="L70" s="39">
        <f t="shared" si="7"/>
        <v>45</v>
      </c>
      <c r="M70" s="39">
        <f t="shared" si="8"/>
        <v>1</v>
      </c>
      <c r="N70" s="37" t="str">
        <f t="shared" si="9"/>
        <v>PASS</v>
      </c>
    </row>
    <row r="71" spans="4:14" x14ac:dyDescent="0.35">
      <c r="D71" s="6">
        <f>'SUB-3'!D71</f>
        <v>57</v>
      </c>
      <c r="E71" s="6" t="str">
        <f>'SUB-3'!E71</f>
        <v>BTMC24O1057</v>
      </c>
      <c r="F71" s="6">
        <v>7</v>
      </c>
      <c r="G71" s="6">
        <v>11</v>
      </c>
      <c r="H71" s="6">
        <v>2</v>
      </c>
      <c r="I71" s="6">
        <v>14</v>
      </c>
      <c r="J71" s="6">
        <f t="shared" si="6"/>
        <v>16</v>
      </c>
      <c r="K71" s="36">
        <v>16</v>
      </c>
      <c r="L71" s="39">
        <f t="shared" si="7"/>
        <v>50</v>
      </c>
      <c r="M71" s="39">
        <f t="shared" si="8"/>
        <v>1</v>
      </c>
      <c r="N71" s="37" t="str">
        <f t="shared" si="9"/>
        <v>PASS</v>
      </c>
    </row>
    <row r="72" spans="4:14" x14ac:dyDescent="0.35">
      <c r="D72" s="6">
        <f>'SUB-3'!D72</f>
        <v>58</v>
      </c>
      <c r="E72" s="6" t="str">
        <f>'SUB-3'!E72</f>
        <v>BTMC24O1058</v>
      </c>
      <c r="F72" s="6">
        <v>11</v>
      </c>
      <c r="G72" s="6">
        <v>1</v>
      </c>
      <c r="H72" s="6">
        <v>5</v>
      </c>
      <c r="I72" s="6">
        <v>16</v>
      </c>
      <c r="J72" s="6">
        <f t="shared" si="6"/>
        <v>21</v>
      </c>
      <c r="K72" s="36">
        <v>10</v>
      </c>
      <c r="L72" s="39">
        <f t="shared" si="7"/>
        <v>43</v>
      </c>
      <c r="M72" s="39">
        <f t="shared" si="8"/>
        <v>1</v>
      </c>
      <c r="N72" s="37" t="str">
        <f t="shared" si="9"/>
        <v>PASS</v>
      </c>
    </row>
    <row r="73" spans="4:14" x14ac:dyDescent="0.35">
      <c r="D73" s="6">
        <f>'SUB-3'!D73</f>
        <v>59</v>
      </c>
      <c r="E73" s="6" t="str">
        <f>'SUB-3'!E73</f>
        <v>BTMC24O1059</v>
      </c>
      <c r="F73" s="6">
        <v>9</v>
      </c>
      <c r="G73" s="6">
        <v>15</v>
      </c>
      <c r="H73" s="6">
        <v>1</v>
      </c>
      <c r="I73" s="6">
        <v>18</v>
      </c>
      <c r="J73" s="6">
        <f t="shared" si="6"/>
        <v>19</v>
      </c>
      <c r="K73" s="36">
        <v>17</v>
      </c>
      <c r="L73" s="39">
        <f t="shared" si="7"/>
        <v>60</v>
      </c>
      <c r="M73" s="39">
        <f t="shared" si="8"/>
        <v>2</v>
      </c>
      <c r="N73" s="37" t="str">
        <f t="shared" si="9"/>
        <v>PASS</v>
      </c>
    </row>
    <row r="74" spans="4:14" x14ac:dyDescent="0.35">
      <c r="D74" s="6">
        <f>'SUB-3'!D74</f>
        <v>60</v>
      </c>
      <c r="E74" s="6" t="str">
        <f>'SUB-3'!E74</f>
        <v>BTMC24O1060</v>
      </c>
      <c r="F74" s="6">
        <v>4</v>
      </c>
      <c r="G74" s="6">
        <v>8</v>
      </c>
      <c r="H74" s="6">
        <v>7</v>
      </c>
      <c r="I74" s="6">
        <v>2</v>
      </c>
      <c r="J74" s="6">
        <f t="shared" si="6"/>
        <v>9</v>
      </c>
      <c r="K74" s="36">
        <v>20</v>
      </c>
      <c r="L74" s="39">
        <f t="shared" si="7"/>
        <v>41</v>
      </c>
      <c r="M74" s="39">
        <f t="shared" si="8"/>
        <v>1</v>
      </c>
      <c r="N74" s="37" t="str">
        <f t="shared" si="9"/>
        <v>PASS</v>
      </c>
    </row>
    <row r="75" spans="4:14" x14ac:dyDescent="0.35">
      <c r="D75" s="6">
        <f>'SUB-3'!D75</f>
        <v>61</v>
      </c>
      <c r="E75" s="6" t="str">
        <f>'SUB-3'!E75</f>
        <v>BTMC24O1061</v>
      </c>
      <c r="F75" s="6">
        <v>16</v>
      </c>
      <c r="G75" s="6">
        <v>18</v>
      </c>
      <c r="H75" s="6">
        <v>7</v>
      </c>
      <c r="I75" s="6">
        <v>2</v>
      </c>
      <c r="J75" s="6">
        <f t="shared" si="6"/>
        <v>9</v>
      </c>
      <c r="K75" s="36">
        <v>11</v>
      </c>
      <c r="L75" s="39">
        <f t="shared" si="7"/>
        <v>54</v>
      </c>
      <c r="M75" s="39">
        <f t="shared" si="8"/>
        <v>2</v>
      </c>
      <c r="N75" s="37" t="str">
        <f t="shared" si="9"/>
        <v>PASS</v>
      </c>
    </row>
    <row r="76" spans="4:14" x14ac:dyDescent="0.35">
      <c r="D76" s="6">
        <f>'SUB-3'!D76</f>
        <v>62</v>
      </c>
      <c r="E76" s="6" t="str">
        <f>'SUB-3'!E76</f>
        <v>BTMC24O1062</v>
      </c>
      <c r="F76" s="6">
        <v>1</v>
      </c>
      <c r="G76" s="6">
        <v>9</v>
      </c>
      <c r="H76" s="6">
        <v>3</v>
      </c>
      <c r="I76" s="6">
        <v>20</v>
      </c>
      <c r="J76" s="6">
        <f t="shared" si="6"/>
        <v>23</v>
      </c>
      <c r="K76" s="36">
        <v>22</v>
      </c>
      <c r="L76" s="39">
        <f t="shared" si="7"/>
        <v>55</v>
      </c>
      <c r="M76" s="39">
        <f t="shared" si="8"/>
        <v>2</v>
      </c>
      <c r="N76" s="37" t="str">
        <f t="shared" si="9"/>
        <v>PASS</v>
      </c>
    </row>
    <row r="77" spans="4:14" x14ac:dyDescent="0.35">
      <c r="D77" s="6">
        <f>'SUB-3'!D77</f>
        <v>63</v>
      </c>
      <c r="E77" s="6" t="str">
        <f>'SUB-3'!E77</f>
        <v>BTMC24O1063</v>
      </c>
      <c r="F77" s="6">
        <v>6</v>
      </c>
      <c r="G77" s="6">
        <v>15</v>
      </c>
      <c r="H77" s="6">
        <v>6</v>
      </c>
      <c r="I77" s="6">
        <v>15</v>
      </c>
      <c r="J77" s="6">
        <f t="shared" si="6"/>
        <v>21</v>
      </c>
      <c r="K77" s="36">
        <v>16</v>
      </c>
      <c r="L77" s="39">
        <f t="shared" si="7"/>
        <v>58</v>
      </c>
      <c r="M77" s="39">
        <f t="shared" si="8"/>
        <v>2</v>
      </c>
      <c r="N77" s="37" t="str">
        <f t="shared" si="9"/>
        <v>PASS</v>
      </c>
    </row>
    <row r="78" spans="4:14" x14ac:dyDescent="0.35">
      <c r="D78" s="6">
        <f>'SUB-3'!D78</f>
        <v>64</v>
      </c>
      <c r="E78" s="6" t="str">
        <f>'SUB-3'!E78</f>
        <v>BTMC24O1064</v>
      </c>
      <c r="F78" s="6">
        <v>5</v>
      </c>
      <c r="G78" s="6">
        <v>9</v>
      </c>
      <c r="H78" s="6">
        <v>1</v>
      </c>
      <c r="I78" s="6">
        <v>11</v>
      </c>
      <c r="J78" s="6">
        <f t="shared" si="6"/>
        <v>12</v>
      </c>
      <c r="K78" s="36">
        <v>8</v>
      </c>
      <c r="L78" s="39">
        <f t="shared" si="7"/>
        <v>34</v>
      </c>
      <c r="M78" s="39">
        <f t="shared" si="8"/>
        <v>0</v>
      </c>
      <c r="N78" s="37" t="str">
        <f t="shared" si="9"/>
        <v>FAIL</v>
      </c>
    </row>
    <row r="79" spans="4:14" x14ac:dyDescent="0.35">
      <c r="D79" s="6">
        <f>'SUB-3'!D79</f>
        <v>65</v>
      </c>
      <c r="E79" s="6" t="str">
        <f>'SUB-3'!E79</f>
        <v>BTMC24O1065</v>
      </c>
      <c r="F79" s="6">
        <v>4</v>
      </c>
      <c r="G79" s="6">
        <v>11</v>
      </c>
      <c r="H79" s="6">
        <v>4</v>
      </c>
      <c r="I79" s="6">
        <v>5</v>
      </c>
      <c r="J79" s="6">
        <f t="shared" si="6"/>
        <v>9</v>
      </c>
      <c r="K79" s="36">
        <v>10</v>
      </c>
      <c r="L79" s="39">
        <f t="shared" si="7"/>
        <v>34</v>
      </c>
      <c r="M79" s="39">
        <f t="shared" si="8"/>
        <v>0</v>
      </c>
      <c r="N79" s="37" t="str">
        <f t="shared" si="9"/>
        <v>FAIL</v>
      </c>
    </row>
    <row r="80" spans="4:14" x14ac:dyDescent="0.35">
      <c r="D80" s="6">
        <f>'SUB-3'!D80</f>
        <v>66</v>
      </c>
      <c r="E80" s="6" t="str">
        <f>'SUB-3'!E80</f>
        <v>BTMC24O1066</v>
      </c>
      <c r="F80" s="6">
        <v>15</v>
      </c>
      <c r="G80" s="6">
        <v>14</v>
      </c>
      <c r="H80" s="6">
        <v>5</v>
      </c>
      <c r="I80" s="6">
        <v>18</v>
      </c>
      <c r="J80" s="6">
        <f t="shared" si="6"/>
        <v>23</v>
      </c>
      <c r="K80" s="36">
        <v>6</v>
      </c>
      <c r="L80" s="39">
        <f t="shared" si="7"/>
        <v>58</v>
      </c>
      <c r="M80" s="39">
        <f t="shared" si="8"/>
        <v>2</v>
      </c>
      <c r="N80" s="37" t="str">
        <f t="shared" si="9"/>
        <v>PASS</v>
      </c>
    </row>
    <row r="81" spans="4:14" x14ac:dyDescent="0.35">
      <c r="D81" s="6">
        <f>'SUB-3'!D81</f>
        <v>67</v>
      </c>
      <c r="E81" s="6" t="str">
        <f>'SUB-3'!E81</f>
        <v>BTMC24O1067</v>
      </c>
      <c r="F81" s="6">
        <v>0</v>
      </c>
      <c r="G81" s="6">
        <v>20</v>
      </c>
      <c r="H81" s="6">
        <v>7</v>
      </c>
      <c r="I81" s="6">
        <v>20</v>
      </c>
      <c r="J81" s="6">
        <f t="shared" si="6"/>
        <v>27</v>
      </c>
      <c r="K81" s="36">
        <v>30</v>
      </c>
      <c r="L81" s="39">
        <f t="shared" si="7"/>
        <v>77</v>
      </c>
      <c r="M81" s="39">
        <f t="shared" si="8"/>
        <v>3</v>
      </c>
      <c r="N81" s="37" t="str">
        <f t="shared" si="9"/>
        <v>PASS</v>
      </c>
    </row>
    <row r="82" spans="4:14" x14ac:dyDescent="0.35">
      <c r="D82" s="6">
        <f>'SUB-3'!D82</f>
        <v>68</v>
      </c>
      <c r="E82" s="6" t="str">
        <f>'SUB-3'!E82</f>
        <v>BTMC24O1068</v>
      </c>
      <c r="F82" s="6">
        <v>13</v>
      </c>
      <c r="G82" s="6">
        <v>2</v>
      </c>
      <c r="H82" s="6">
        <v>9</v>
      </c>
      <c r="I82" s="6">
        <v>3</v>
      </c>
      <c r="J82" s="6">
        <f t="shared" si="6"/>
        <v>12</v>
      </c>
      <c r="K82" s="36">
        <v>7</v>
      </c>
      <c r="L82" s="39">
        <f t="shared" si="7"/>
        <v>34</v>
      </c>
      <c r="M82" s="39">
        <f t="shared" si="8"/>
        <v>0</v>
      </c>
      <c r="N82" s="37" t="str">
        <f t="shared" si="9"/>
        <v>FAIL</v>
      </c>
    </row>
    <row r="83" spans="4:14" x14ac:dyDescent="0.35">
      <c r="D83" s="6">
        <f>'SUB-3'!D83</f>
        <v>69</v>
      </c>
      <c r="E83" s="6" t="str">
        <f>'SUB-3'!E83</f>
        <v>BTMC24O1069</v>
      </c>
      <c r="F83" s="6">
        <v>5</v>
      </c>
      <c r="G83" s="6">
        <v>11</v>
      </c>
      <c r="H83" s="6">
        <v>3</v>
      </c>
      <c r="I83" s="6">
        <v>5</v>
      </c>
      <c r="J83" s="6">
        <f t="shared" si="6"/>
        <v>8</v>
      </c>
      <c r="K83" s="36">
        <v>5</v>
      </c>
      <c r="L83" s="39">
        <f t="shared" si="7"/>
        <v>29</v>
      </c>
      <c r="M83" s="39">
        <f t="shared" si="8"/>
        <v>0</v>
      </c>
      <c r="N83" s="37" t="str">
        <f t="shared" si="9"/>
        <v>FAIL</v>
      </c>
    </row>
    <row r="84" spans="4:14" x14ac:dyDescent="0.35">
      <c r="D84" s="6">
        <f>'SUB-3'!D84</f>
        <v>70</v>
      </c>
      <c r="E84" s="6" t="str">
        <f>'SUB-3'!E84</f>
        <v>BTMC24O1070</v>
      </c>
      <c r="F84" s="6">
        <v>16</v>
      </c>
      <c r="G84" s="6">
        <v>19</v>
      </c>
      <c r="H84" s="6">
        <v>6</v>
      </c>
      <c r="I84" s="6">
        <v>13</v>
      </c>
      <c r="J84" s="6">
        <f t="shared" si="6"/>
        <v>19</v>
      </c>
      <c r="K84" s="36">
        <v>14</v>
      </c>
      <c r="L84" s="39">
        <f t="shared" si="7"/>
        <v>68</v>
      </c>
      <c r="M84" s="39">
        <f t="shared" si="8"/>
        <v>2</v>
      </c>
      <c r="N84" s="37" t="str">
        <f t="shared" si="9"/>
        <v>PASS</v>
      </c>
    </row>
    <row r="85" spans="4:14" x14ac:dyDescent="0.35">
      <c r="D85" s="6">
        <f>'SUB-3'!D85</f>
        <v>71</v>
      </c>
      <c r="E85" s="6" t="str">
        <f>'SUB-3'!E85</f>
        <v>BTMC24O1071</v>
      </c>
      <c r="F85" s="6">
        <v>1</v>
      </c>
      <c r="G85" s="6">
        <v>9</v>
      </c>
      <c r="H85" s="6">
        <v>4</v>
      </c>
      <c r="I85" s="6">
        <v>20</v>
      </c>
      <c r="J85" s="6">
        <f t="shared" si="6"/>
        <v>24</v>
      </c>
      <c r="K85" s="36">
        <v>20</v>
      </c>
      <c r="L85" s="39">
        <f t="shared" si="7"/>
        <v>54</v>
      </c>
      <c r="M85" s="39">
        <f t="shared" si="8"/>
        <v>2</v>
      </c>
      <c r="N85" s="37" t="str">
        <f t="shared" si="9"/>
        <v>PASS</v>
      </c>
    </row>
    <row r="86" spans="4:14" x14ac:dyDescent="0.35">
      <c r="D86" s="6">
        <f>'SUB-3'!D86</f>
        <v>72</v>
      </c>
      <c r="E86" s="6" t="str">
        <f>'SUB-3'!E86</f>
        <v>BTMC24O1072</v>
      </c>
      <c r="F86" s="6">
        <v>20</v>
      </c>
      <c r="G86" s="6">
        <v>11</v>
      </c>
      <c r="H86" s="6">
        <v>2</v>
      </c>
      <c r="I86" s="6">
        <v>17</v>
      </c>
      <c r="J86" s="6">
        <f t="shared" si="6"/>
        <v>19</v>
      </c>
      <c r="K86" s="36">
        <v>9</v>
      </c>
      <c r="L86" s="39">
        <f t="shared" si="7"/>
        <v>59</v>
      </c>
      <c r="M86" s="39">
        <f t="shared" si="8"/>
        <v>2</v>
      </c>
      <c r="N86" s="37" t="str">
        <f t="shared" si="9"/>
        <v>PASS</v>
      </c>
    </row>
    <row r="87" spans="4:14" x14ac:dyDescent="0.35">
      <c r="D87" s="6">
        <f>'SUB-3'!D87</f>
        <v>73</v>
      </c>
      <c r="E87" s="6" t="str">
        <f>'SUB-3'!E87</f>
        <v>BTMC24O1073</v>
      </c>
      <c r="F87" s="6">
        <v>6</v>
      </c>
      <c r="G87" s="6">
        <v>19</v>
      </c>
      <c r="H87" s="6">
        <v>3</v>
      </c>
      <c r="I87" s="6">
        <v>18</v>
      </c>
      <c r="J87" s="6">
        <f t="shared" si="6"/>
        <v>21</v>
      </c>
      <c r="K87" s="36">
        <v>1</v>
      </c>
      <c r="L87" s="39">
        <f t="shared" si="7"/>
        <v>47</v>
      </c>
      <c r="M87" s="39">
        <f t="shared" si="8"/>
        <v>1</v>
      </c>
      <c r="N87" s="37" t="str">
        <f t="shared" si="9"/>
        <v>PASS</v>
      </c>
    </row>
    <row r="88" spans="4:14" x14ac:dyDescent="0.35">
      <c r="D88" s="6">
        <f>'SUB-3'!D88</f>
        <v>74</v>
      </c>
      <c r="E88" s="6" t="str">
        <f>'SUB-3'!E88</f>
        <v>BTMC24O1074</v>
      </c>
      <c r="F88" s="6">
        <v>16</v>
      </c>
      <c r="G88" s="6">
        <v>14</v>
      </c>
      <c r="H88" s="6">
        <v>8</v>
      </c>
      <c r="I88" s="6">
        <v>14</v>
      </c>
      <c r="J88" s="6">
        <f t="shared" si="6"/>
        <v>22</v>
      </c>
      <c r="K88" s="36">
        <v>11</v>
      </c>
      <c r="L88" s="39">
        <f t="shared" si="7"/>
        <v>63</v>
      </c>
      <c r="M88" s="39">
        <f t="shared" si="8"/>
        <v>2</v>
      </c>
      <c r="N88" s="37" t="str">
        <f t="shared" si="9"/>
        <v>PASS</v>
      </c>
    </row>
    <row r="89" spans="4:14" x14ac:dyDescent="0.35">
      <c r="D89" s="6">
        <f>'SUB-3'!D89</f>
        <v>75</v>
      </c>
      <c r="E89" s="6" t="str">
        <f>'SUB-3'!E89</f>
        <v>BTMC24O1075</v>
      </c>
      <c r="F89" s="6">
        <v>12</v>
      </c>
      <c r="G89" s="6">
        <v>17</v>
      </c>
      <c r="H89" s="6">
        <v>6</v>
      </c>
      <c r="I89" s="6">
        <v>11</v>
      </c>
      <c r="J89" s="6">
        <f t="shared" si="6"/>
        <v>17</v>
      </c>
      <c r="K89" s="36">
        <v>4</v>
      </c>
      <c r="L89" s="39">
        <f t="shared" si="7"/>
        <v>50</v>
      </c>
      <c r="M89" s="39">
        <f t="shared" si="8"/>
        <v>1</v>
      </c>
      <c r="N89" s="37" t="str">
        <f t="shared" si="9"/>
        <v>PASS</v>
      </c>
    </row>
    <row r="90" spans="4:14" x14ac:dyDescent="0.35">
      <c r="D90" s="6">
        <f>'SUB-3'!D90</f>
        <v>76</v>
      </c>
      <c r="E90" s="6" t="str">
        <f>'SUB-3'!E90</f>
        <v>BTMC24O1076</v>
      </c>
      <c r="F90" s="6">
        <v>9</v>
      </c>
      <c r="G90" s="6">
        <v>0</v>
      </c>
      <c r="H90" s="6">
        <v>6</v>
      </c>
      <c r="I90" s="6">
        <v>0</v>
      </c>
      <c r="J90" s="6">
        <f t="shared" si="6"/>
        <v>6</v>
      </c>
      <c r="K90" s="36">
        <v>30</v>
      </c>
      <c r="L90" s="39">
        <f t="shared" si="7"/>
        <v>45</v>
      </c>
      <c r="M90" s="39">
        <f t="shared" si="8"/>
        <v>1</v>
      </c>
      <c r="N90" s="37" t="str">
        <f t="shared" si="9"/>
        <v>PASS</v>
      </c>
    </row>
    <row r="91" spans="4:14" x14ac:dyDescent="0.35">
      <c r="D91" s="6">
        <f>'SUB-3'!D91</f>
        <v>77</v>
      </c>
      <c r="E91" s="6" t="str">
        <f>'SUB-3'!E91</f>
        <v>BTMC24O1077</v>
      </c>
      <c r="F91" s="6">
        <v>19</v>
      </c>
      <c r="G91" s="6">
        <v>6</v>
      </c>
      <c r="H91" s="6">
        <v>6</v>
      </c>
      <c r="I91" s="6">
        <v>4</v>
      </c>
      <c r="J91" s="6">
        <f t="shared" si="6"/>
        <v>10</v>
      </c>
      <c r="K91" s="36">
        <v>10</v>
      </c>
      <c r="L91" s="39">
        <f t="shared" si="7"/>
        <v>45</v>
      </c>
      <c r="M91" s="39">
        <f t="shared" si="8"/>
        <v>1</v>
      </c>
      <c r="N91" s="37" t="str">
        <f t="shared" si="9"/>
        <v>PASS</v>
      </c>
    </row>
    <row r="92" spans="4:14" x14ac:dyDescent="0.35">
      <c r="D92" s="6">
        <f>'SUB-3'!D92</f>
        <v>78</v>
      </c>
      <c r="E92" s="6" t="str">
        <f>'SUB-3'!E92</f>
        <v>BTMC24O1078</v>
      </c>
      <c r="F92" s="6">
        <v>11</v>
      </c>
      <c r="G92" s="6">
        <v>8</v>
      </c>
      <c r="H92" s="6">
        <v>9</v>
      </c>
      <c r="I92" s="6">
        <v>8</v>
      </c>
      <c r="J92" s="6">
        <f t="shared" si="6"/>
        <v>17</v>
      </c>
      <c r="K92" s="36">
        <v>25</v>
      </c>
      <c r="L92" s="39">
        <f t="shared" si="7"/>
        <v>61</v>
      </c>
      <c r="M92" s="39">
        <f t="shared" si="8"/>
        <v>2</v>
      </c>
      <c r="N92" s="37" t="str">
        <f t="shared" si="9"/>
        <v>PASS</v>
      </c>
    </row>
    <row r="93" spans="4:14" x14ac:dyDescent="0.35">
      <c r="D93" s="6">
        <f>'SUB-3'!D93</f>
        <v>79</v>
      </c>
      <c r="E93" s="6" t="str">
        <f>'SUB-3'!E93</f>
        <v>BTMC24O1079</v>
      </c>
      <c r="F93" s="6">
        <v>20</v>
      </c>
      <c r="G93" s="6">
        <v>12</v>
      </c>
      <c r="H93" s="6">
        <v>9</v>
      </c>
      <c r="I93" s="6">
        <v>10</v>
      </c>
      <c r="J93" s="6">
        <f t="shared" si="6"/>
        <v>19</v>
      </c>
      <c r="K93" s="36">
        <v>17</v>
      </c>
      <c r="L93" s="39">
        <f t="shared" si="7"/>
        <v>68</v>
      </c>
      <c r="M93" s="39">
        <f t="shared" si="8"/>
        <v>2</v>
      </c>
      <c r="N93" s="37" t="str">
        <f t="shared" si="9"/>
        <v>PASS</v>
      </c>
    </row>
    <row r="94" spans="4:14" x14ac:dyDescent="0.35">
      <c r="D94" s="6">
        <f>'SUB-3'!D94</f>
        <v>80</v>
      </c>
      <c r="E94" s="6" t="str">
        <f>'SUB-3'!E94</f>
        <v>BTMC24O1080</v>
      </c>
      <c r="F94" s="6">
        <v>5</v>
      </c>
      <c r="G94" s="6">
        <v>14</v>
      </c>
      <c r="H94" s="6">
        <v>6</v>
      </c>
      <c r="I94" s="6">
        <v>16</v>
      </c>
      <c r="J94" s="6">
        <f t="shared" si="6"/>
        <v>22</v>
      </c>
      <c r="K94" s="36">
        <v>17</v>
      </c>
      <c r="L94" s="39">
        <f t="shared" si="7"/>
        <v>58</v>
      </c>
      <c r="M94" s="39">
        <f t="shared" si="8"/>
        <v>2</v>
      </c>
      <c r="N94" s="37" t="str">
        <f t="shared" si="9"/>
        <v>PASS</v>
      </c>
    </row>
    <row r="95" spans="4:14" x14ac:dyDescent="0.35">
      <c r="D95" s="6">
        <f>'SUB-3'!D95</f>
        <v>81</v>
      </c>
      <c r="E95" s="6" t="str">
        <f>'SUB-3'!E95</f>
        <v>BTMC24O1081</v>
      </c>
      <c r="F95" s="6">
        <v>1</v>
      </c>
      <c r="G95" s="6">
        <v>15</v>
      </c>
      <c r="H95" s="6">
        <v>4</v>
      </c>
      <c r="I95" s="6">
        <v>9</v>
      </c>
      <c r="J95" s="6">
        <f t="shared" si="6"/>
        <v>13</v>
      </c>
      <c r="K95" s="36">
        <v>9</v>
      </c>
      <c r="L95" s="39">
        <f t="shared" si="7"/>
        <v>38</v>
      </c>
      <c r="M95" s="39">
        <f t="shared" si="8"/>
        <v>1</v>
      </c>
      <c r="N95" s="37" t="str">
        <f t="shared" si="9"/>
        <v>PASS</v>
      </c>
    </row>
    <row r="96" spans="4:14" x14ac:dyDescent="0.35">
      <c r="D96" s="6">
        <f>'SUB-3'!D96</f>
        <v>82</v>
      </c>
      <c r="E96" s="6" t="str">
        <f>'SUB-3'!E96</f>
        <v>BTMC24O1082</v>
      </c>
      <c r="F96" s="6">
        <v>16</v>
      </c>
      <c r="G96" s="6">
        <v>4</v>
      </c>
      <c r="H96" s="6">
        <v>6</v>
      </c>
      <c r="I96" s="6">
        <v>15</v>
      </c>
      <c r="J96" s="6">
        <f t="shared" si="6"/>
        <v>21</v>
      </c>
      <c r="K96" s="36">
        <v>24</v>
      </c>
      <c r="L96" s="39">
        <f t="shared" si="7"/>
        <v>65</v>
      </c>
      <c r="M96" s="39">
        <f t="shared" si="8"/>
        <v>2</v>
      </c>
      <c r="N96" s="37" t="str">
        <f t="shared" si="9"/>
        <v>PASS</v>
      </c>
    </row>
    <row r="97" spans="4:14" x14ac:dyDescent="0.35">
      <c r="D97" s="6">
        <f>'SUB-3'!D97</f>
        <v>83</v>
      </c>
      <c r="E97" s="6" t="str">
        <f>'SUB-3'!E97</f>
        <v>BTMC24O1083</v>
      </c>
      <c r="F97" s="6">
        <v>8</v>
      </c>
      <c r="G97" s="6">
        <v>8</v>
      </c>
      <c r="H97" s="6">
        <v>10</v>
      </c>
      <c r="I97" s="6">
        <v>6</v>
      </c>
      <c r="J97" s="6">
        <f t="shared" si="6"/>
        <v>16</v>
      </c>
      <c r="K97" s="36">
        <v>20</v>
      </c>
      <c r="L97" s="39">
        <f t="shared" si="7"/>
        <v>52</v>
      </c>
      <c r="M97" s="39">
        <f t="shared" si="8"/>
        <v>2</v>
      </c>
      <c r="N97" s="37" t="str">
        <f t="shared" si="9"/>
        <v>PASS</v>
      </c>
    </row>
    <row r="98" spans="4:14" x14ac:dyDescent="0.35">
      <c r="D98" s="6">
        <f>'SUB-3'!D98</f>
        <v>84</v>
      </c>
      <c r="E98" s="6" t="str">
        <f>'SUB-3'!E98</f>
        <v>BTMC24O1084</v>
      </c>
      <c r="F98" s="6">
        <v>9</v>
      </c>
      <c r="G98" s="6">
        <v>16</v>
      </c>
      <c r="H98" s="6">
        <v>4</v>
      </c>
      <c r="I98" s="6">
        <v>9</v>
      </c>
      <c r="J98" s="6">
        <f t="shared" si="6"/>
        <v>13</v>
      </c>
      <c r="K98" s="36">
        <v>1</v>
      </c>
      <c r="L98" s="39">
        <f t="shared" si="7"/>
        <v>39</v>
      </c>
      <c r="M98" s="39">
        <f t="shared" si="8"/>
        <v>1</v>
      </c>
      <c r="N98" s="37" t="str">
        <f t="shared" si="9"/>
        <v>PASS</v>
      </c>
    </row>
    <row r="99" spans="4:14" x14ac:dyDescent="0.35">
      <c r="D99" s="6">
        <f>'SUB-3'!D99</f>
        <v>85</v>
      </c>
      <c r="E99" s="6" t="str">
        <f>'SUB-3'!E99</f>
        <v>BTMC24O1085</v>
      </c>
      <c r="F99" s="6">
        <v>7</v>
      </c>
      <c r="G99" s="6">
        <v>7</v>
      </c>
      <c r="H99" s="6">
        <v>4</v>
      </c>
      <c r="I99" s="6">
        <v>2</v>
      </c>
      <c r="J99" s="6">
        <f t="shared" si="6"/>
        <v>6</v>
      </c>
      <c r="K99" s="36">
        <v>24</v>
      </c>
      <c r="L99" s="39">
        <f t="shared" si="7"/>
        <v>44</v>
      </c>
      <c r="M99" s="39">
        <f t="shared" si="8"/>
        <v>1</v>
      </c>
      <c r="N99" s="37" t="str">
        <f t="shared" si="9"/>
        <v>PASS</v>
      </c>
    </row>
    <row r="100" spans="4:14" x14ac:dyDescent="0.35">
      <c r="D100" s="6">
        <f>'SUB-3'!D100</f>
        <v>86</v>
      </c>
      <c r="E100" s="6" t="str">
        <f>'SUB-3'!E100</f>
        <v>BTMC24O1086</v>
      </c>
      <c r="F100" s="6">
        <v>17</v>
      </c>
      <c r="G100" s="6">
        <v>4</v>
      </c>
      <c r="H100" s="6">
        <v>3</v>
      </c>
      <c r="I100" s="6">
        <v>2</v>
      </c>
      <c r="J100" s="6">
        <f t="shared" ref="J100:J114" si="10">H100+I100</f>
        <v>5</v>
      </c>
      <c r="K100" s="36">
        <v>11</v>
      </c>
      <c r="L100" s="39">
        <f t="shared" ref="L100:L114" si="11">K100+J100+G100+F100</f>
        <v>37</v>
      </c>
      <c r="M100" s="39">
        <f t="shared" ref="M100:M114" si="12">IF(L100&gt;75,3,IF(L100&gt;50,2,IF(L100&gt;35,1,0)))</f>
        <v>1</v>
      </c>
      <c r="N100" s="37" t="str">
        <f t="shared" ref="N100:N114" si="13">IF(L100&lt;35,"FAIL","PASS")</f>
        <v>PASS</v>
      </c>
    </row>
    <row r="101" spans="4:14" x14ac:dyDescent="0.35">
      <c r="D101" s="6">
        <f>'SUB-3'!D101</f>
        <v>87</v>
      </c>
      <c r="E101" s="6" t="str">
        <f>'SUB-3'!E101</f>
        <v>BTMC24O1087</v>
      </c>
      <c r="F101" s="6">
        <v>20</v>
      </c>
      <c r="G101" s="6">
        <v>20</v>
      </c>
      <c r="H101" s="6">
        <v>10</v>
      </c>
      <c r="I101" s="6">
        <v>16</v>
      </c>
      <c r="J101" s="6">
        <f t="shared" si="10"/>
        <v>26</v>
      </c>
      <c r="K101" s="36">
        <v>27</v>
      </c>
      <c r="L101" s="39">
        <f t="shared" si="11"/>
        <v>93</v>
      </c>
      <c r="M101" s="39">
        <f t="shared" si="12"/>
        <v>3</v>
      </c>
      <c r="N101" s="37" t="str">
        <f t="shared" si="13"/>
        <v>PASS</v>
      </c>
    </row>
    <row r="102" spans="4:14" x14ac:dyDescent="0.35">
      <c r="D102" s="6">
        <f>'SUB-3'!D102</f>
        <v>88</v>
      </c>
      <c r="E102" s="6" t="str">
        <f>'SUB-3'!E102</f>
        <v>BTMC24O1088</v>
      </c>
      <c r="F102" s="6">
        <v>20</v>
      </c>
      <c r="G102" s="6">
        <v>20</v>
      </c>
      <c r="H102" s="6">
        <v>10</v>
      </c>
      <c r="I102" s="6">
        <v>13</v>
      </c>
      <c r="J102" s="6">
        <f t="shared" si="10"/>
        <v>23</v>
      </c>
      <c r="K102" s="36">
        <v>27</v>
      </c>
      <c r="L102" s="39">
        <f t="shared" si="11"/>
        <v>90</v>
      </c>
      <c r="M102" s="39">
        <f t="shared" si="12"/>
        <v>3</v>
      </c>
      <c r="N102" s="37" t="str">
        <f t="shared" si="13"/>
        <v>PASS</v>
      </c>
    </row>
    <row r="103" spans="4:14" x14ac:dyDescent="0.35">
      <c r="D103" s="6">
        <f>'SUB-3'!D103</f>
        <v>89</v>
      </c>
      <c r="E103" s="6" t="str">
        <f>'SUB-3'!E103</f>
        <v>BTMC24O1089</v>
      </c>
      <c r="F103" s="6">
        <v>5</v>
      </c>
      <c r="G103" s="6">
        <v>5</v>
      </c>
      <c r="H103" s="6">
        <v>2</v>
      </c>
      <c r="I103" s="6">
        <v>0</v>
      </c>
      <c r="J103" s="6">
        <f t="shared" si="10"/>
        <v>2</v>
      </c>
      <c r="K103" s="36">
        <v>30</v>
      </c>
      <c r="L103" s="39">
        <f t="shared" si="11"/>
        <v>42</v>
      </c>
      <c r="M103" s="39">
        <f t="shared" si="12"/>
        <v>1</v>
      </c>
      <c r="N103" s="37" t="str">
        <f t="shared" si="13"/>
        <v>PASS</v>
      </c>
    </row>
    <row r="104" spans="4:14" x14ac:dyDescent="0.35">
      <c r="D104" s="6">
        <f>'SUB-3'!D104</f>
        <v>90</v>
      </c>
      <c r="E104" s="6" t="str">
        <f>'SUB-3'!E104</f>
        <v>BTMC24O1090</v>
      </c>
      <c r="F104" s="6">
        <v>13</v>
      </c>
      <c r="G104" s="6">
        <v>14</v>
      </c>
      <c r="H104" s="6">
        <v>7</v>
      </c>
      <c r="I104" s="6">
        <v>4</v>
      </c>
      <c r="J104" s="6">
        <f t="shared" si="10"/>
        <v>11</v>
      </c>
      <c r="K104" s="36">
        <v>22</v>
      </c>
      <c r="L104" s="39">
        <f t="shared" si="11"/>
        <v>60</v>
      </c>
      <c r="M104" s="39">
        <f t="shared" si="12"/>
        <v>2</v>
      </c>
      <c r="N104" s="37" t="str">
        <f t="shared" si="13"/>
        <v>PASS</v>
      </c>
    </row>
    <row r="105" spans="4:14" x14ac:dyDescent="0.35">
      <c r="D105" s="6">
        <f>'SUB-3'!D105</f>
        <v>91</v>
      </c>
      <c r="E105" s="6" t="str">
        <f>'SUB-3'!E105</f>
        <v>BTMC24O1091</v>
      </c>
      <c r="F105" s="6">
        <v>18</v>
      </c>
      <c r="G105" s="6">
        <v>7</v>
      </c>
      <c r="H105" s="6">
        <v>0</v>
      </c>
      <c r="I105" s="6">
        <v>7</v>
      </c>
      <c r="J105" s="6">
        <f t="shared" si="10"/>
        <v>7</v>
      </c>
      <c r="K105" s="36">
        <v>29</v>
      </c>
      <c r="L105" s="39">
        <f t="shared" si="11"/>
        <v>61</v>
      </c>
      <c r="M105" s="39">
        <f t="shared" si="12"/>
        <v>2</v>
      </c>
      <c r="N105" s="37" t="str">
        <f t="shared" si="13"/>
        <v>PASS</v>
      </c>
    </row>
    <row r="106" spans="4:14" x14ac:dyDescent="0.35">
      <c r="D106" s="6">
        <f>'SUB-3'!D106</f>
        <v>92</v>
      </c>
      <c r="E106" s="6" t="str">
        <f>'SUB-3'!E106</f>
        <v>BTMC24O1092</v>
      </c>
      <c r="F106" s="6">
        <v>3</v>
      </c>
      <c r="G106" s="6">
        <v>1</v>
      </c>
      <c r="H106" s="6">
        <v>3</v>
      </c>
      <c r="I106" s="6">
        <v>10</v>
      </c>
      <c r="J106" s="6">
        <f t="shared" si="10"/>
        <v>13</v>
      </c>
      <c r="K106" s="36">
        <v>30</v>
      </c>
      <c r="L106" s="39">
        <f t="shared" si="11"/>
        <v>47</v>
      </c>
      <c r="M106" s="39">
        <f t="shared" si="12"/>
        <v>1</v>
      </c>
      <c r="N106" s="37" t="str">
        <f t="shared" si="13"/>
        <v>PASS</v>
      </c>
    </row>
    <row r="107" spans="4:14" x14ac:dyDescent="0.35">
      <c r="D107" s="6">
        <f>'SUB-3'!D107</f>
        <v>93</v>
      </c>
      <c r="E107" s="6" t="str">
        <f>'SUB-3'!E107</f>
        <v>BTMC24O1093</v>
      </c>
      <c r="F107" s="6">
        <v>13</v>
      </c>
      <c r="G107" s="6">
        <v>1</v>
      </c>
      <c r="H107" s="6">
        <v>5</v>
      </c>
      <c r="I107" s="6">
        <v>6</v>
      </c>
      <c r="J107" s="6">
        <f t="shared" si="10"/>
        <v>11</v>
      </c>
      <c r="K107" s="36">
        <v>9</v>
      </c>
      <c r="L107" s="39">
        <f t="shared" si="11"/>
        <v>34</v>
      </c>
      <c r="M107" s="39">
        <f t="shared" si="12"/>
        <v>0</v>
      </c>
      <c r="N107" s="37" t="str">
        <f t="shared" si="13"/>
        <v>FAIL</v>
      </c>
    </row>
    <row r="108" spans="4:14" x14ac:dyDescent="0.35">
      <c r="D108" s="6">
        <f>'SUB-3'!D108</f>
        <v>94</v>
      </c>
      <c r="E108" s="6" t="str">
        <f>'SUB-3'!E108</f>
        <v>BTMC24O1094</v>
      </c>
      <c r="F108" s="6">
        <v>9</v>
      </c>
      <c r="G108" s="6">
        <v>18</v>
      </c>
      <c r="H108" s="6">
        <v>4</v>
      </c>
      <c r="I108" s="6">
        <v>12</v>
      </c>
      <c r="J108" s="6">
        <f t="shared" si="10"/>
        <v>16</v>
      </c>
      <c r="K108" s="36">
        <v>16</v>
      </c>
      <c r="L108" s="39">
        <f t="shared" si="11"/>
        <v>59</v>
      </c>
      <c r="M108" s="39">
        <f t="shared" si="12"/>
        <v>2</v>
      </c>
      <c r="N108" s="37" t="str">
        <f t="shared" si="13"/>
        <v>PASS</v>
      </c>
    </row>
    <row r="109" spans="4:14" x14ac:dyDescent="0.35">
      <c r="D109" s="6">
        <f>'SUB-3'!D109</f>
        <v>95</v>
      </c>
      <c r="E109" s="6" t="str">
        <f>'SUB-3'!E109</f>
        <v>BTMC24O1095</v>
      </c>
      <c r="F109" s="6">
        <v>15</v>
      </c>
      <c r="G109" s="6">
        <v>2</v>
      </c>
      <c r="H109" s="6">
        <v>8</v>
      </c>
      <c r="I109" s="6">
        <v>20</v>
      </c>
      <c r="J109" s="6">
        <f t="shared" si="10"/>
        <v>28</v>
      </c>
      <c r="K109" s="36">
        <v>18</v>
      </c>
      <c r="L109" s="39">
        <f t="shared" si="11"/>
        <v>63</v>
      </c>
      <c r="M109" s="39">
        <f t="shared" si="12"/>
        <v>2</v>
      </c>
      <c r="N109" s="37" t="str">
        <f t="shared" si="13"/>
        <v>PASS</v>
      </c>
    </row>
    <row r="110" spans="4:14" x14ac:dyDescent="0.35">
      <c r="D110" s="6">
        <f>'SUB-3'!D110</f>
        <v>96</v>
      </c>
      <c r="E110" s="6" t="str">
        <f>'SUB-3'!E110</f>
        <v>BTMC24O1096</v>
      </c>
      <c r="F110" s="6">
        <v>10</v>
      </c>
      <c r="G110" s="6">
        <v>19</v>
      </c>
      <c r="H110" s="6">
        <v>1</v>
      </c>
      <c r="I110" s="6">
        <v>0</v>
      </c>
      <c r="J110" s="6">
        <f t="shared" si="10"/>
        <v>1</v>
      </c>
      <c r="K110" s="36">
        <v>20</v>
      </c>
      <c r="L110" s="39">
        <f t="shared" si="11"/>
        <v>50</v>
      </c>
      <c r="M110" s="39">
        <f t="shared" si="12"/>
        <v>1</v>
      </c>
      <c r="N110" s="37" t="str">
        <f t="shared" si="13"/>
        <v>PASS</v>
      </c>
    </row>
    <row r="111" spans="4:14" x14ac:dyDescent="0.35">
      <c r="D111" s="6">
        <f>'SUB-3'!D111</f>
        <v>97</v>
      </c>
      <c r="E111" s="6" t="str">
        <f>'SUB-3'!E111</f>
        <v>BTMC24O1097</v>
      </c>
      <c r="F111" s="6">
        <v>17</v>
      </c>
      <c r="G111" s="6">
        <v>18</v>
      </c>
      <c r="H111" s="6">
        <v>7</v>
      </c>
      <c r="I111" s="6">
        <v>5</v>
      </c>
      <c r="J111" s="6">
        <f t="shared" si="10"/>
        <v>12</v>
      </c>
      <c r="K111" s="36">
        <v>5</v>
      </c>
      <c r="L111" s="39">
        <f t="shared" si="11"/>
        <v>52</v>
      </c>
      <c r="M111" s="39">
        <f t="shared" si="12"/>
        <v>2</v>
      </c>
      <c r="N111" s="37" t="str">
        <f t="shared" si="13"/>
        <v>PASS</v>
      </c>
    </row>
    <row r="112" spans="4:14" x14ac:dyDescent="0.35">
      <c r="D112" s="6">
        <f>'SUB-3'!D112</f>
        <v>98</v>
      </c>
      <c r="E112" s="6" t="str">
        <f>'SUB-3'!E112</f>
        <v>BTMC24O1098</v>
      </c>
      <c r="F112" s="6">
        <v>19</v>
      </c>
      <c r="G112" s="6">
        <v>11</v>
      </c>
      <c r="H112" s="6">
        <v>7</v>
      </c>
      <c r="I112" s="6">
        <v>20</v>
      </c>
      <c r="J112" s="6">
        <f t="shared" si="10"/>
        <v>27</v>
      </c>
      <c r="K112" s="36">
        <v>18</v>
      </c>
      <c r="L112" s="39">
        <f t="shared" si="11"/>
        <v>75</v>
      </c>
      <c r="M112" s="39">
        <f t="shared" si="12"/>
        <v>2</v>
      </c>
      <c r="N112" s="37" t="str">
        <f t="shared" si="13"/>
        <v>PASS</v>
      </c>
    </row>
    <row r="113" spans="4:14" x14ac:dyDescent="0.35">
      <c r="D113" s="6">
        <f>'SUB-3'!D113</f>
        <v>99</v>
      </c>
      <c r="E113" s="6" t="str">
        <f>'SUB-3'!E113</f>
        <v>BTMC24O1099</v>
      </c>
      <c r="F113" s="6">
        <v>16</v>
      </c>
      <c r="G113" s="6">
        <v>16</v>
      </c>
      <c r="H113" s="6">
        <v>1</v>
      </c>
      <c r="I113" s="6">
        <v>15</v>
      </c>
      <c r="J113" s="6">
        <f t="shared" si="10"/>
        <v>16</v>
      </c>
      <c r="K113" s="36">
        <v>8</v>
      </c>
      <c r="L113" s="39">
        <f t="shared" si="11"/>
        <v>56</v>
      </c>
      <c r="M113" s="39">
        <f t="shared" si="12"/>
        <v>2</v>
      </c>
      <c r="N113" s="37" t="str">
        <f t="shared" si="13"/>
        <v>PASS</v>
      </c>
    </row>
    <row r="114" spans="4:14" x14ac:dyDescent="0.35">
      <c r="D114" s="6">
        <f>'SUB-3'!D114</f>
        <v>100</v>
      </c>
      <c r="E114" s="6" t="str">
        <f>'SUB-3'!E114</f>
        <v>BTMC24O1100</v>
      </c>
      <c r="F114" s="6">
        <v>11</v>
      </c>
      <c r="G114" s="6">
        <v>7</v>
      </c>
      <c r="H114" s="6">
        <v>6</v>
      </c>
      <c r="I114" s="6">
        <v>5</v>
      </c>
      <c r="J114" s="6">
        <f t="shared" si="10"/>
        <v>11</v>
      </c>
      <c r="K114" s="36">
        <v>19</v>
      </c>
      <c r="L114" s="39">
        <f t="shared" si="11"/>
        <v>48</v>
      </c>
      <c r="M114" s="39">
        <f t="shared" si="12"/>
        <v>1</v>
      </c>
      <c r="N114" s="37" t="str">
        <f t="shared" si="13"/>
        <v>PASS</v>
      </c>
    </row>
  </sheetData>
  <mergeCells count="7">
    <mergeCell ref="D9:Q9"/>
    <mergeCell ref="D2:Q3"/>
    <mergeCell ref="D4:Q4"/>
    <mergeCell ref="D5:Q5"/>
    <mergeCell ref="D6:Q6"/>
    <mergeCell ref="D8:Q8"/>
    <mergeCell ref="G7:L7"/>
  </mergeCells>
  <conditionalFormatting sqref="N15:N114">
    <cfRule type="containsText" dxfId="0" priority="3" operator="containsText" text="FAIL">
      <formula>NOT(ISERROR(SEARCH("FAIL",N15)))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MARHSHEET</vt:lpstr>
      <vt:lpstr>FINAL SHEET</vt:lpstr>
      <vt:lpstr>STUDENT INFO</vt:lpstr>
      <vt:lpstr>SCHEME</vt:lpstr>
      <vt:lpstr>SUB-1</vt:lpstr>
      <vt:lpstr>SUB- 2</vt:lpstr>
      <vt:lpstr>SUB-3</vt:lpstr>
      <vt:lpstr>SUB-4</vt:lpstr>
      <vt:lpstr>SUB-5</vt:lpstr>
      <vt:lpstr>SUB-6</vt:lpstr>
      <vt:lpstr>SUB-7</vt:lpstr>
      <vt:lpstr>SUB-8</vt:lpstr>
      <vt:lpstr>SUB-9</vt:lpstr>
      <vt:lpstr>SUB-10</vt:lpstr>
      <vt:lpstr>SUB- NEC</vt:lpstr>
      <vt:lpstr>SUB-12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Shreya Singh</dc:creator>
  <cp:keywords/>
  <dc:description/>
  <cp:lastModifiedBy>Shreya Singh</cp:lastModifiedBy>
  <cp:revision/>
  <dcterms:created xsi:type="dcterms:W3CDTF">2024-12-22T10:04:29Z</dcterms:created>
  <dcterms:modified xsi:type="dcterms:W3CDTF">2025-01-06T10:01:16Z</dcterms:modified>
  <cp:category/>
  <cp:contentStatus/>
</cp:coreProperties>
</file>